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e\Desktop\PFE PCM\"/>
    </mc:Choice>
  </mc:AlternateContent>
  <xr:revisionPtr revIDLastSave="0" documentId="13_ncr:1_{8A3EEC5E-7A12-43C4-B045-9E8AB06A481D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Home" sheetId="1" r:id="rId1"/>
    <sheet name="Configuration" sheetId="4" state="veryHidden" r:id="rId2"/>
    <sheet name="Liste" sheetId="5" state="veryHidden" r:id="rId3"/>
    <sheet name="Facturation Agence" sheetId="3" state="veryHidden" r:id="rId4"/>
    <sheet name="Facturation Negoce" sheetId="2" state="veryHidden" r:id="rId5"/>
    <sheet name="TDB Negoce" sheetId="8" state="veryHidden" r:id="rId6"/>
    <sheet name="TDB Agence" sheetId="9" state="veryHidden" r:id="rId7"/>
    <sheet name="Calcul Variable" sheetId="10" r:id="rId8"/>
    <sheet name="Détail Calcul" sheetId="12" state="veryHidden" r:id="rId9"/>
    <sheet name="Graphique Agence" sheetId="13" r:id="rId10"/>
    <sheet name="Graphique Négoce" sheetId="14" r:id="rId11"/>
    <sheet name="Graphique Global" sheetId="17" r:id="rId12"/>
    <sheet name="Détail Calcul Graphique" sheetId="16" state="veryHidden" r:id="rId13"/>
    <sheet name="Entrepot de données" sheetId="18" state="veryHidden" r:id="rId14"/>
  </sheets>
  <functionGroups builtInGroupCount="19"/>
  <definedNames>
    <definedName name="_xlnm._FilterDatabase" localSheetId="1" hidden="1">Configuration!$A$11:$L$39</definedName>
    <definedName name="_xlnm._FilterDatabase" localSheetId="8" hidden="1">'Détail Calcul'!$E$2:$I$178</definedName>
    <definedName name="_xlnm._FilterDatabase" localSheetId="13" hidden="1">'Entrepot de données'!$A$2:$E$225</definedName>
    <definedName name="_xlnm._FilterDatabase" localSheetId="3" hidden="1">'Facturation Agence'!$C$9:$L$3760</definedName>
    <definedName name="_xlnm._FilterDatabase" localSheetId="4" hidden="1">'Facturation Negoce'!$B$9:$P$196</definedName>
    <definedName name="Anne_N">'Graphique Agence'!$E$4</definedName>
    <definedName name="CellYear">'Calcul Variable'!$I$2</definedName>
    <definedName name="LstCommercial">OFFSET(Liste!$F$2,,,COUNTA(Liste!$F:$F)-1)</definedName>
    <definedName name="LstCommercialAgence">OFFSET('Facturation Agence'!$G$10,,,MAX(COUNTA('Facturation Agence'!$G$9:$G$64991)-1,1))</definedName>
    <definedName name="LstFabricant">OFFSET(Liste!$B$2,,,COUNTA(Liste!$B:$B)-1)</definedName>
    <definedName name="LstFactAgence">OFFSET('Facturation Agence'!$C$10,,,MAX(COUNTA('Facturation Agence'!$C$9:$C$64991)-1,1))</definedName>
    <definedName name="LstMarqueAgence">OFFSET('Facturation Agence'!$H$10,,,MAX(COUNTA('Facturation Agence'!$H$9:$H$64991)-1,1))</definedName>
    <definedName name="LstRegion">OFFSET(Liste!#REF!,,,COUNTA(Liste!#REF!)-1)</definedName>
    <definedName name="LstRegionAgence">OFFSET('Facturation Agence'!$I$10,,,MAX(COUNTA('Facturation Agence'!$I$9:$I$64991)-1,1))</definedName>
    <definedName name="LstRegRapp">OFFSET(Liste!$Q$2,,,COUNTA(Liste!$Q:$Q)-1)</definedName>
    <definedName name="LstSecteur">OFFSET(Liste!$D$2,,,COUNTA(Liste!$D:$D)-1)</definedName>
    <definedName name="LstTrimestreAgence">OFFSET('Facturation Agence'!$F$10,,,MAX(COUNTA('Facturation Agence'!$F$9:$F$64991)-1,1))</definedName>
    <definedName name="ParamAcces">Liste!$H$2:$O$12</definedName>
    <definedName name="PlageRapp1" localSheetId="6">'TDB Agence'!$C$18:$I$21</definedName>
    <definedName name="PlageRapp1" localSheetId="5">'TDB Negoce'!$C$15:$L$18</definedName>
    <definedName name="PlageRapp2" localSheetId="5">'TDB Negoce'!$C$25:$L$28</definedName>
    <definedName name="RecapAgence">'TDB Agence'!$C$18:$L$21</definedName>
    <definedName name="RecapAgenceFrance">'TDB Agence'!$C$30:$J$33</definedName>
    <definedName name="RecapNegoce" localSheetId="5">'TDB Negoce'!$C$37:$H$40</definedName>
    <definedName name="Rng_Marge_Agence">'Détail Calcul'!$E$3</definedName>
    <definedName name="Rng_Marge_Negoce">'Détail Calcul'!$N$3</definedName>
    <definedName name="RngAcces">Configuration!$B$113</definedName>
    <definedName name="RngAnne1" localSheetId="6">'TDB Agence'!$C$15</definedName>
    <definedName name="RngAnne1" localSheetId="5">'TDB Negoce'!$C$6</definedName>
    <definedName name="RngAnne2" localSheetId="6">'TDB Agence'!$D$15</definedName>
    <definedName name="RngAnne2" localSheetId="5">'TDB Negoce'!$C$20</definedName>
    <definedName name="RngAnneAgence">'Détail Calcul Graphique'!$CU$4</definedName>
    <definedName name="RngAnneGlobal">'Détail Calcul Graphique'!$EP$4</definedName>
    <definedName name="RngAnneNegoce">'Détail Calcul Graphique'!$DR$4</definedName>
    <definedName name="RngBDD">Configuration!$B$6</definedName>
    <definedName name="RngCA_Negoce">'Détail Calcul'!$R$3</definedName>
    <definedName name="RngCA_Region_Agence">'Détail Calcul'!$A$3</definedName>
    <definedName name="RngCnx">Configuration!$B$101</definedName>
    <definedName name="RngCommercial">'TDB Agence'!#REF!</definedName>
    <definedName name="RngFormat" localSheetId="3">'Facturation Agence'!$B$1:$L$1</definedName>
    <definedName name="RngFormat" localSheetId="4">'Facturation Negoce'!$B$1:$P$1</definedName>
    <definedName name="RngFormulasRecap">'TDB Negoce'!$E$34:$H$34</definedName>
    <definedName name="RngFormulNegoce" localSheetId="5">'TDB Negoce'!$I$13:$L$13</definedName>
    <definedName name="rngLstMessages">Configuration!$B$46:$C$70</definedName>
    <definedName name="RngMarque">'TDB Agence'!$C$5</definedName>
    <definedName name="RngMdp">Configuration!$B$74</definedName>
    <definedName name="RngMotif">Configuration!$B$78:$S$78</definedName>
    <definedName name="RngMV_Negoce">'Détail Calcul'!$K$3</definedName>
    <definedName name="RngParam">Configuration!$B$12:$O$39</definedName>
    <definedName name="RngParamGr">'Détail Calcul Graphique'!$EU$4:$EX$44</definedName>
    <definedName name="RngRegion">'TDB Agence'!$C$3</definedName>
    <definedName name="RngSession">Configuration!#REF!</definedName>
    <definedName name="RngSessionEncours">Configuration!$B$108</definedName>
    <definedName name="RngSheet">Configuration!$B$84:$C$95</definedName>
    <definedName name="Taux_de_marge_global1" localSheetId="6">'TDB Agence'!$C$12</definedName>
    <definedName name="Taux_de_marge_global1" localSheetId="5">'TDB Negoce'!$C$11</definedName>
    <definedName name="Taux_de_marge_global2">'TDB Negoce'!$C$22</definedName>
    <definedName name="ZnAnneAgence">OFFSET('Entrepot de données'!$A$2,,,COUNTA('Entrepot de données'!$A:$A))</definedName>
    <definedName name="ZnAnneNegoce">OFFSET('Entrepot de données'!$G$3,,,COUNTA('Entrepot de données'!$G:$G))</definedName>
    <definedName name="ZnCAAgence">OFFSET('Entrepot de données'!$E$2,,,COUNTA('Entrepot de données'!$A:$A))</definedName>
    <definedName name="ZnCANegoce">OFFSET('Entrepot de données'!$I$3,,,COUNTA('Entrepot de données'!$G:$G))</definedName>
    <definedName name="ZnMargeNegoce">OFFSET('Entrepot de données'!$J$3,,,COUNTA('Entrepot de données'!$G:$G))</definedName>
    <definedName name="ZnMarqueAgence">OFFSET('Entrepot de données'!$D$2,,,COUNTA('Entrepot de données'!$A:$A))</definedName>
    <definedName name="ZnSecteurAgence">OFFSET('Entrepot de données'!$C$2,,,COUNTA('Entrepot de données'!$A:$A))</definedName>
    <definedName name="ZnTrimestreAgence">OFFSET('Entrepot de données'!$B$2,,,COUNTA('Entrepot de données'!$A:$A))</definedName>
    <definedName name="ZnTrimestreNegoce">OFFSET('Entrepot de données'!$H$3,,,COUNTA('Entrepot de données'!$G:$G))</definedName>
    <definedName name="ZnWork" localSheetId="3">OFFSET('Facturation Agence'!$B$10:$L$10,,,MAX(COUNTA('Facturation Agence'!$B$9:$B$64991)-1,1))</definedName>
    <definedName name="ZnWork" localSheetId="4">OFFSET('Facturation Negoce'!$B$10:$P$10,,,MAX(COUNTA('Facturation Negoce'!$B$9:$B$45000)-1,1))</definedName>
    <definedName name="_xlnm.Print_Area" localSheetId="9">'Graphique Agence'!$A$1:$F$54</definedName>
    <definedName name="_xlnm.Print_Area" localSheetId="10">'Graphique Négoce'!$A$1:$C$29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8" i="8" l="1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H40" i="8"/>
  <c r="G40" i="8"/>
  <c r="F40" i="8"/>
  <c r="E40" i="8"/>
  <c r="H39" i="8"/>
  <c r="G39" i="8"/>
  <c r="F39" i="8"/>
  <c r="E39" i="8"/>
  <c r="H38" i="8"/>
  <c r="G38" i="8"/>
  <c r="F38" i="8"/>
  <c r="E38" i="8"/>
  <c r="H37" i="8"/>
  <c r="G37" i="8"/>
  <c r="F37" i="8"/>
  <c r="E37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EW17" i="16"/>
  <c r="E20" i="13"/>
  <c r="E12" i="13"/>
  <c r="EW4" i="16"/>
  <c r="EW32" i="16"/>
  <c r="EW33" i="16"/>
  <c r="EW34" i="16"/>
  <c r="EW35" i="16"/>
  <c r="EW29" i="16"/>
  <c r="EW30" i="16"/>
  <c r="EW31" i="16"/>
  <c r="EW28" i="16"/>
  <c r="EW25" i="16"/>
  <c r="EW26" i="16"/>
  <c r="EW27" i="16"/>
  <c r="EW24" i="16"/>
  <c r="EW20" i="16"/>
  <c r="EW21" i="16"/>
  <c r="EW22" i="16"/>
  <c r="EW23" i="16"/>
  <c r="EW16" i="16"/>
  <c r="EW18" i="16"/>
  <c r="EW19" i="16"/>
  <c r="EW13" i="16"/>
  <c r="EW14" i="16"/>
  <c r="EW15" i="16"/>
  <c r="EW12" i="16"/>
  <c r="EW8" i="16"/>
  <c r="EW9" i="16"/>
  <c r="EW10" i="16"/>
  <c r="EW11" i="16"/>
  <c r="EW5" i="16"/>
  <c r="EW6" i="16"/>
  <c r="EW7" i="16"/>
  <c r="DP3" i="16"/>
  <c r="DO3" i="16"/>
  <c r="DN3" i="16"/>
  <c r="DK3" i="16"/>
  <c r="DJ3" i="16"/>
  <c r="DI3" i="16"/>
  <c r="DF3" i="16"/>
  <c r="DE3" i="16"/>
  <c r="DD3" i="16"/>
  <c r="DA3" i="16"/>
  <c r="CZ3" i="16"/>
  <c r="CY3" i="16"/>
  <c r="CR2" i="16"/>
  <c r="CO2" i="16"/>
  <c r="CL2" i="16"/>
  <c r="CJ2" i="16"/>
  <c r="CI2" i="16"/>
  <c r="CH2" i="16"/>
  <c r="CF2" i="16"/>
  <c r="CE2" i="16"/>
  <c r="CD2" i="16"/>
  <c r="CB2" i="16"/>
  <c r="CA2" i="16"/>
  <c r="BZ2" i="16"/>
  <c r="BX2" i="16"/>
  <c r="BW2" i="16"/>
  <c r="BV2" i="16"/>
  <c r="BS2" i="16"/>
  <c r="BP2" i="16"/>
  <c r="BM2" i="16"/>
  <c r="BJ2" i="16"/>
  <c r="BG2" i="16"/>
  <c r="BD2" i="16"/>
  <c r="BA2" i="16"/>
  <c r="AX2" i="16"/>
  <c r="AU2" i="16"/>
  <c r="AR2" i="16"/>
  <c r="AO2" i="16"/>
  <c r="AL2" i="16"/>
  <c r="AI2" i="16"/>
  <c r="AF2" i="16"/>
  <c r="AC2" i="16"/>
  <c r="Z2" i="16"/>
  <c r="W2" i="16"/>
  <c r="T2" i="16"/>
  <c r="Q2" i="16"/>
  <c r="N2" i="16"/>
  <c r="K2" i="16"/>
  <c r="B2" i="16"/>
  <c r="E2" i="16"/>
  <c r="H2" i="16"/>
  <c r="C4" i="13"/>
  <c r="D4" i="13"/>
  <c r="ER5" i="16"/>
  <c r="ER6" i="16"/>
  <c r="ER7" i="16"/>
  <c r="ER8" i="16"/>
  <c r="ER9" i="16"/>
  <c r="ER10" i="16"/>
  <c r="ER11" i="16"/>
  <c r="ER12" i="16"/>
  <c r="ER13" i="16"/>
  <c r="ER14" i="16"/>
  <c r="ER4" i="16"/>
  <c r="EQ5" i="16"/>
  <c r="EQ6" i="16"/>
  <c r="EQ7" i="16"/>
  <c r="EQ8" i="16"/>
  <c r="EQ9" i="16"/>
  <c r="EQ10" i="16"/>
  <c r="EQ11" i="16"/>
  <c r="EQ12" i="16"/>
  <c r="EQ13" i="16"/>
  <c r="EQ14" i="16"/>
  <c r="EQ4" i="16"/>
  <c r="DT5" i="16"/>
  <c r="DT6" i="16"/>
  <c r="DT7" i="16"/>
  <c r="DT8" i="16"/>
  <c r="DT9" i="16"/>
  <c r="DT10" i="16"/>
  <c r="DT11" i="16"/>
  <c r="DT12" i="16"/>
  <c r="DT13" i="16"/>
  <c r="DT14" i="16"/>
  <c r="DT4" i="16"/>
  <c r="DS4" i="16"/>
  <c r="DS5" i="16"/>
  <c r="DS6" i="16"/>
  <c r="DS7" i="16"/>
  <c r="DS8" i="16"/>
  <c r="DS9" i="16"/>
  <c r="DS10" i="16"/>
  <c r="DS11" i="16"/>
  <c r="DS12" i="16"/>
  <c r="DS13" i="16"/>
  <c r="DS14" i="16"/>
  <c r="CV5" i="16"/>
  <c r="CV6" i="16"/>
  <c r="CV7" i="16"/>
  <c r="CV8" i="16"/>
  <c r="CV9" i="16"/>
  <c r="CV10" i="16"/>
  <c r="CV11" i="16"/>
  <c r="CV12" i="16"/>
  <c r="CV13" i="16"/>
  <c r="CV14" i="16"/>
  <c r="CV4" i="16"/>
  <c r="DP5" i="16"/>
  <c r="EN6" i="16" s="1"/>
  <c r="DP4" i="16"/>
  <c r="EN4" i="16" s="1"/>
  <c r="DO5" i="16"/>
  <c r="EM6" i="16" s="1"/>
  <c r="DO4" i="16"/>
  <c r="EM4" i="16" s="1"/>
  <c r="DN5" i="16"/>
  <c r="EL6" i="16" s="1"/>
  <c r="DN4" i="16"/>
  <c r="EL4" i="16" s="1"/>
  <c r="DK5" i="16"/>
  <c r="EI6" i="16" s="1"/>
  <c r="DK4" i="16"/>
  <c r="EI4" i="16" s="1"/>
  <c r="DJ5" i="16"/>
  <c r="EH6" i="16" s="1"/>
  <c r="DJ4" i="16"/>
  <c r="EH4" i="16" s="1"/>
  <c r="DI5" i="16"/>
  <c r="EG6" i="16" s="1"/>
  <c r="DI4" i="16"/>
  <c r="EG4" i="16" s="1"/>
  <c r="DF5" i="16"/>
  <c r="ED6" i="16" s="1"/>
  <c r="DF4" i="16"/>
  <c r="ED4" i="16" s="1"/>
  <c r="DE5" i="16"/>
  <c r="EC6" i="16" s="1"/>
  <c r="DE4" i="16"/>
  <c r="EC4" i="16" s="1"/>
  <c r="DD5" i="16"/>
  <c r="EB6" i="16" s="1"/>
  <c r="DD4" i="16"/>
  <c r="EB4" i="16" s="1"/>
  <c r="DA5" i="16"/>
  <c r="DY6" i="16" s="1"/>
  <c r="DA4" i="16"/>
  <c r="DY4" i="16" s="1"/>
  <c r="CZ5" i="16"/>
  <c r="CZ4" i="16"/>
  <c r="DX4" i="16" s="1"/>
  <c r="CY5" i="16"/>
  <c r="DW6" i="16" s="1"/>
  <c r="CY4" i="16"/>
  <c r="DW4" i="16" s="1"/>
  <c r="CJ4" i="16"/>
  <c r="E24" i="13" s="1"/>
  <c r="CI4" i="16"/>
  <c r="D24" i="13" s="1"/>
  <c r="CH4" i="16"/>
  <c r="C24" i="13" s="1"/>
  <c r="CF4" i="16"/>
  <c r="E23" i="13" s="1"/>
  <c r="CE4" i="16"/>
  <c r="D23" i="13" s="1"/>
  <c r="CD4" i="16"/>
  <c r="C23" i="13" s="1"/>
  <c r="CB4" i="16"/>
  <c r="E22" i="13" s="1"/>
  <c r="CA4" i="16"/>
  <c r="D22" i="13" s="1"/>
  <c r="BZ4" i="16"/>
  <c r="C22" i="13" s="1"/>
  <c r="BX4" i="16"/>
  <c r="E21" i="13" s="1"/>
  <c r="BW4" i="16"/>
  <c r="D21" i="13" s="1"/>
  <c r="BV4" i="16"/>
  <c r="C21" i="13" s="1"/>
  <c r="BT7" i="16"/>
  <c r="BT6" i="16"/>
  <c r="BT5" i="16"/>
  <c r="BT4" i="16"/>
  <c r="BQ7" i="16"/>
  <c r="BQ6" i="16"/>
  <c r="BQ5" i="16"/>
  <c r="BQ4" i="16"/>
  <c r="BN7" i="16"/>
  <c r="BN6" i="16"/>
  <c r="BN5" i="16"/>
  <c r="BN4" i="16"/>
  <c r="BK7" i="16"/>
  <c r="BK6" i="16"/>
  <c r="BK5" i="16"/>
  <c r="BK4" i="16"/>
  <c r="BH7" i="16"/>
  <c r="BH6" i="16"/>
  <c r="BH5" i="16"/>
  <c r="BH4" i="16"/>
  <c r="BE7" i="16"/>
  <c r="BE6" i="16"/>
  <c r="BE5" i="16"/>
  <c r="BE4" i="16"/>
  <c r="BB7" i="16"/>
  <c r="BB6" i="16"/>
  <c r="BB5" i="16"/>
  <c r="BB4" i="16"/>
  <c r="AY7" i="16"/>
  <c r="AY6" i="16"/>
  <c r="AY5" i="16"/>
  <c r="AY4" i="16"/>
  <c r="AV7" i="16"/>
  <c r="AV6" i="16"/>
  <c r="AV5" i="16"/>
  <c r="AV4" i="16"/>
  <c r="AS7" i="16"/>
  <c r="AS6" i="16"/>
  <c r="AS5" i="16"/>
  <c r="AS4" i="16"/>
  <c r="AP7" i="16"/>
  <c r="AP6" i="16"/>
  <c r="AP5" i="16"/>
  <c r="AP4" i="16"/>
  <c r="AM7" i="16"/>
  <c r="AM6" i="16"/>
  <c r="AM5" i="16"/>
  <c r="AM4" i="16"/>
  <c r="AJ12" i="16"/>
  <c r="AJ11" i="16"/>
  <c r="AJ10" i="16"/>
  <c r="AJ9" i="16"/>
  <c r="AJ8" i="16"/>
  <c r="AJ7" i="16"/>
  <c r="AJ6" i="16"/>
  <c r="AJ5" i="16"/>
  <c r="AJ4" i="16"/>
  <c r="AG12" i="16"/>
  <c r="AG11" i="16"/>
  <c r="AG10" i="16"/>
  <c r="AG9" i="16"/>
  <c r="AG8" i="16"/>
  <c r="AG7" i="16"/>
  <c r="AG6" i="16"/>
  <c r="AG5" i="16"/>
  <c r="AG4" i="16"/>
  <c r="AD12" i="16"/>
  <c r="AD11" i="16"/>
  <c r="AD10" i="16"/>
  <c r="AD9" i="16"/>
  <c r="AD8" i="16"/>
  <c r="AD7" i="16"/>
  <c r="AD6" i="16"/>
  <c r="AD5" i="16"/>
  <c r="AD4" i="16"/>
  <c r="AA12" i="16"/>
  <c r="AA11" i="16"/>
  <c r="AA10" i="16"/>
  <c r="AA9" i="16"/>
  <c r="AA8" i="16"/>
  <c r="AA7" i="16"/>
  <c r="AA6" i="16"/>
  <c r="AA5" i="16"/>
  <c r="AA4" i="16"/>
  <c r="X12" i="16"/>
  <c r="X11" i="16"/>
  <c r="X10" i="16"/>
  <c r="X9" i="16"/>
  <c r="X8" i="16"/>
  <c r="X7" i="16"/>
  <c r="X6" i="16"/>
  <c r="X5" i="16"/>
  <c r="X4" i="16"/>
  <c r="C5" i="16"/>
  <c r="C4" i="16"/>
  <c r="U12" i="16"/>
  <c r="U11" i="16"/>
  <c r="U10" i="16"/>
  <c r="U9" i="16"/>
  <c r="U8" i="16"/>
  <c r="U7" i="16"/>
  <c r="U6" i="16"/>
  <c r="U5" i="16"/>
  <c r="U4" i="16"/>
  <c r="R12" i="16"/>
  <c r="R11" i="16"/>
  <c r="R10" i="16"/>
  <c r="R9" i="16"/>
  <c r="R8" i="16"/>
  <c r="R7" i="16"/>
  <c r="R6" i="16"/>
  <c r="R5" i="16"/>
  <c r="R4" i="16"/>
  <c r="O12" i="16"/>
  <c r="O11" i="16"/>
  <c r="O10" i="16"/>
  <c r="O9" i="16"/>
  <c r="O8" i="16"/>
  <c r="O7" i="16"/>
  <c r="O6" i="16"/>
  <c r="O5" i="16"/>
  <c r="O4" i="16"/>
  <c r="L12" i="16"/>
  <c r="L11" i="16"/>
  <c r="L10" i="16"/>
  <c r="L9" i="16"/>
  <c r="L8" i="16"/>
  <c r="L7" i="16"/>
  <c r="L6" i="16"/>
  <c r="L5" i="16"/>
  <c r="L4" i="16"/>
  <c r="I12" i="16"/>
  <c r="I11" i="16"/>
  <c r="I10" i="16"/>
  <c r="I9" i="16"/>
  <c r="I8" i="16"/>
  <c r="I7" i="16"/>
  <c r="I6" i="16"/>
  <c r="I5" i="16"/>
  <c r="I4" i="16"/>
  <c r="F12" i="16"/>
  <c r="F11" i="16"/>
  <c r="F10" i="16"/>
  <c r="F9" i="16"/>
  <c r="F8" i="16"/>
  <c r="F7" i="16"/>
  <c r="F6" i="16"/>
  <c r="F5" i="16"/>
  <c r="F4" i="16"/>
  <c r="C12" i="16"/>
  <c r="C11" i="16"/>
  <c r="C10" i="16"/>
  <c r="C9" i="16"/>
  <c r="C8" i="16"/>
  <c r="C7" i="16"/>
  <c r="C6" i="16"/>
  <c r="D12" i="13"/>
  <c r="D20" i="13"/>
  <c r="C20" i="13"/>
  <c r="C12" i="13"/>
  <c r="DX6" i="16"/>
  <c r="DY3" i="16"/>
  <c r="ED3" i="16" s="1"/>
  <c r="EI3" i="16" s="1"/>
  <c r="EN3" i="16" s="1"/>
  <c r="DX3" i="16"/>
  <c r="EC3" i="16" s="1"/>
  <c r="EH3" i="16" s="1"/>
  <c r="EM3" i="16" s="1"/>
  <c r="DW3" i="16"/>
  <c r="EB3" i="16"/>
  <c r="EG3" i="16" s="1"/>
  <c r="EL3" i="16" s="1"/>
  <c r="D48" i="10"/>
  <c r="E48" i="10" s="1"/>
  <c r="D47" i="10"/>
  <c r="D46" i="10"/>
  <c r="E46" i="10" s="1"/>
  <c r="D45" i="10"/>
  <c r="D50" i="10" s="1"/>
  <c r="F23" i="10"/>
  <c r="E25" i="10"/>
  <c r="E24" i="10"/>
  <c r="E23" i="10"/>
  <c r="E22" i="10"/>
  <c r="C25" i="10"/>
  <c r="C24" i="10"/>
  <c r="C23" i="10"/>
  <c r="C22" i="10"/>
  <c r="F13" i="10"/>
  <c r="F12" i="10"/>
  <c r="F11" i="10"/>
  <c r="F10" i="10"/>
  <c r="D13" i="10"/>
  <c r="D12" i="10"/>
  <c r="I12" i="10" s="1"/>
  <c r="D11" i="10"/>
  <c r="D15" i="10" s="1"/>
  <c r="D10" i="10"/>
  <c r="C13" i="10"/>
  <c r="C12" i="10"/>
  <c r="C11" i="10"/>
  <c r="C10" i="10"/>
  <c r="G13" i="10"/>
  <c r="C48" i="10"/>
  <c r="C47" i="10"/>
  <c r="E47" i="10" s="1"/>
  <c r="C46" i="10"/>
  <c r="C45" i="10"/>
  <c r="G11" i="10"/>
  <c r="D37" i="10"/>
  <c r="D36" i="10"/>
  <c r="E36" i="10" s="1"/>
  <c r="D35" i="10"/>
  <c r="D34" i="10"/>
  <c r="D22" i="10"/>
  <c r="H22" i="10" s="1"/>
  <c r="E13" i="10"/>
  <c r="I13" i="10" s="1"/>
  <c r="E12" i="10"/>
  <c r="E11" i="10"/>
  <c r="E10" i="10"/>
  <c r="E15" i="10" s="1"/>
  <c r="D25" i="10"/>
  <c r="D24" i="10"/>
  <c r="D23" i="10"/>
  <c r="H23" i="10" s="1"/>
  <c r="F25" i="10"/>
  <c r="F27" i="10" s="1"/>
  <c r="H11" i="10"/>
  <c r="H15" i="10" s="1"/>
  <c r="H12" i="10"/>
  <c r="H13" i="10"/>
  <c r="L18" i="9"/>
  <c r="L21" i="9"/>
  <c r="L20" i="9"/>
  <c r="L19" i="9"/>
  <c r="K21" i="9"/>
  <c r="K20" i="9"/>
  <c r="K19" i="9"/>
  <c r="K18" i="9"/>
  <c r="I33" i="9"/>
  <c r="I32" i="9"/>
  <c r="I31" i="9"/>
  <c r="I30" i="9"/>
  <c r="J30" i="9"/>
  <c r="C35" i="10"/>
  <c r="C36" i="10"/>
  <c r="C37" i="10"/>
  <c r="C34" i="10"/>
  <c r="E34" i="10" s="1"/>
  <c r="G23" i="10"/>
  <c r="G24" i="10"/>
  <c r="G25" i="10"/>
  <c r="G22" i="10"/>
  <c r="G27" i="10" s="1"/>
  <c r="C39" i="10"/>
  <c r="E27" i="10"/>
  <c r="H10" i="10"/>
  <c r="G15" i="10"/>
  <c r="C27" i="10"/>
  <c r="F15" i="10"/>
  <c r="C15" i="10"/>
  <c r="J33" i="9"/>
  <c r="J32" i="9"/>
  <c r="J31" i="9"/>
  <c r="L13" i="8"/>
  <c r="K13" i="8"/>
  <c r="J13" i="8"/>
  <c r="I13" i="8"/>
  <c r="D17" i="9"/>
  <c r="D29" i="9"/>
  <c r="J29" i="9"/>
  <c r="C29" i="9"/>
  <c r="I29" i="9"/>
  <c r="G29" i="9"/>
  <c r="H29" i="9"/>
  <c r="E29" i="9"/>
  <c r="F29" i="9"/>
  <c r="L17" i="9"/>
  <c r="C17" i="9"/>
  <c r="K17" i="9"/>
  <c r="E17" i="9"/>
  <c r="F17" i="9"/>
  <c r="G17" i="9"/>
  <c r="H17" i="9"/>
  <c r="I17" i="9"/>
  <c r="J17" i="9"/>
  <c r="C36" i="8"/>
  <c r="G36" i="8"/>
  <c r="D36" i="8"/>
  <c r="H36" i="8"/>
  <c r="H34" i="8"/>
  <c r="G34" i="8"/>
  <c r="F34" i="8"/>
  <c r="E34" i="8"/>
  <c r="E36" i="8"/>
  <c r="F36" i="8"/>
  <c r="N2" i="1"/>
  <c r="H25" i="10" l="1"/>
  <c r="E37" i="10"/>
  <c r="I10" i="10"/>
  <c r="E35" i="10"/>
  <c r="E39" i="10" s="1"/>
  <c r="E45" i="10"/>
  <c r="E50" i="10" s="1"/>
  <c r="D39" i="10"/>
  <c r="H24" i="10"/>
  <c r="H27" i="10"/>
  <c r="D27" i="10"/>
  <c r="C50" i="10"/>
  <c r="I11" i="10"/>
  <c r="I15" i="10" s="1"/>
  <c r="CS5" i="16"/>
  <c r="CM4" i="16"/>
  <c r="CP6" i="16"/>
  <c r="EL5" i="16"/>
  <c r="EX15" i="16"/>
  <c r="EX16" i="16"/>
  <c r="EX20" i="16"/>
  <c r="EX24" i="16"/>
  <c r="EX17" i="16"/>
  <c r="EX23" i="16"/>
  <c r="EX27" i="16"/>
  <c r="CS12" i="16"/>
  <c r="CM7" i="16"/>
  <c r="EH5" i="16"/>
  <c r="CM8" i="16"/>
  <c r="EX8" i="16"/>
  <c r="CS10" i="16"/>
  <c r="ED5" i="16"/>
  <c r="EX6" i="16"/>
  <c r="CM12" i="16"/>
  <c r="CP11" i="16"/>
  <c r="CP9" i="16"/>
  <c r="CS4" i="16"/>
  <c r="CS8" i="16"/>
  <c r="EX5" i="16"/>
  <c r="EX14" i="16"/>
  <c r="CP5" i="16"/>
  <c r="EN5" i="16"/>
  <c r="EM5" i="16"/>
  <c r="CM9" i="16"/>
  <c r="CP4" i="16"/>
  <c r="CP8" i="16"/>
  <c r="EX21" i="16"/>
  <c r="EX25" i="16"/>
  <c r="EX18" i="16"/>
  <c r="EX22" i="16"/>
  <c r="EX26" i="16"/>
  <c r="EX19" i="16"/>
  <c r="CM10" i="16"/>
  <c r="CP12" i="16"/>
  <c r="CS11" i="16"/>
  <c r="EX10" i="16"/>
  <c r="CM11" i="16"/>
  <c r="CP10" i="16"/>
  <c r="CS9" i="16"/>
  <c r="DY5" i="16"/>
  <c r="CM6" i="16"/>
  <c r="EI5" i="16"/>
  <c r="EX7" i="16"/>
  <c r="EX11" i="16"/>
  <c r="EC5" i="16"/>
  <c r="EX9" i="16"/>
  <c r="EX12" i="16"/>
  <c r="EG5" i="16"/>
  <c r="CP7" i="16"/>
  <c r="DW5" i="16"/>
  <c r="EB5" i="16"/>
  <c r="EX13" i="16"/>
  <c r="EX4" i="16"/>
  <c r="CM5" i="16"/>
  <c r="CS7" i="16"/>
  <c r="DX5" i="16"/>
  <c r="CS6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ThinkPad</author>
  </authors>
  <commentList>
    <comment ref="J11" authorId="0" shapeId="0" xr:uid="{779C9706-71AA-4EE6-BC22-B0D845FBBD74}">
      <text>
        <r>
          <rPr>
            <b/>
            <sz val="9"/>
            <color indexed="81"/>
            <rFont val="Tahoma"/>
            <family val="2"/>
          </rPr>
          <t>Bilel :</t>
        </r>
        <r>
          <rPr>
            <sz val="9"/>
            <color indexed="81"/>
            <rFont val="Tahoma"/>
            <family val="2"/>
          </rPr>
          <t xml:space="preserve">
Mettre x si obligatoire
</t>
        </r>
      </text>
    </comment>
    <comment ref="L11" authorId="0" shapeId="0" xr:uid="{E0548B55-52BA-422B-8C11-B325391C3331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Nom de source de la liste déroulante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ThinkPad</author>
  </authors>
  <commentList>
    <comment ref="C9" authorId="0" shapeId="0" xr:uid="{A1182983-30CC-4815-AD7E-EB955C40C3A5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0,3% du C.A. hors Ile de France </t>
        </r>
      </text>
    </comment>
    <comment ref="E9" authorId="0" shapeId="0" xr:uid="{95E500D8-FB2F-4232-8F3E-3B433C7CC4D2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Prime trimestrielle par marque pour objectif cumulé atteint</t>
        </r>
      </text>
    </comment>
    <comment ref="F9" authorId="0" shapeId="0" xr:uid="{13607DE1-B613-47CE-8CDD-E5DDCC16BCC6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1,9% de 25% du C.A. NEGOCE € calculé par trimestre</t>
        </r>
      </text>
    </comment>
    <comment ref="G9" authorId="0" shapeId="0" xr:uid="{5B26AA03-C156-41F8-9558-5494BA8EA98E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Prime semestrielle de 300 € sur objectif de marge négoce </t>
        </r>
      </text>
    </comment>
    <comment ref="H9" authorId="0" shapeId="0" xr:uid="{E0388A94-3EC5-4B86-BE62-7277FA697D80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25% de montant variable Négoce</t>
        </r>
      </text>
    </comment>
    <comment ref="D21" authorId="0" shapeId="0" xr:uid="{A8384CC5-4877-4D5F-AAF4-F8B98984DC22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Prime trimestrielle par marque pour objectif cumulé atteint</t>
        </r>
      </text>
    </comment>
    <comment ref="E21" authorId="0" shapeId="0" xr:uid="{D92F38AC-90F7-47F2-823D-47D696B2231C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1,9% de 75% du C.A. NEGOCE € calculé par trimestre</t>
        </r>
      </text>
    </comment>
    <comment ref="F21" authorId="0" shapeId="0" xr:uid="{E2B0AAC5-249E-4AFD-93AF-362826E57B2D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Prime semestrielle de 600 € sur objectif de marge négoce </t>
        </r>
      </text>
    </comment>
    <comment ref="G21" authorId="0" shapeId="0" xr:uid="{364E867F-D6F2-4710-BB1F-73B96A4AC48C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75% de montant variable Négoce</t>
        </r>
      </text>
    </comment>
    <comment ref="D33" authorId="0" shapeId="0" xr:uid="{5AD83986-7A43-4D19-9158-270A7AE84AB2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Prime trimestrielle par marque pour objectif cumulé atteint</t>
        </r>
      </text>
    </comment>
    <comment ref="D44" authorId="0" shapeId="0" xr:uid="{920054B0-CB38-4B2B-AF83-30E6126D149A}">
      <text>
        <r>
          <rPr>
            <b/>
            <sz val="9"/>
            <color indexed="81"/>
            <rFont val="Tahoma"/>
            <family val="2"/>
          </rPr>
          <t>ThinkPad:</t>
        </r>
        <r>
          <rPr>
            <sz val="9"/>
            <color indexed="81"/>
            <rFont val="Tahoma"/>
            <family val="2"/>
          </rPr>
          <t xml:space="preserve">
Prime trimestrielle par marque pour objectif cumulé atteint</t>
        </r>
      </text>
    </comment>
  </commentList>
</comments>
</file>

<file path=xl/sharedStrings.xml><?xml version="1.0" encoding="utf-8"?>
<sst xmlns="http://schemas.openxmlformats.org/spreadsheetml/2006/main" count="17681" uniqueCount="1820">
  <si>
    <t>Admin : A ne pas modifier !</t>
  </si>
  <si>
    <t>Paramétrage des champs des formulaires</t>
  </si>
  <si>
    <t>#</t>
  </si>
  <si>
    <t>Formulaire (Code name)</t>
  </si>
  <si>
    <t>Formulaire désignation</t>
  </si>
  <si>
    <t>Contrôle Codename</t>
  </si>
  <si>
    <t>Type de contrôle</t>
  </si>
  <si>
    <t>Désignation</t>
  </si>
  <si>
    <t>Onglet source code name</t>
  </si>
  <si>
    <t>Colonne source</t>
  </si>
  <si>
    <t>Obligatoire</t>
  </si>
  <si>
    <t>Message si obligatoire et pas renseigné</t>
  </si>
  <si>
    <t>Source Liste</t>
  </si>
  <si>
    <t>Liste exhaustif</t>
  </si>
  <si>
    <t>TextBox</t>
  </si>
  <si>
    <t>F_BDD_Parcelle</t>
  </si>
  <si>
    <t>x</t>
  </si>
  <si>
    <t>Combobox</t>
  </si>
  <si>
    <t>F_BDD_Observation</t>
  </si>
  <si>
    <t>Messages de système</t>
  </si>
  <si>
    <t>Message</t>
  </si>
  <si>
    <t>Une erreur s'est produite. Merci de contacter un Admin.</t>
  </si>
  <si>
    <t>Mot de passe Admin</t>
  </si>
  <si>
    <t>Vérifier que le CSV est valide</t>
  </si>
  <si>
    <t>(produit) type produit</t>
  </si>
  <si>
    <t>(produit) numero AMM</t>
  </si>
  <si>
    <t>(produit) nom produit</t>
  </si>
  <si>
    <t>(produit) seconds noms commerciaux</t>
  </si>
  <si>
    <t>(produit) titulaire</t>
  </si>
  <si>
    <t>(produit) type commercial</t>
  </si>
  <si>
    <t>(produit) gamme usage</t>
  </si>
  <si>
    <t>(produit) mentions autorisees</t>
  </si>
  <si>
    <t>(produit) restrictions usage</t>
  </si>
  <si>
    <t>(produit) restrictions usage libelle</t>
  </si>
  <si>
    <t>(produit) Substances actives</t>
  </si>
  <si>
    <t>(produit) fonctions</t>
  </si>
  <si>
    <t>(produit) formulations</t>
  </si>
  <si>
    <t>(produit) Etat d’autorisation</t>
  </si>
  <si>
    <t>(produit) Date de retrait du produit</t>
  </si>
  <si>
    <t>(produit) Date de première autorisation</t>
  </si>
  <si>
    <t>(produit) Numéro AMM du produit de référence</t>
  </si>
  <si>
    <t>(produit) Nom du produit de référence</t>
  </si>
  <si>
    <t>Liste des onglets dans le fichier</t>
  </si>
  <si>
    <t>CodeName</t>
  </si>
  <si>
    <t>Onglet</t>
  </si>
  <si>
    <t>F_Admin</t>
  </si>
  <si>
    <t>Configuration</t>
  </si>
  <si>
    <t>F_BDD_Client</t>
  </si>
  <si>
    <t>BDD client</t>
  </si>
  <si>
    <t>F_BDD_Commune</t>
  </si>
  <si>
    <t>BDD commune</t>
  </si>
  <si>
    <t>BDD diagnostic</t>
  </si>
  <si>
    <t>BDD parcelle</t>
  </si>
  <si>
    <t>F_BDD_Produit</t>
  </si>
  <si>
    <t>BDD produit</t>
  </si>
  <si>
    <t>F_Home</t>
  </si>
  <si>
    <t>Accueil</t>
  </si>
  <si>
    <t>F_Liste</t>
  </si>
  <si>
    <t>BDD liste</t>
  </si>
  <si>
    <t>F_Page</t>
  </si>
  <si>
    <t>Modèle ordonnace</t>
  </si>
  <si>
    <t>F_PageBis</t>
  </si>
  <si>
    <t>Ordonnace Page 2</t>
  </si>
  <si>
    <t>F_Verso</t>
  </si>
  <si>
    <t>Verso</t>
  </si>
  <si>
    <t>F_Verso2</t>
  </si>
  <si>
    <t>Verso 2</t>
  </si>
  <si>
    <t>Fabricants</t>
  </si>
  <si>
    <t>PRANDINA</t>
  </si>
  <si>
    <t>NOVAMOBILI</t>
  </si>
  <si>
    <t>MYCORE</t>
  </si>
  <si>
    <t>GLAMORA</t>
  </si>
  <si>
    <t>BLA STATION</t>
  </si>
  <si>
    <t>NIDI</t>
  </si>
  <si>
    <t>Secteurs</t>
  </si>
  <si>
    <t>OUEST</t>
  </si>
  <si>
    <t>ID</t>
  </si>
  <si>
    <t>N° Fcature</t>
  </si>
  <si>
    <t>Client</t>
  </si>
  <si>
    <t>Date</t>
  </si>
  <si>
    <t>Trimestre</t>
  </si>
  <si>
    <t>Commercial</t>
  </si>
  <si>
    <t>Marque</t>
  </si>
  <si>
    <t>Région</t>
  </si>
  <si>
    <t>Montant HT</t>
  </si>
  <si>
    <t>Port</t>
  </si>
  <si>
    <t>Montant Net HT</t>
  </si>
  <si>
    <t>Exceloco2021</t>
  </si>
  <si>
    <t>Un problème est survenu lors de la connexion à votre base des données. Merci de contacter un Admin.</t>
  </si>
  <si>
    <t>Le lien vers la BDD n'est pas valide. Merci de contacter un Admin.</t>
  </si>
  <si>
    <t>Champ Unique</t>
  </si>
  <si>
    <t>Message si Erreur</t>
  </si>
  <si>
    <t>UF_Facture_Agence</t>
  </si>
  <si>
    <t>ID :</t>
  </si>
  <si>
    <t>Client :</t>
  </si>
  <si>
    <t>Date :</t>
  </si>
  <si>
    <t>Trimestre :</t>
  </si>
  <si>
    <t>Commercial :</t>
  </si>
  <si>
    <t>Marque :</t>
  </si>
  <si>
    <t>Région :</t>
  </si>
  <si>
    <t>Montant HT :</t>
  </si>
  <si>
    <t>Port :</t>
  </si>
  <si>
    <t>Montant Net HT :</t>
  </si>
  <si>
    <t>Détail d'une facture agence</t>
  </si>
  <si>
    <t>Txt_Numero</t>
  </si>
  <si>
    <t>Txt_Num_Facture</t>
  </si>
  <si>
    <t>Cbb_Client</t>
  </si>
  <si>
    <t>Txt_Date</t>
  </si>
  <si>
    <t>Txt_Trimestre</t>
  </si>
  <si>
    <t>Cbb_Commercial</t>
  </si>
  <si>
    <t>Cbb_Marque</t>
  </si>
  <si>
    <t>Cbb_Region</t>
  </si>
  <si>
    <t>Txt_Montant</t>
  </si>
  <si>
    <t>Txt_Port</t>
  </si>
  <si>
    <t>Txt_Montant_Net</t>
  </si>
  <si>
    <t>Merci de renseigner le numér de facture</t>
  </si>
  <si>
    <t>Merci de renseigner le client</t>
  </si>
  <si>
    <t>Merci de renseigner le commercial</t>
  </si>
  <si>
    <t>Merci de renseigner la date de la facture</t>
  </si>
  <si>
    <t>Merci de renseigner la marque</t>
  </si>
  <si>
    <t>Merci de renseigner la région</t>
  </si>
  <si>
    <t>Merci de renseigner le montant</t>
  </si>
  <si>
    <t>Nicolas Certelli</t>
  </si>
  <si>
    <t>Gabrielle Morvan</t>
  </si>
  <si>
    <t>Emeline Paris</t>
  </si>
  <si>
    <t>LstCommercial</t>
  </si>
  <si>
    <t>LstFabricant</t>
  </si>
  <si>
    <t>Le réseau PCM n’étant pas disponible, vous ne pouvez pas effectuer des modifications.</t>
  </si>
  <si>
    <t>Merci de sélectionner une facture</t>
  </si>
  <si>
    <t>Une facture agence a été supprimée de votre base de données.</t>
  </si>
  <si>
    <t>La liste des factures agences est actualisée.</t>
  </si>
  <si>
    <t>Merci de renseigner le montant net</t>
  </si>
  <si>
    <t>Date Fact. PCM</t>
  </si>
  <si>
    <t>N° Fact. PCM</t>
  </si>
  <si>
    <t>Réf</t>
  </si>
  <si>
    <t>Montant H.T.</t>
  </si>
  <si>
    <t>Com. et extérieur</t>
  </si>
  <si>
    <t>Fabricant</t>
  </si>
  <si>
    <t>CONFIRM.N°</t>
  </si>
  <si>
    <t>N° facture fabricant</t>
  </si>
  <si>
    <t>MONTANT MB</t>
  </si>
  <si>
    <t>% MB</t>
  </si>
  <si>
    <t>TAUX VARIABLE</t>
  </si>
  <si>
    <t>Montant Variable</t>
  </si>
  <si>
    <t>UF_Facture_Negoce</t>
  </si>
  <si>
    <t>Détail d'une facture Négoce</t>
  </si>
  <si>
    <t>Txt_Ref</t>
  </si>
  <si>
    <t>Txt_Commission</t>
  </si>
  <si>
    <t>Commision  :</t>
  </si>
  <si>
    <t>Fabricant :</t>
  </si>
  <si>
    <t>Txt_Confirmation_Num</t>
  </si>
  <si>
    <t>CONFIRM.N° :</t>
  </si>
  <si>
    <t>Txt_Montant_Fabricant</t>
  </si>
  <si>
    <t>Txt_Facture_Fab</t>
  </si>
  <si>
    <t>N° Facture :</t>
  </si>
  <si>
    <t>Réf :</t>
  </si>
  <si>
    <t>Merci de renseigner le fabricant</t>
  </si>
  <si>
    <t>Merci de renseigner le montant fabricant</t>
  </si>
  <si>
    <t>Une facture Negoce a été supprimée de votre base de données.</t>
  </si>
  <si>
    <t>La liste des factures Negoce est actualisée.</t>
  </si>
  <si>
    <t>La liste des facture Agence est vide.</t>
  </si>
  <si>
    <t>UNITE MARGE</t>
  </si>
  <si>
    <t>CUMUL MARGE</t>
  </si>
  <si>
    <t>OBJECTIF MARGE</t>
  </si>
  <si>
    <t>% sur OBJECTIF</t>
  </si>
  <si>
    <t>Base de Rémunér.</t>
  </si>
  <si>
    <t>Variable Nicolas</t>
  </si>
  <si>
    <t>Prime Nicolas</t>
  </si>
  <si>
    <t>Variable Gabrielle</t>
  </si>
  <si>
    <t>Prime Gabrielle</t>
  </si>
  <si>
    <t>Evolution de la marge</t>
  </si>
  <si>
    <t>Evolution de chiffre d'affaire</t>
  </si>
  <si>
    <t>TRIMESTRE</t>
  </si>
  <si>
    <t>RAPPEL CUMUL C.A.</t>
  </si>
  <si>
    <t>Année :</t>
  </si>
  <si>
    <t>Taux de marge global</t>
  </si>
  <si>
    <t>CA</t>
  </si>
  <si>
    <t>Txt_P_MB</t>
  </si>
  <si>
    <t>Txt_MB</t>
  </si>
  <si>
    <t>Txt_TV</t>
  </si>
  <si>
    <t>Txt_MV</t>
  </si>
  <si>
    <t>MONTANT MB :</t>
  </si>
  <si>
    <t>% MB :</t>
  </si>
  <si>
    <t>TAUX VARIABLE :</t>
  </si>
  <si>
    <t>Montant Variable :</t>
  </si>
  <si>
    <t>C.A.</t>
  </si>
  <si>
    <t>CUMULE CA</t>
  </si>
  <si>
    <t>TX VARIABLE</t>
  </si>
  <si>
    <t>VARIABLE</t>
  </si>
  <si>
    <t>OBJECTIF</t>
  </si>
  <si>
    <t>% OBJECTIF</t>
  </si>
  <si>
    <t>PRIME</t>
  </si>
  <si>
    <t>RECAP ANNUEL FRANCE</t>
  </si>
  <si>
    <t>La liste des factures Negoce est vide.</t>
  </si>
  <si>
    <t>Merci de sélectionner une marque.</t>
  </si>
  <si>
    <t>LstSecteur</t>
  </si>
  <si>
    <t>IDF</t>
  </si>
  <si>
    <t>R-A - PACA</t>
  </si>
  <si>
    <t>RESTE</t>
  </si>
  <si>
    <t>RECAP REGION</t>
  </si>
  <si>
    <t>ZERO LIGHTING</t>
  </si>
  <si>
    <t>BONALDO</t>
  </si>
  <si>
    <t>Total</t>
  </si>
  <si>
    <t>CA (HT)</t>
  </si>
  <si>
    <t>Activité Agence</t>
  </si>
  <si>
    <t>Objectif cummulé</t>
  </si>
  <si>
    <t xml:space="preserve">CA </t>
  </si>
  <si>
    <t>Semestre</t>
  </si>
  <si>
    <t>Marge réalisée</t>
  </si>
  <si>
    <t>Activité Négoce</t>
  </si>
  <si>
    <t>Objectif Marge</t>
  </si>
  <si>
    <t>CA Cumulé (HT)</t>
  </si>
  <si>
    <t xml:space="preserve">% C.A. Ile de France </t>
  </si>
  <si>
    <t>Prime objectif cumulé atteint</t>
  </si>
  <si>
    <t>% C.A. NEGOCE</t>
  </si>
  <si>
    <t xml:space="preserve">Prime objectif de marge négoce </t>
  </si>
  <si>
    <t>Agence</t>
  </si>
  <si>
    <t>Négoce</t>
  </si>
  <si>
    <t>% Montant variable Négoce</t>
  </si>
  <si>
    <t>% C.A. R-A et PACA</t>
  </si>
  <si>
    <t>Mot de passe incorrect</t>
  </si>
  <si>
    <t>Une facture avec ce numéro existe déjà.</t>
  </si>
  <si>
    <t>F_Facturation_Negoce</t>
  </si>
  <si>
    <t>F_Facturation_Agence</t>
  </si>
  <si>
    <t>Année</t>
  </si>
  <si>
    <t>Merci de renseigner l'année N.</t>
  </si>
  <si>
    <t>Attention année N-1 ne deverait pas être supérieur à l'année N.</t>
  </si>
  <si>
    <t>Traitement terminée !</t>
  </si>
  <si>
    <t xml:space="preserve">% C.A. Hors Ile de France </t>
  </si>
  <si>
    <t>F1017</t>
  </si>
  <si>
    <t>APC DESIGN - CLOVIS</t>
  </si>
  <si>
    <t>Philippe Congost</t>
  </si>
  <si>
    <t>Béatrice Cavarec</t>
  </si>
  <si>
    <t>CIDER</t>
  </si>
  <si>
    <t>REFERENCES DECO</t>
  </si>
  <si>
    <t>F1018</t>
  </si>
  <si>
    <t>LBR CONCEPT</t>
  </si>
  <si>
    <t>F1019</t>
  </si>
  <si>
    <t>ATELIER MG</t>
  </si>
  <si>
    <t>ELODIE TORNARE</t>
  </si>
  <si>
    <t>F1027-F1028</t>
  </si>
  <si>
    <t>TORRI CAMARDA</t>
  </si>
  <si>
    <t>1296-1297</t>
  </si>
  <si>
    <t>DIVERS</t>
  </si>
  <si>
    <t>F1029</t>
  </si>
  <si>
    <t>ERIC BABINET</t>
  </si>
  <si>
    <t>F1030</t>
  </si>
  <si>
    <t>F1032</t>
  </si>
  <si>
    <t>NICOLAS VACHON</t>
  </si>
  <si>
    <t>27-43-55-71</t>
  </si>
  <si>
    <t>F1033</t>
  </si>
  <si>
    <t>ZHAO CHEN</t>
  </si>
  <si>
    <t>F1037</t>
  </si>
  <si>
    <t>MFL OPHTALMO</t>
  </si>
  <si>
    <t>54-71-58</t>
  </si>
  <si>
    <t>Gestion des accèes</t>
  </si>
  <si>
    <t>Employé</t>
  </si>
  <si>
    <t>Session Windows</t>
  </si>
  <si>
    <t>Il peut Voir le rapport Agence ?</t>
  </si>
  <si>
    <t>Il peut voir le rapport Négoce ?</t>
  </si>
  <si>
    <t>il voit le calcul de variable de qui ?</t>
  </si>
  <si>
    <t>Il voit les factures de qui ?</t>
  </si>
  <si>
    <t>Nicolas</t>
  </si>
  <si>
    <t>OUI</t>
  </si>
  <si>
    <t>Tout</t>
  </si>
  <si>
    <t>Session autorisée</t>
  </si>
  <si>
    <t>Supprimer &amp; créer des factures</t>
  </si>
  <si>
    <t>Emeline</t>
  </si>
  <si>
    <t>NON</t>
  </si>
  <si>
    <t>Marie-Gabrielle</t>
  </si>
  <si>
    <t>Philipe Congost</t>
  </si>
  <si>
    <t>Philippe</t>
  </si>
  <si>
    <t>Catherine Congost</t>
  </si>
  <si>
    <t>Catherine</t>
  </si>
  <si>
    <t>Cette session n'est pas autorisée à utiliser cette fonctionnalité.</t>
  </si>
  <si>
    <t>INTERIEUR LITTOZ</t>
  </si>
  <si>
    <t>JLM DECO</t>
  </si>
  <si>
    <t>PARDIN LAGRESLE</t>
  </si>
  <si>
    <t>QUESTIONS D'INTERIEUR</t>
  </si>
  <si>
    <t>SOFAFORM</t>
  </si>
  <si>
    <t>FINAT NORMAND</t>
  </si>
  <si>
    <t>HISTOIRE DU BAIN</t>
  </si>
  <si>
    <t>MEUBLE G SASU</t>
  </si>
  <si>
    <t>ALS SARL</t>
  </si>
  <si>
    <t>NIO AGENCY</t>
  </si>
  <si>
    <t>COCON DE COULEURS</t>
  </si>
  <si>
    <t>ALTA MENTE</t>
  </si>
  <si>
    <t xml:space="preserve"> F1022-F1034</t>
  </si>
  <si>
    <t>F1043</t>
  </si>
  <si>
    <t>NICOLAS LEROY</t>
  </si>
  <si>
    <t>F1040</t>
  </si>
  <si>
    <t>CLEMENCE TORRENTE</t>
  </si>
  <si>
    <t>F1004-F1064</t>
  </si>
  <si>
    <t>NEONATA</t>
  </si>
  <si>
    <t>5037 à 5043</t>
  </si>
  <si>
    <t>F1041-F1062</t>
  </si>
  <si>
    <t>HENRI PIAT</t>
  </si>
  <si>
    <t>321-2</t>
  </si>
  <si>
    <t>F1054</t>
  </si>
  <si>
    <t>FLORIANE BART</t>
  </si>
  <si>
    <t>F1057</t>
  </si>
  <si>
    <t>PREVOTAT</t>
  </si>
  <si>
    <t>F1063</t>
  </si>
  <si>
    <t>RICHMONT MONACO</t>
  </si>
  <si>
    <t>F1042-F1066</t>
  </si>
  <si>
    <t>OUHABA DALLEMAGNE</t>
  </si>
  <si>
    <t>F1072-F1073</t>
  </si>
  <si>
    <t>NICOLAS CAMBIER</t>
  </si>
  <si>
    <t>F1045-F1086</t>
  </si>
  <si>
    <t>ALINE GERMAIN</t>
  </si>
  <si>
    <t>F1055-F1083</t>
  </si>
  <si>
    <t>SARL PIERFIL</t>
  </si>
  <si>
    <t>F1077</t>
  </si>
  <si>
    <t>ARTE CREA</t>
  </si>
  <si>
    <t>F1058-F1091</t>
  </si>
  <si>
    <t>LE BARON EMILIE</t>
  </si>
  <si>
    <t>F.6918-6919-6973</t>
  </si>
  <si>
    <t>F1046</t>
  </si>
  <si>
    <t>STE PIERFIL</t>
  </si>
  <si>
    <t>50011-53850 PARTIE</t>
  </si>
  <si>
    <t>F1048</t>
  </si>
  <si>
    <t>LE BARON</t>
  </si>
  <si>
    <t>F1089</t>
  </si>
  <si>
    <t>MME MARIA CERTELLI</t>
  </si>
  <si>
    <t>F1087-F1106</t>
  </si>
  <si>
    <t>SCHILTZ</t>
  </si>
  <si>
    <t>489-2</t>
  </si>
  <si>
    <t>F1093</t>
  </si>
  <si>
    <t>F1098</t>
  </si>
  <si>
    <t>DEVISCOURT</t>
  </si>
  <si>
    <t>JL MATHIEU PEINTURE</t>
  </si>
  <si>
    <t>F1067-F1107</t>
  </si>
  <si>
    <t>BELLANGER JULIE</t>
  </si>
  <si>
    <t>F1053-F1102</t>
  </si>
  <si>
    <t>MOGA TORELLA</t>
  </si>
  <si>
    <t>442-2</t>
  </si>
  <si>
    <t>F1111-F1112</t>
  </si>
  <si>
    <t>BARKANTS</t>
  </si>
  <si>
    <t>F1096</t>
  </si>
  <si>
    <t>ACMB</t>
  </si>
  <si>
    <t>F1113</t>
  </si>
  <si>
    <t>CORUSCANT</t>
  </si>
  <si>
    <t>F1081-F1119</t>
  </si>
  <si>
    <t>FRAMMO - M. MOOCK</t>
  </si>
  <si>
    <t>10547-10548-10549</t>
  </si>
  <si>
    <t>F1108</t>
  </si>
  <si>
    <t>FRAMMO - GLAMORA</t>
  </si>
  <si>
    <t>F1115</t>
  </si>
  <si>
    <t>GERARD THERIN</t>
  </si>
  <si>
    <t>F1076-F1118</t>
  </si>
  <si>
    <t>DAVID ELLIA</t>
  </si>
  <si>
    <t>F1047</t>
  </si>
  <si>
    <t>LACHAIZE</t>
  </si>
  <si>
    <t>F1105-F1116</t>
  </si>
  <si>
    <t>IHT</t>
  </si>
  <si>
    <t>F1097</t>
  </si>
  <si>
    <t>LA MAISON D'ISABELLE</t>
  </si>
  <si>
    <t>F1082-F1123</t>
  </si>
  <si>
    <t xml:space="preserve">FRAMMO </t>
  </si>
  <si>
    <t>F1094</t>
  </si>
  <si>
    <t>CHRISTINE BODINO</t>
  </si>
  <si>
    <t>JULIE D CO</t>
  </si>
  <si>
    <t>OBBO DESIGN</t>
  </si>
  <si>
    <t>AGNES LUTHIER</t>
  </si>
  <si>
    <t>DOM DECO CREATION</t>
  </si>
  <si>
    <t>EMERGENCE EURL</t>
  </si>
  <si>
    <t>AGENCE PCM - RICHMONT MONACO</t>
  </si>
  <si>
    <t>ITALY DESIGN EURL</t>
  </si>
  <si>
    <t>50796 B</t>
  </si>
  <si>
    <t>MD CONCEPT SASU</t>
  </si>
  <si>
    <t>AGENCE PCM - ALINE GERMAIN</t>
  </si>
  <si>
    <t>SILVERA LYON</t>
  </si>
  <si>
    <t>CLOTILDE HERMAN TENDANCE DECO</t>
  </si>
  <si>
    <t>MOBILIERS JACQUES PALAIS</t>
  </si>
  <si>
    <t>RAOUL BRUYERE AMEUBLEMENT</t>
  </si>
  <si>
    <t>VALERIE BARTH</t>
  </si>
  <si>
    <t>AB STRUCTURES</t>
  </si>
  <si>
    <t>INSIDE BY DENARIE</t>
  </si>
  <si>
    <t>AGENCE PCM - JL MATHIEU PEINTURE</t>
  </si>
  <si>
    <t>F1099</t>
  </si>
  <si>
    <t>AGENCE PCM - FRAMMO</t>
  </si>
  <si>
    <t>AGENCE PCM FRAMMO</t>
  </si>
  <si>
    <t>AGENCE PCM - CHRISTINE BODINO</t>
  </si>
  <si>
    <t>ThinkPad</t>
  </si>
  <si>
    <t>ALLURE SOFT DESIGN</t>
  </si>
  <si>
    <t>EGSO</t>
  </si>
  <si>
    <t>LES FEES DECORATION</t>
  </si>
  <si>
    <t>BERENI SARL</t>
  </si>
  <si>
    <t>BATTISTELLA</t>
  </si>
  <si>
    <t>Region</t>
  </si>
  <si>
    <t>AGENCE PCM - APC DESIGN</t>
  </si>
  <si>
    <t>GALEO</t>
  </si>
  <si>
    <t>GLOBAL EQUIPEMENT</t>
  </si>
  <si>
    <t>K-RE CONCEPT</t>
  </si>
  <si>
    <t>SILVERA KLEBER</t>
  </si>
  <si>
    <t>MOORE DESIGN</t>
  </si>
  <si>
    <t>SILVERA BASTILLE</t>
  </si>
  <si>
    <t>ARCHETYPE</t>
  </si>
  <si>
    <t>GALERIE MOBLER</t>
  </si>
  <si>
    <t>ESPACE LUMIERE</t>
  </si>
  <si>
    <t>BROGLE MOBILIER</t>
  </si>
  <si>
    <t>CARACTERE</t>
  </si>
  <si>
    <t>ISA MO</t>
  </si>
  <si>
    <t>LH CREATION</t>
  </si>
  <si>
    <t>VESTIBULE</t>
  </si>
  <si>
    <t>OAK INTERIOR DESIGN</t>
  </si>
  <si>
    <t>TERRE DESIGN</t>
  </si>
  <si>
    <t>SYMPHONIA</t>
  </si>
  <si>
    <t>MEUBLES JOSEPH WOLFF</t>
  </si>
  <si>
    <t>ELASTABIL</t>
  </si>
  <si>
    <t>REINVENT</t>
  </si>
  <si>
    <t>TOPPER EXPANSION</t>
  </si>
  <si>
    <t>CLIMENT MOBILIER</t>
  </si>
  <si>
    <t>RBC PARIS</t>
  </si>
  <si>
    <t>CUISINE DU DONJON - ACDC</t>
  </si>
  <si>
    <t>C-INTERIEUR</t>
  </si>
  <si>
    <t>DIM</t>
  </si>
  <si>
    <t>LV RIEM</t>
  </si>
  <si>
    <t>MURY SARL</t>
  </si>
  <si>
    <t>AZUR DECOR</t>
  </si>
  <si>
    <t>AXIOME</t>
  </si>
  <si>
    <t>COLLECTION 79</t>
  </si>
  <si>
    <t>145EX</t>
  </si>
  <si>
    <t>DESIGN 22</t>
  </si>
  <si>
    <t>GICQUEL SYLVAIN (Anne-Solenn Cherat)</t>
  </si>
  <si>
    <t>KINNARPS</t>
  </si>
  <si>
    <t>BONAPARTE</t>
  </si>
  <si>
    <t>ANNE SOLENN CHERAT</t>
  </si>
  <si>
    <t>COMPAGNIE DES PAPIERS</t>
  </si>
  <si>
    <t>ALCHIMIE</t>
  </si>
  <si>
    <t>RECTA DESIGN</t>
  </si>
  <si>
    <t>50006'</t>
  </si>
  <si>
    <t>50007'</t>
  </si>
  <si>
    <t>50008'</t>
  </si>
  <si>
    <t>50009'</t>
  </si>
  <si>
    <t>50010'</t>
  </si>
  <si>
    <t>50011'</t>
  </si>
  <si>
    <t>FAMILY FACTORY</t>
  </si>
  <si>
    <t>FENZY DESIGN</t>
  </si>
  <si>
    <t>50295'</t>
  </si>
  <si>
    <t>50298'</t>
  </si>
  <si>
    <t>STELLA</t>
  </si>
  <si>
    <t>ORY CONSULTING</t>
  </si>
  <si>
    <t>SEC SILVERA</t>
  </si>
  <si>
    <t>50598'</t>
  </si>
  <si>
    <t>50672'</t>
  </si>
  <si>
    <t>VASSARD OMB</t>
  </si>
  <si>
    <t>TETRIS BELGIQUE</t>
  </si>
  <si>
    <t>CABS AMENAGEMENT</t>
  </si>
  <si>
    <t>DPC</t>
  </si>
  <si>
    <t>ORANGELO</t>
  </si>
  <si>
    <t>AGENCE PCM - FAYAT INSIGHT</t>
  </si>
  <si>
    <t>AGENCE PCM - LBR CONCEPT</t>
  </si>
  <si>
    <t>AGENCE PCM - ELODIE TORNARE</t>
  </si>
  <si>
    <t>AGENCE PCM - ATELIER MG</t>
  </si>
  <si>
    <t>AGENCE PCM - TORRI</t>
  </si>
  <si>
    <t>AGENCE PCM-TORRI</t>
  </si>
  <si>
    <t>CONF210222</t>
  </si>
  <si>
    <t>AGENCE PCM-REFERENCES DECO</t>
  </si>
  <si>
    <t>TB AMENAGEMENT</t>
  </si>
  <si>
    <t>AGENCE PCM - NICOLAS LEROY</t>
  </si>
  <si>
    <t>LBC</t>
  </si>
  <si>
    <t>TETRIS PARIS</t>
  </si>
  <si>
    <t>MODA INTERNATIONAL</t>
  </si>
  <si>
    <t>AGENCE PCM - CLEMENCE TORRENTE</t>
  </si>
  <si>
    <t>AGENCE PCM - NEONATA</t>
  </si>
  <si>
    <t>AGENCE PCM - HENRI PIAT</t>
  </si>
  <si>
    <t>1041-1062</t>
  </si>
  <si>
    <t>AGENCE PCM -FLORIANE BART</t>
  </si>
  <si>
    <t>AGENCE PCM - FLORIANE BART</t>
  </si>
  <si>
    <t>OSCAR HOME</t>
  </si>
  <si>
    <t>SA DECOR</t>
  </si>
  <si>
    <t>SPE</t>
  </si>
  <si>
    <t>10 SUR DIX</t>
  </si>
  <si>
    <t>FORMA DESIGN</t>
  </si>
  <si>
    <t>LOFT MOBILIER</t>
  </si>
  <si>
    <t>316-2</t>
  </si>
  <si>
    <t>CIVEL</t>
  </si>
  <si>
    <t>AGENCE PCM - PREVOTAT</t>
  </si>
  <si>
    <t>7938-7939</t>
  </si>
  <si>
    <t>AGENCE PCM - OUHABA</t>
  </si>
  <si>
    <t>AGENCE PCM - NICOLAS CAMBIER</t>
  </si>
  <si>
    <t>VOG SARL</t>
  </si>
  <si>
    <t>LA MOBILIERIE SASU</t>
  </si>
  <si>
    <t>ATELIER THIERRY BERGERON</t>
  </si>
  <si>
    <t>50861 B</t>
  </si>
  <si>
    <t>30-2</t>
  </si>
  <si>
    <t>29-2</t>
  </si>
  <si>
    <t>31-2</t>
  </si>
  <si>
    <t>MS HOME</t>
  </si>
  <si>
    <t>127-2</t>
  </si>
  <si>
    <t>128-2</t>
  </si>
  <si>
    <t>130-2</t>
  </si>
  <si>
    <t>ANDREAS</t>
  </si>
  <si>
    <t>317-2</t>
  </si>
  <si>
    <t>319-2</t>
  </si>
  <si>
    <t>AGENCE PCM - LACHAIZE</t>
  </si>
  <si>
    <t>CD&amp;B</t>
  </si>
  <si>
    <t>AGENCE PCM - PIERFIL SARL</t>
  </si>
  <si>
    <t>AGENCE PCM - ARTE CREA</t>
  </si>
  <si>
    <t>WDS</t>
  </si>
  <si>
    <t>6918-6919-6973</t>
  </si>
  <si>
    <t>AGENCE PCM - EMILIE LE BARON</t>
  </si>
  <si>
    <t>VOILES ET TOILES</t>
  </si>
  <si>
    <t>624 EX</t>
  </si>
  <si>
    <t>LANGLET FABIEN</t>
  </si>
  <si>
    <t>439-2</t>
  </si>
  <si>
    <t>440-2</t>
  </si>
  <si>
    <t>441-2</t>
  </si>
  <si>
    <t>PIERFIL</t>
  </si>
  <si>
    <t>SASU PTGO</t>
  </si>
  <si>
    <t>A&amp;D VANESSA FAIVRE</t>
  </si>
  <si>
    <t>ANDREAM MONDOMIO</t>
  </si>
  <si>
    <t>COLONEL</t>
  </si>
  <si>
    <t>50011-53850</t>
  </si>
  <si>
    <t>AGENCE PCM-M.CERTELLI -LE BARON- PIERFIL</t>
  </si>
  <si>
    <t>LUXURY PROJECTS</t>
  </si>
  <si>
    <t>AGENCE PCM - SCHILTZ</t>
  </si>
  <si>
    <t>COUTUME STUDIO</t>
  </si>
  <si>
    <t>TANGUY DESIGN</t>
  </si>
  <si>
    <t>AGENCE PCM-CIDER</t>
  </si>
  <si>
    <t>AGENCE PCM - DEVISCOURT</t>
  </si>
  <si>
    <t>AGENCE PCM - BELLANGER JULIE</t>
  </si>
  <si>
    <t>AGENCE PCM - MOGA TORELLA</t>
  </si>
  <si>
    <t>AGENCE PCM - BARKANTS</t>
  </si>
  <si>
    <t>AGENCE PCM - ACMB</t>
  </si>
  <si>
    <t>484-2</t>
  </si>
  <si>
    <t>485-2</t>
  </si>
  <si>
    <t>486-2</t>
  </si>
  <si>
    <t>488-2</t>
  </si>
  <si>
    <t>AGENCE PCM - CORUSCANT</t>
  </si>
  <si>
    <t>CEB</t>
  </si>
  <si>
    <t>GROUPE SAVI</t>
  </si>
  <si>
    <t>FREDERIC OUDOT PEINTURE</t>
  </si>
  <si>
    <t>AGENCE PCM - GERARD THERIN</t>
  </si>
  <si>
    <t>AGENCE PCM - DAVID ELLIA</t>
  </si>
  <si>
    <t>AGENCE PCM - IHT</t>
  </si>
  <si>
    <t>AGENCE PCM - LA MAISON D'ISABELLE</t>
  </si>
  <si>
    <t>197 DESIGN</t>
  </si>
  <si>
    <t>ENTRE CHA ET RA</t>
  </si>
  <si>
    <t>AGENCE PCM - NORTIA</t>
  </si>
  <si>
    <t>17748-49-50</t>
  </si>
  <si>
    <t>AGENCE PCM - TAYEB CHERIF-BYANEL</t>
  </si>
  <si>
    <t>3015-3016</t>
  </si>
  <si>
    <t>GROUPE ANDY</t>
  </si>
  <si>
    <t>314-2</t>
  </si>
  <si>
    <t>482-2</t>
  </si>
  <si>
    <t>483-2</t>
  </si>
  <si>
    <t>MY DESIGN</t>
  </si>
  <si>
    <t>CINNA NANCY</t>
  </si>
  <si>
    <t>MUR DESIGN</t>
  </si>
  <si>
    <t>ESPACE MEUBLE</t>
  </si>
  <si>
    <t>SILVERA SAINT HONORE</t>
  </si>
  <si>
    <t>L'ESPACE</t>
  </si>
  <si>
    <t>INTER-FACES</t>
  </si>
  <si>
    <t>DIOP AGENCEMENT</t>
  </si>
  <si>
    <t>PORTA ROSSA</t>
  </si>
  <si>
    <t>MEUBLES 3A</t>
  </si>
  <si>
    <t xml:space="preserve">SUZZONI CUISINES </t>
  </si>
  <si>
    <t>MUSAE COLLECTION</t>
  </si>
  <si>
    <t>SAS BHPA</t>
  </si>
  <si>
    <t>ARTELITE</t>
  </si>
  <si>
    <t>MALOUET DESIGN</t>
  </si>
  <si>
    <t>CASA DESIGN</t>
  </si>
  <si>
    <t>L'ADRESSE DECORATION</t>
  </si>
  <si>
    <t>HISTOIRES D'INTERIEUR</t>
  </si>
  <si>
    <t>INTERIEUR INSOLITE</t>
  </si>
  <si>
    <t>BERIOZA</t>
  </si>
  <si>
    <t>SAS B.KA</t>
  </si>
  <si>
    <t>2817BO</t>
  </si>
  <si>
    <t>SARL MYVAD</t>
  </si>
  <si>
    <t>PRIMO</t>
  </si>
  <si>
    <t>BEHOME LILLE</t>
  </si>
  <si>
    <t>RBC ST ALBAN LEYSS</t>
  </si>
  <si>
    <t>MONACO MOBILIER SERVCE</t>
  </si>
  <si>
    <t>MT DESIGN</t>
  </si>
  <si>
    <t>PMT HOTELS</t>
  </si>
  <si>
    <t>52081B</t>
  </si>
  <si>
    <t>52096B</t>
  </si>
  <si>
    <t>52197B</t>
  </si>
  <si>
    <t>ARCHITRUC&amp;BALTAZ'ART</t>
  </si>
  <si>
    <t>HISTOIRE D'INTERIEUR COHBO</t>
  </si>
  <si>
    <t>AGORA MOBILIER</t>
  </si>
  <si>
    <t>CARRE LUMIERE</t>
  </si>
  <si>
    <t>C AND T</t>
  </si>
  <si>
    <t>INN DESIGN CINNA</t>
  </si>
  <si>
    <t>52389N</t>
  </si>
  <si>
    <t>52390N</t>
  </si>
  <si>
    <t>52391N</t>
  </si>
  <si>
    <t>52392N</t>
  </si>
  <si>
    <t>52393N</t>
  </si>
  <si>
    <t>52394N</t>
  </si>
  <si>
    <t>9753N</t>
  </si>
  <si>
    <t>AI CONCEPT</t>
  </si>
  <si>
    <t>OCTANT DESIGN</t>
  </si>
  <si>
    <t>MB CONCEPT</t>
  </si>
  <si>
    <t>SILVERA BAC</t>
  </si>
  <si>
    <t>AGENCE PCM - LACHAIZE BUREAUX</t>
  </si>
  <si>
    <t>813-2</t>
  </si>
  <si>
    <t>AGENCE PCM-ATELIER FLORENT</t>
  </si>
  <si>
    <t>FANCH LE REST</t>
  </si>
  <si>
    <t>MG CUISINE</t>
  </si>
  <si>
    <t>FLAT DESIGN</t>
  </si>
  <si>
    <t>AB CONCEPT</t>
  </si>
  <si>
    <t>EASY FM</t>
  </si>
  <si>
    <t>TRYPTIK</t>
  </si>
  <si>
    <t>C ET Z GALERIE</t>
  </si>
  <si>
    <t>L'ESPACE SAS</t>
  </si>
  <si>
    <t>CREATION CONTEMPORAINE</t>
  </si>
  <si>
    <t>ESPACE CONTEMPORAIN</t>
  </si>
  <si>
    <t>BOA MOBILIER</t>
  </si>
  <si>
    <t>IDM</t>
  </si>
  <si>
    <t>812-2</t>
  </si>
  <si>
    <t>CUB DESIGN</t>
  </si>
  <si>
    <t>816-2</t>
  </si>
  <si>
    <t>2960G</t>
  </si>
  <si>
    <t>AGENCE PCM - ANTARES HUISSIER CERGY</t>
  </si>
  <si>
    <t>AGENCE PCM - CIDER 2SW</t>
  </si>
  <si>
    <t>AGENCE PCM - FILIGRANE DESIGN</t>
  </si>
  <si>
    <t>SOFI BAT</t>
  </si>
  <si>
    <t>KONTRAST</t>
  </si>
  <si>
    <t>SILVERA SMB</t>
  </si>
  <si>
    <t>AFCB</t>
  </si>
  <si>
    <t>SILTEC</t>
  </si>
  <si>
    <t>AGENCE PCM - AVELINE PEINTURES</t>
  </si>
  <si>
    <t>F1160</t>
  </si>
  <si>
    <t>F1164</t>
  </si>
  <si>
    <t>AGENCE PCM - YF REACTIF AGENCEMENT</t>
  </si>
  <si>
    <t>Patrick Chatenet</t>
  </si>
  <si>
    <t>MOHEBBAN</t>
  </si>
  <si>
    <t>NORDGRONA</t>
  </si>
  <si>
    <t>Patrick</t>
  </si>
  <si>
    <t>EQUINOXE</t>
  </si>
  <si>
    <t>ELIT BURO COPIN DESIGN</t>
  </si>
  <si>
    <t>4400 NC</t>
  </si>
  <si>
    <t>GUIRAL MEUBLES</t>
  </si>
  <si>
    <t xml:space="preserve">GLOBAL </t>
  </si>
  <si>
    <t>ABYSSE CREATION</t>
  </si>
  <si>
    <t>AMELIE C</t>
  </si>
  <si>
    <t xml:space="preserve">TETRIS </t>
  </si>
  <si>
    <t>ART LEASE</t>
  </si>
  <si>
    <t>12680 NC</t>
  </si>
  <si>
    <t>13106 NC</t>
  </si>
  <si>
    <t>13495 NC</t>
  </si>
  <si>
    <t>13496 NC</t>
  </si>
  <si>
    <t>INOVA VINCENT JOLY</t>
  </si>
  <si>
    <t>DESIGN CONTEMPORAIN</t>
  </si>
  <si>
    <t>CUISINIUM</t>
  </si>
  <si>
    <t>1677 EX</t>
  </si>
  <si>
    <t>LES JARDINS DU FLAMBOYANT</t>
  </si>
  <si>
    <t>1743 EX</t>
  </si>
  <si>
    <t>BEST DISTRIBUTION</t>
  </si>
  <si>
    <t>1742 EX</t>
  </si>
  <si>
    <t>CD DECORATION</t>
  </si>
  <si>
    <t>A2 INTERIEUR SINGULIER</t>
  </si>
  <si>
    <t>WAGNER INTERIOR DESIGN</t>
  </si>
  <si>
    <t>PROCOLOR 74</t>
  </si>
  <si>
    <t>CADEA SOLUTIONS AMENAGEMENTS</t>
  </si>
  <si>
    <t>4281GL</t>
  </si>
  <si>
    <t>MAGAM</t>
  </si>
  <si>
    <t>CENTRALE D'ACHAT UBALDI</t>
  </si>
  <si>
    <t>F1161</t>
  </si>
  <si>
    <t>APSI</t>
  </si>
  <si>
    <t>NOVOTEL COEUR D'ORLY</t>
  </si>
  <si>
    <t>CLT CONCEPT SARL</t>
  </si>
  <si>
    <t>BUROLIA</t>
  </si>
  <si>
    <t>53474B</t>
  </si>
  <si>
    <t>AGENCEMENT FOURNITURES CONSEIL</t>
  </si>
  <si>
    <t>681-2</t>
  </si>
  <si>
    <t>810-2</t>
  </si>
  <si>
    <t>811-2</t>
  </si>
  <si>
    <t>R&amp;G CONSEILS</t>
  </si>
  <si>
    <t>997-2</t>
  </si>
  <si>
    <t>998-2</t>
  </si>
  <si>
    <t>1000-2</t>
  </si>
  <si>
    <t>AUDRAIN DECORATION</t>
  </si>
  <si>
    <t>EKATERINA GENIA PROJECTS</t>
  </si>
  <si>
    <t>MUST MOBILIER</t>
  </si>
  <si>
    <t>KAZUO</t>
  </si>
  <si>
    <t>DCO SPHERE</t>
  </si>
  <si>
    <t>AGENCE PCM - DYNAMO</t>
  </si>
  <si>
    <t>AGENCE PCM - WHITNEY BUVAL</t>
  </si>
  <si>
    <t>AGENCE PCM - BONKERSLAB</t>
  </si>
  <si>
    <t>SANI DECO</t>
  </si>
  <si>
    <t>ENVIRONNEMENT 31</t>
  </si>
  <si>
    <t>MIDI MAS</t>
  </si>
  <si>
    <t>AGENCE PCM - ATELIER FB</t>
  </si>
  <si>
    <t>BCI</t>
  </si>
  <si>
    <t>BILLAUD EURL</t>
  </si>
  <si>
    <t>BKA CONCEPT</t>
  </si>
  <si>
    <t>AC DESIGN</t>
  </si>
  <si>
    <t>2013 EX</t>
  </si>
  <si>
    <t>FT DEVELOPMENT ST MARTIN</t>
  </si>
  <si>
    <t>JOLY VINCENT</t>
  </si>
  <si>
    <t>53813 nidi</t>
  </si>
  <si>
    <t>ABC DESIGN</t>
  </si>
  <si>
    <t>4766GL</t>
  </si>
  <si>
    <t>F1195</t>
  </si>
  <si>
    <t>AGENCE PCM - EIFFAGE CONSTRUCTION</t>
  </si>
  <si>
    <t>XXXXXX</t>
  </si>
  <si>
    <t>F1100-F1136</t>
  </si>
  <si>
    <t>NORTIA</t>
  </si>
  <si>
    <t>F1129-31-34-35</t>
  </si>
  <si>
    <t>TAYEB CHERIF-BYANEL</t>
  </si>
  <si>
    <t>F1109-F1152</t>
  </si>
  <si>
    <t>LACHAIZE - NIDI BUREAUX</t>
  </si>
  <si>
    <t>F1114-F1147</t>
  </si>
  <si>
    <t>ATELIER FLORENT</t>
  </si>
  <si>
    <t>F1122</t>
  </si>
  <si>
    <t>ANTARES HUISSIER CERGY</t>
  </si>
  <si>
    <t>F1137</t>
  </si>
  <si>
    <t>CIDER 2SW</t>
  </si>
  <si>
    <t>F1127</t>
  </si>
  <si>
    <t>FILIGRANE DESIGN -SANSON</t>
  </si>
  <si>
    <t>AVELINE PEINTURE</t>
  </si>
  <si>
    <t>YF REACTIF AGENCEMENT</t>
  </si>
  <si>
    <t>FRAMMO</t>
  </si>
  <si>
    <t>F1166-F1167</t>
  </si>
  <si>
    <t>FINE ART SAS - LARROQUE</t>
  </si>
  <si>
    <t>876-2</t>
  </si>
  <si>
    <t>F1182</t>
  </si>
  <si>
    <t>ANTARES CAB HUISSIERS CERGY</t>
  </si>
  <si>
    <t>F1169-F1187</t>
  </si>
  <si>
    <t>APC DESIGN</t>
  </si>
  <si>
    <t>F1151-F1188</t>
  </si>
  <si>
    <t>DYNAMO</t>
  </si>
  <si>
    <t>F1192</t>
  </si>
  <si>
    <t>WHITNEY BUVAL</t>
  </si>
  <si>
    <t>F1179</t>
  </si>
  <si>
    <t>BONKERSLAB</t>
  </si>
  <si>
    <t>F1170-F1196</t>
  </si>
  <si>
    <t>ATELIER FB</t>
  </si>
  <si>
    <t>EIFFAGE CONSTRUCTION</t>
  </si>
  <si>
    <t>F1202</t>
  </si>
  <si>
    <t>PETERSON DAVID</t>
  </si>
  <si>
    <t>F1144 - F1190</t>
  </si>
  <si>
    <t>DYNAMO - SO21-25</t>
  </si>
  <si>
    <t>31818-32584</t>
  </si>
  <si>
    <t>F1205</t>
  </si>
  <si>
    <t>ARTE CREA-WALTER RICCI</t>
  </si>
  <si>
    <t>EGR GACHET 91 SARL</t>
  </si>
  <si>
    <t>4935GL</t>
  </si>
  <si>
    <t>4940GL</t>
  </si>
  <si>
    <t>ARTECH EURL</t>
  </si>
  <si>
    <t>BOUTSEN DESIGN</t>
  </si>
  <si>
    <t>5128GL</t>
  </si>
  <si>
    <t>FRENCH RIVIERA</t>
  </si>
  <si>
    <t>BULTHAUP AJACCIO</t>
  </si>
  <si>
    <t>SRPM</t>
  </si>
  <si>
    <t>5179GL</t>
  </si>
  <si>
    <t>LA MAISON DES PEINTRES</t>
  </si>
  <si>
    <t>NATHALIE BORE DESIGN</t>
  </si>
  <si>
    <t>FACTORY AMENAGEMENT</t>
  </si>
  <si>
    <t>AGENCE PCM - DAVID PETERSON</t>
  </si>
  <si>
    <t>AGENCE PCM - DYNAMO SO21-25</t>
  </si>
  <si>
    <t>% C.A. OUEST</t>
  </si>
  <si>
    <t>C AND T - NC</t>
  </si>
  <si>
    <t>B COMME DESIGN</t>
  </si>
  <si>
    <t>IC MOBILIER</t>
  </si>
  <si>
    <t>AD ARCHITECTURE D'INTERIEUR</t>
  </si>
  <si>
    <t>AGENCE PCM - ARMENIO</t>
  </si>
  <si>
    <t>ICONES</t>
  </si>
  <si>
    <t>INSIDE GROUP SA</t>
  </si>
  <si>
    <t>32466 NC</t>
  </si>
  <si>
    <t>53814B</t>
  </si>
  <si>
    <t>54270B</t>
  </si>
  <si>
    <t>54358B</t>
  </si>
  <si>
    <t>4491GL</t>
  </si>
  <si>
    <t>ALANDI BERENICE</t>
  </si>
  <si>
    <t>BRIGITTE FERRE BIGOT</t>
  </si>
  <si>
    <t>DOM AMBIANCE</t>
  </si>
  <si>
    <t>BUREAU BIBLIOTHEQUE SCOLAIRE</t>
  </si>
  <si>
    <t>ATELIER MARCEAU</t>
  </si>
  <si>
    <t>MICHEL DENIS DECORATION</t>
  </si>
  <si>
    <t>OGER INTERNATIONAL</t>
  </si>
  <si>
    <t>SHCO NOVOTEL COEUR D'ORLY</t>
  </si>
  <si>
    <t>32299 NC</t>
  </si>
  <si>
    <t>F1206</t>
  </si>
  <si>
    <t>AGENCE PCM - M.MATHIEU</t>
  </si>
  <si>
    <t>1177-2</t>
  </si>
  <si>
    <t>1179-2</t>
  </si>
  <si>
    <t>SASU ATIPIC</t>
  </si>
  <si>
    <t>AGENCE PCM - HAUCHECORNE</t>
  </si>
  <si>
    <t>AGENCE PCM - ARNAUD GILLES</t>
  </si>
  <si>
    <t>F1213</t>
  </si>
  <si>
    <t>32227 NC</t>
  </si>
  <si>
    <t>AGENCE PCM - BRICO BAT</t>
  </si>
  <si>
    <t>AGENCE PCM - ABSCISSE</t>
  </si>
  <si>
    <t>AGENCE PCM - STEHLY ALAIN</t>
  </si>
  <si>
    <t>DECOR 37</t>
  </si>
  <si>
    <t>ALTO DESIGN</t>
  </si>
  <si>
    <t>HOMA MOBILIER</t>
  </si>
  <si>
    <t>59 BO</t>
  </si>
  <si>
    <t>RCB SARL</t>
  </si>
  <si>
    <t>DESIGN ET SOLUTIONS</t>
  </si>
  <si>
    <t>212 BO</t>
  </si>
  <si>
    <t>ISILIVING</t>
  </si>
  <si>
    <t>323 BO</t>
  </si>
  <si>
    <t>DESIGN CINNA</t>
  </si>
  <si>
    <t>636 BO</t>
  </si>
  <si>
    <t>SABLE SARL</t>
  </si>
  <si>
    <t>MOD MOBILIER</t>
  </si>
  <si>
    <t>UBER MODERNE</t>
  </si>
  <si>
    <t>THE CONRAN SHOP</t>
  </si>
  <si>
    <t>MERCIER PIERRE JEAN</t>
  </si>
  <si>
    <t>VUE SUR QUAI</t>
  </si>
  <si>
    <t>50284 NOV</t>
  </si>
  <si>
    <t>50286 NOV</t>
  </si>
  <si>
    <t>50287 NOV</t>
  </si>
  <si>
    <t>1199NOV</t>
  </si>
  <si>
    <t>50515 NOV</t>
  </si>
  <si>
    <t>50454NOV</t>
  </si>
  <si>
    <t>50025BAT</t>
  </si>
  <si>
    <t>50187BAT</t>
  </si>
  <si>
    <t>50188BAT</t>
  </si>
  <si>
    <t>50189BAT</t>
  </si>
  <si>
    <t>50285BAT</t>
  </si>
  <si>
    <t>50286BAT</t>
  </si>
  <si>
    <t>50425BAT</t>
  </si>
  <si>
    <t>AGENCE PCM - STEPHANIE LECLERE</t>
  </si>
  <si>
    <t>F1230</t>
  </si>
  <si>
    <t>AGENCE PCM - VPP PEINTURE</t>
  </si>
  <si>
    <t>AGENCE PCM - PAIROUX SANDRINE</t>
  </si>
  <si>
    <t>OZEDECO</t>
  </si>
  <si>
    <t>C13 ARCHITECTURE D'INTERIEUR</t>
  </si>
  <si>
    <t>813 BO</t>
  </si>
  <si>
    <t>PARIS DESIGN DISTRICT</t>
  </si>
  <si>
    <t>AGENCE PCM - PATRICIA PUGIN</t>
  </si>
  <si>
    <t>F1199</t>
  </si>
  <si>
    <t>AGENCE PCM - M.MME MOULINS</t>
  </si>
  <si>
    <t>AGENCE PCM - NEODB- EVATION INTERIEUR</t>
  </si>
  <si>
    <t>AGENCE PCM - SC INTERIORS</t>
  </si>
  <si>
    <t>PYRAMIDE</t>
  </si>
  <si>
    <t>478GL</t>
  </si>
  <si>
    <t>479GL</t>
  </si>
  <si>
    <t>GAELLE MARCEAU DEVELOPPEMENT</t>
  </si>
  <si>
    <t>DESIGNA</t>
  </si>
  <si>
    <t>ARCH DESIGN</t>
  </si>
  <si>
    <t>ARTHUR BONNET ANTIBES</t>
  </si>
  <si>
    <t>NUANCES UNIKALO</t>
  </si>
  <si>
    <t>578GL</t>
  </si>
  <si>
    <t>33106 NC</t>
  </si>
  <si>
    <t>PERRIN BESANCON</t>
  </si>
  <si>
    <t>MDI LIGNE ROSET</t>
  </si>
  <si>
    <t>BINOCHE DESIGN</t>
  </si>
  <si>
    <t>AGENCE PCM - OYARZUN HAUCHECORNE</t>
  </si>
  <si>
    <t>50658NO</t>
  </si>
  <si>
    <t>50672NO</t>
  </si>
  <si>
    <t>50805NO</t>
  </si>
  <si>
    <t>50963NO</t>
  </si>
  <si>
    <t>50964NO</t>
  </si>
  <si>
    <t>50969NO</t>
  </si>
  <si>
    <t>RBC GALLARGUES</t>
  </si>
  <si>
    <t>1379 BO</t>
  </si>
  <si>
    <t>USINE BUREAU</t>
  </si>
  <si>
    <t>1385 BO</t>
  </si>
  <si>
    <t>OH DESIGN</t>
  </si>
  <si>
    <t>QUARTZ SAKAM</t>
  </si>
  <si>
    <t>HOTEL CONCORDE MONTPARNASSE</t>
  </si>
  <si>
    <t>KONCEPT</t>
  </si>
  <si>
    <t>F1184</t>
  </si>
  <si>
    <t>ARMENIO</t>
  </si>
  <si>
    <t>M.MATHIEU</t>
  </si>
  <si>
    <t>F1197</t>
  </si>
  <si>
    <t>HAUCHECORNE</t>
  </si>
  <si>
    <t>ARNAUD GILLES</t>
  </si>
  <si>
    <t>F1214</t>
  </si>
  <si>
    <t>F1217</t>
  </si>
  <si>
    <t>BRICO BAT</t>
  </si>
  <si>
    <t>F1216</t>
  </si>
  <si>
    <t>ABSCISSE</t>
  </si>
  <si>
    <t>F1189-F1225</t>
  </si>
  <si>
    <t>STEHLY ALAIN</t>
  </si>
  <si>
    <t>OKC2455</t>
  </si>
  <si>
    <t>STEPHANIE LECLERE</t>
  </si>
  <si>
    <t>F1234</t>
  </si>
  <si>
    <t>VPP PEINTURE</t>
  </si>
  <si>
    <t>F1243</t>
  </si>
  <si>
    <t>PAIROUX SANDRINE</t>
  </si>
  <si>
    <t>PATRICIA PUGIN</t>
  </si>
  <si>
    <t>F1244</t>
  </si>
  <si>
    <t>M.MME MOULINS</t>
  </si>
  <si>
    <t>F1250</t>
  </si>
  <si>
    <t>NEODB  -  EVASION D'INTERIEUR</t>
  </si>
  <si>
    <t>F1228-F1253</t>
  </si>
  <si>
    <t>SC INTERIORS</t>
  </si>
  <si>
    <t>F1256</t>
  </si>
  <si>
    <t>OYARZUN HAUCHECORNE</t>
  </si>
  <si>
    <t>Lien vers la BDD One Drive</t>
  </si>
  <si>
    <t>AGENCE PCM - FREDERIC CABANTOUS</t>
  </si>
  <si>
    <t>AGENCE PCM - ZHANG DUPRE</t>
  </si>
  <si>
    <t>AGENCE PCM - FOX RENOVATION</t>
  </si>
  <si>
    <t>QUADRILATERE</t>
  </si>
  <si>
    <t>972GL</t>
  </si>
  <si>
    <t>SOLUTIONS DECORATION</t>
  </si>
  <si>
    <t>AGENCE PCM - MME LUISADA</t>
  </si>
  <si>
    <t>PERRIN SAS</t>
  </si>
  <si>
    <t>SAS GUICHARDAN GPR</t>
  </si>
  <si>
    <t>DARROMAN DESIGN</t>
  </si>
  <si>
    <t>1385GL</t>
  </si>
  <si>
    <t>MB HARIZMA</t>
  </si>
  <si>
    <t>2093BO</t>
  </si>
  <si>
    <t>PRO BUREAU AMENAGEMENT</t>
  </si>
  <si>
    <t>2100BO</t>
  </si>
  <si>
    <t>LISTA OFFICE VENTE SA</t>
  </si>
  <si>
    <t>1251-2</t>
  </si>
  <si>
    <t>1252-2</t>
  </si>
  <si>
    <t>111-2</t>
  </si>
  <si>
    <t>106-2</t>
  </si>
  <si>
    <t>SARL HAGUENIER</t>
  </si>
  <si>
    <t>207-2</t>
  </si>
  <si>
    <t>330-2</t>
  </si>
  <si>
    <t>AGENCE PCM - BONKERS LAB</t>
  </si>
  <si>
    <t>F1198-F1233</t>
  </si>
  <si>
    <t>AGENCE PCM - FRAMMO NOVA</t>
  </si>
  <si>
    <t>F1198-F1233 BO</t>
  </si>
  <si>
    <t>AGENCE PCM - FRAMMO BONA</t>
  </si>
  <si>
    <t>F1198-F1233 MOH</t>
  </si>
  <si>
    <t>AGENCE PCM - FRAMMO MOHEBBAN</t>
  </si>
  <si>
    <t>329-480</t>
  </si>
  <si>
    <t>352-21</t>
  </si>
  <si>
    <t>AGENCE PCM - TURNKEY SAS</t>
  </si>
  <si>
    <t>F1238</t>
  </si>
  <si>
    <t>F1245</t>
  </si>
  <si>
    <t>AGENCE PCM - GPB CONSEIL</t>
  </si>
  <si>
    <t>F1264</t>
  </si>
  <si>
    <t>331-2</t>
  </si>
  <si>
    <t>51261 NOV</t>
  </si>
  <si>
    <t>MOORE IMPORT</t>
  </si>
  <si>
    <t>BROOGLE MOBILIER</t>
  </si>
  <si>
    <t>51291 NOV</t>
  </si>
  <si>
    <t>51414 NOV</t>
  </si>
  <si>
    <t>51488 NOV</t>
  </si>
  <si>
    <t>51487 NOV</t>
  </si>
  <si>
    <t>51489 NOV</t>
  </si>
  <si>
    <t>51728 NOV</t>
  </si>
  <si>
    <t>7380 NC</t>
  </si>
  <si>
    <t>208-2</t>
  </si>
  <si>
    <t>HOME DESIGN CONFORT</t>
  </si>
  <si>
    <t>EXCLOOSIVA SARL</t>
  </si>
  <si>
    <t>B2B - MY DECOSHOP</t>
  </si>
  <si>
    <t>SOCIETE SCL</t>
  </si>
  <si>
    <t>INTENSION</t>
  </si>
  <si>
    <t>HITEC ECLAIRAGE</t>
  </si>
  <si>
    <t>MISE A JOUR</t>
  </si>
  <si>
    <t>LIGHTONLINE</t>
  </si>
  <si>
    <t>GROUP DECORATEP - ABIDJAN</t>
  </si>
  <si>
    <t>MODERN ARCHITECTURE</t>
  </si>
  <si>
    <t>OUEST BUREAU</t>
  </si>
  <si>
    <t>F1287</t>
  </si>
  <si>
    <t>EIFFAGE CONSTRUCTIONS PROVENCE</t>
  </si>
  <si>
    <t>AGENCE PCM - EIFFAGE CONSTRUCTIONS</t>
  </si>
  <si>
    <t>FORMES ACTUELLES</t>
  </si>
  <si>
    <t>429-2</t>
  </si>
  <si>
    <t>F1290</t>
  </si>
  <si>
    <t>AGENCE PCM - M.MME LEMASSON</t>
  </si>
  <si>
    <t>105-22</t>
  </si>
  <si>
    <t>SMB SA</t>
  </si>
  <si>
    <t>BULTHAUP METZ</t>
  </si>
  <si>
    <t>2386BO</t>
  </si>
  <si>
    <t>2739 avoir</t>
  </si>
  <si>
    <t>AGENCE PCM - AXA CLIMATE</t>
  </si>
  <si>
    <t>LADD GROUPE</t>
  </si>
  <si>
    <t>AMOBO</t>
  </si>
  <si>
    <t>1848GL</t>
  </si>
  <si>
    <t>ATELIER DE BLANDINE</t>
  </si>
  <si>
    <t>428-2</t>
  </si>
  <si>
    <t>AGENCE PCM - MME ZANG DUPRE</t>
  </si>
  <si>
    <t>AGENCE PCM - VALERIE MARECHAL</t>
  </si>
  <si>
    <t>AGENCE PCM - ESPACE AMENAGEMENT</t>
  </si>
  <si>
    <t>F1260</t>
  </si>
  <si>
    <t>FREDERIC CABANTOUS</t>
  </si>
  <si>
    <t>F1231-F1261</t>
  </si>
  <si>
    <t>ZHANG - DUPRE</t>
  </si>
  <si>
    <t>4400-4401</t>
  </si>
  <si>
    <t>F1265</t>
  </si>
  <si>
    <t>FOX RENOVATION</t>
  </si>
  <si>
    <t>F1275</t>
  </si>
  <si>
    <t>MME LUISADA</t>
  </si>
  <si>
    <t>F1246</t>
  </si>
  <si>
    <t>BONKERS LAB</t>
  </si>
  <si>
    <t>F1198-F1233NOVA</t>
  </si>
  <si>
    <t>329-1156</t>
  </si>
  <si>
    <t>TURNKEY SAS</t>
  </si>
  <si>
    <t>GPB CONSEIL</t>
  </si>
  <si>
    <t>EIFFAGE CONSTRUCTION PROVENCE</t>
  </si>
  <si>
    <t>M.MME LEMASSON</t>
  </si>
  <si>
    <t>F1239</t>
  </si>
  <si>
    <t>AXA CLIMATE</t>
  </si>
  <si>
    <t>F1266</t>
  </si>
  <si>
    <t>MME ZANG DUPRE</t>
  </si>
  <si>
    <t>F1299</t>
  </si>
  <si>
    <t>MME VALERIE MARECHAL</t>
  </si>
  <si>
    <t>F1257</t>
  </si>
  <si>
    <t>ESPACE AMENAGEMENT</t>
  </si>
  <si>
    <t>1001 EX</t>
  </si>
  <si>
    <t>EPRP PAPEETE</t>
  </si>
  <si>
    <t>51490 NOV</t>
  </si>
  <si>
    <t>51841 NOV</t>
  </si>
  <si>
    <t>51842 NOV</t>
  </si>
  <si>
    <t>51966 NOV</t>
  </si>
  <si>
    <t>51967 NOV</t>
  </si>
  <si>
    <t>9222 NC</t>
  </si>
  <si>
    <t>2878BO</t>
  </si>
  <si>
    <t>AGENCE PCM - KEOLIS BESANCON</t>
  </si>
  <si>
    <t>F1288</t>
  </si>
  <si>
    <t>AGENCE PCM - CHAPUT INGENIERIE</t>
  </si>
  <si>
    <t>536-2</t>
  </si>
  <si>
    <t>AGENCE PCM - STEFANI JULIEN</t>
  </si>
  <si>
    <t>F1277-F1303</t>
  </si>
  <si>
    <t>L'ATELIER DES FRERES</t>
  </si>
  <si>
    <t>2489GL</t>
  </si>
  <si>
    <t>INTERFACES</t>
  </si>
  <si>
    <t>SONDENECKER</t>
  </si>
  <si>
    <t>LAAD GROUPE</t>
  </si>
  <si>
    <t>566-2</t>
  </si>
  <si>
    <t>INTERFACE ET COMPAGNIE</t>
  </si>
  <si>
    <t>U INTERIORS</t>
  </si>
  <si>
    <t>DANAND AMEUBLEMENT</t>
  </si>
  <si>
    <t>STYL'CUISINE HISTOIRE D'INTERIEUR</t>
  </si>
  <si>
    <t>SAS ACCORINVEST NOVOTEL</t>
  </si>
  <si>
    <t>SASU REMAZEILLES ET ASSOCIES</t>
  </si>
  <si>
    <t>AGENCE PCM - LUISADA</t>
  </si>
  <si>
    <t>F1320</t>
  </si>
  <si>
    <t>AGENCE PCM - ADE SAS</t>
  </si>
  <si>
    <t>KEOLIS BESANCON</t>
  </si>
  <si>
    <t>F1308</t>
  </si>
  <si>
    <t>CHAPUT INGENIERIE</t>
  </si>
  <si>
    <t>F1291-F1304</t>
  </si>
  <si>
    <t>STEFANI JULIEN</t>
  </si>
  <si>
    <t>1277-1303</t>
  </si>
  <si>
    <t>F1286</t>
  </si>
  <si>
    <t>F1262-F1318</t>
  </si>
  <si>
    <t>LUISADA DELPHINE</t>
  </si>
  <si>
    <t>12761-12762</t>
  </si>
  <si>
    <t>ADE SAS</t>
  </si>
  <si>
    <t>F1317</t>
  </si>
  <si>
    <t>MME LUISADA DELPHINE</t>
  </si>
  <si>
    <t>AGENCE PCM - TEC2E</t>
  </si>
  <si>
    <t>F1302</t>
  </si>
  <si>
    <t>33858 NC</t>
  </si>
  <si>
    <t>FINO DIFFUSION</t>
  </si>
  <si>
    <t>650-2</t>
  </si>
  <si>
    <t>ICADE</t>
  </si>
  <si>
    <t>3524 BO</t>
  </si>
  <si>
    <t>3525 BO</t>
  </si>
  <si>
    <t>VICALVI CONTRACT</t>
  </si>
  <si>
    <t>ATMOSPHERES</t>
  </si>
  <si>
    <t>LA FONTAINE AUX CUISINES</t>
  </si>
  <si>
    <t>51697 BAT</t>
  </si>
  <si>
    <t>51827 BAT</t>
  </si>
  <si>
    <t>52031 BAT</t>
  </si>
  <si>
    <t>52097 BAT</t>
  </si>
  <si>
    <t>52098 BAT</t>
  </si>
  <si>
    <t>52683 NOV</t>
  </si>
  <si>
    <t>52685 NOV</t>
  </si>
  <si>
    <t>52686 NOV</t>
  </si>
  <si>
    <t>52687 NOV</t>
  </si>
  <si>
    <t>52978 NOV</t>
  </si>
  <si>
    <t>52979 NOV</t>
  </si>
  <si>
    <t>52988 NOV</t>
  </si>
  <si>
    <t>ASTERI</t>
  </si>
  <si>
    <t>ELLYPSE INTERNATIONAL STUDIO</t>
  </si>
  <si>
    <t>AZUR LIGHTNING</t>
  </si>
  <si>
    <t>SCENEO-CNE</t>
  </si>
  <si>
    <t>KARDHAM</t>
  </si>
  <si>
    <t>AD INTERIOR</t>
  </si>
  <si>
    <t>TEC2E</t>
  </si>
  <si>
    <t>LB DECORATION</t>
  </si>
  <si>
    <t>CREA'HOME</t>
  </si>
  <si>
    <t>ESPACE 39</t>
  </si>
  <si>
    <t>SERVI COULEURS</t>
  </si>
  <si>
    <t>LACLAU MEUBLES</t>
  </si>
  <si>
    <t>OBLIK MATERIOTHEQUE</t>
  </si>
  <si>
    <t>3934 GLA</t>
  </si>
  <si>
    <t>AGENCE PCM - DOMITILLE LACLIE</t>
  </si>
  <si>
    <t>F1321</t>
  </si>
  <si>
    <t>AGENCE PCM - TAS INVEST</t>
  </si>
  <si>
    <t>AGENCE PCM - LENA NAHAS CHOUEIRY</t>
  </si>
  <si>
    <t>F1343</t>
  </si>
  <si>
    <t>AGENCE PCM - FREDERIC BOLE</t>
  </si>
  <si>
    <t>3109 GLA</t>
  </si>
  <si>
    <t>F1319</t>
  </si>
  <si>
    <t>AGENCE PCM - INTERIEUR EN SCENE</t>
  </si>
  <si>
    <t>F1344</t>
  </si>
  <si>
    <t>AGENCE PCM - SCP MUSES NFT</t>
  </si>
  <si>
    <t>3108 GLA</t>
  </si>
  <si>
    <t>DELAVAL</t>
  </si>
  <si>
    <t>53275 NOV</t>
  </si>
  <si>
    <t>F1185-F1339</t>
  </si>
  <si>
    <t>331-21</t>
  </si>
  <si>
    <t>329-2</t>
  </si>
  <si>
    <t>336-2</t>
  </si>
  <si>
    <t>427-2</t>
  </si>
  <si>
    <t>533-2</t>
  </si>
  <si>
    <t>534-2</t>
  </si>
  <si>
    <t>539-2</t>
  </si>
  <si>
    <t>540-2</t>
  </si>
  <si>
    <t>541-2</t>
  </si>
  <si>
    <t>647-2</t>
  </si>
  <si>
    <t>653-2</t>
  </si>
  <si>
    <t>654-2</t>
  </si>
  <si>
    <t>AGENCE PCM - AVEA LA POSTE</t>
  </si>
  <si>
    <t>AGENCE PCM- AVEA LA POSTE</t>
  </si>
  <si>
    <t>SAS COR'S AMENAGEMENT-BURO2B</t>
  </si>
  <si>
    <t>4450 NC</t>
  </si>
  <si>
    <t>4451 NC</t>
  </si>
  <si>
    <t>F1296-F1340</t>
  </si>
  <si>
    <t>AGENCE PCM - PORTA ROSSA</t>
  </si>
  <si>
    <t>10822-10823</t>
  </si>
  <si>
    <t>F1322</t>
  </si>
  <si>
    <t>DOMITILLE LACLIE</t>
  </si>
  <si>
    <t>TAS INVEST</t>
  </si>
  <si>
    <t>F1327</t>
  </si>
  <si>
    <t>LENA NAHAS CHOUEIRY</t>
  </si>
  <si>
    <t>FREDERIC BOLE</t>
  </si>
  <si>
    <t>INTERIEUR EN SCENE - RIMONIM</t>
  </si>
  <si>
    <t>SCP MUSES NFT</t>
  </si>
  <si>
    <t>1298 EX</t>
  </si>
  <si>
    <t>AGENCE PCM - ECURIE DAVID COTTIN</t>
  </si>
  <si>
    <t>F1307-1310-1349-1350</t>
  </si>
  <si>
    <t>AGENCE PCM - NICOBAT DAVID PETERSON</t>
  </si>
  <si>
    <t>1500 EX</t>
  </si>
  <si>
    <t>3852 GL</t>
  </si>
  <si>
    <t>AGENCE PCM - FRIEDERICH MICHAEL</t>
  </si>
  <si>
    <t>AGENCE PCM - HADIDA AUDREY</t>
  </si>
  <si>
    <t>WOM OFFICE</t>
  </si>
  <si>
    <t>CLESTRA HAUSERMAN</t>
  </si>
  <si>
    <t>ODDO BCH SCA</t>
  </si>
  <si>
    <t>SILVERA  LYON</t>
  </si>
  <si>
    <t>53477NO</t>
  </si>
  <si>
    <t>52386 BAT</t>
  </si>
  <si>
    <t>52516 BAT</t>
  </si>
  <si>
    <t>CALOSCI CUCINE SAS</t>
  </si>
  <si>
    <t>52531 BAT</t>
  </si>
  <si>
    <t>52682 BAT</t>
  </si>
  <si>
    <t>52683 BAT</t>
  </si>
  <si>
    <t>52684 BAT</t>
  </si>
  <si>
    <t>52685 BAT</t>
  </si>
  <si>
    <t>52686 BAT</t>
  </si>
  <si>
    <t>52688 BAT</t>
  </si>
  <si>
    <t>4549 BO</t>
  </si>
  <si>
    <t>4561 BO</t>
  </si>
  <si>
    <t>DESIGN &amp; SOLUTIONS</t>
  </si>
  <si>
    <t>LE MERLE SAS</t>
  </si>
  <si>
    <t>A ET D CONCEPTION</t>
  </si>
  <si>
    <t>ATELIER ALLIONE ARCHITECTES</t>
  </si>
  <si>
    <t>SARL GALERIE MR</t>
  </si>
  <si>
    <t>AGENCE PCM - M.MME DUBREZ</t>
  </si>
  <si>
    <t>AGENCE PCM - M.MOOCK</t>
  </si>
  <si>
    <t>ECURIE DAVID COTTIN</t>
  </si>
  <si>
    <t>F1366</t>
  </si>
  <si>
    <t>NICOBAT DAVID PETERSON</t>
  </si>
  <si>
    <t>F1371</t>
  </si>
  <si>
    <t>FRIEDERICH MICHAEL</t>
  </si>
  <si>
    <t>F1342-F1369</t>
  </si>
  <si>
    <t>HADIDA Audrey</t>
  </si>
  <si>
    <t>F1357-F1358</t>
  </si>
  <si>
    <t>M. MME DUBREZ</t>
  </si>
  <si>
    <t>F1298-F1348-F1370</t>
  </si>
  <si>
    <t>M. MME MAX MOOCK</t>
  </si>
  <si>
    <t>F1365</t>
  </si>
  <si>
    <t>HPROJECT</t>
  </si>
  <si>
    <t>F1381</t>
  </si>
  <si>
    <t>CLINIQUE BELLE RIVE</t>
  </si>
  <si>
    <t>F1297-F1368</t>
  </si>
  <si>
    <t>VILLA MUSES MME NADAL</t>
  </si>
  <si>
    <t>12350-12349-1234819835</t>
  </si>
  <si>
    <t>F1392</t>
  </si>
  <si>
    <t>WHITNEY BUVAL - VICTOR COQBLIN</t>
  </si>
  <si>
    <t>F1394</t>
  </si>
  <si>
    <t>INFLUENCE METAAL MME ANSELMO</t>
  </si>
  <si>
    <t>F1361</t>
  </si>
  <si>
    <t>CTI CONSTRUCT</t>
  </si>
  <si>
    <t>F1326</t>
  </si>
  <si>
    <t>AVEA LA POSTE</t>
  </si>
  <si>
    <t>F1345-F1382</t>
  </si>
  <si>
    <t>Répartition des ventes par marque Trim 1</t>
  </si>
  <si>
    <t>Répartition des ventes par marque Trim 2</t>
  </si>
  <si>
    <t>Répartition des ventes par marque Trim 3</t>
  </si>
  <si>
    <t>T1</t>
  </si>
  <si>
    <t>T2</t>
  </si>
  <si>
    <t>T3</t>
  </si>
  <si>
    <t>Répartition des ventes par secteur Trim 1</t>
  </si>
  <si>
    <t>T4</t>
  </si>
  <si>
    <t>Répartition des ventes par marque Trim 4</t>
  </si>
  <si>
    <t>Répartition des ventes par secteur Trim 2</t>
  </si>
  <si>
    <t>Répartition des ventes par secteur Trim 3</t>
  </si>
  <si>
    <t>Répartition des ventes par secteur Trim 4</t>
  </si>
  <si>
    <t>CA Trimestre 1</t>
  </si>
  <si>
    <t>CA Trimestre 4</t>
  </si>
  <si>
    <t>CA Trimestre 3</t>
  </si>
  <si>
    <t>CA Trimestre 2</t>
  </si>
  <si>
    <t>CA trimestriel global</t>
  </si>
  <si>
    <t>Répartition de CA trimestriel par marque</t>
  </si>
  <si>
    <t>Répartition de CA trimestriel par secteur</t>
  </si>
  <si>
    <t>Evolution de CA annuel par marque</t>
  </si>
  <si>
    <t>Evolution de CA trimestriel par marque</t>
  </si>
  <si>
    <t>Evolution de CA annuel global</t>
  </si>
  <si>
    <t>CA Global</t>
  </si>
  <si>
    <t>Evolution de CA Trimestre 1 pour la partie Négoce</t>
  </si>
  <si>
    <t>Marge</t>
  </si>
  <si>
    <t>Rubrique</t>
  </si>
  <si>
    <t>Evolution de CA &amp; Marge Trimestriels</t>
  </si>
  <si>
    <t>Evolution de CA &amp; Marge Annuels</t>
  </si>
  <si>
    <t>Marge globale</t>
  </si>
  <si>
    <t>CA Négoce</t>
  </si>
  <si>
    <t>Marge Négoce</t>
  </si>
  <si>
    <t>CA Agence</t>
  </si>
  <si>
    <t>Marge Négce</t>
  </si>
  <si>
    <t>Evolution de CA Trimestre 2 pour la partie Négoce</t>
  </si>
  <si>
    <t>Evolution de CA Trimestre 3 pour la partie Négoce</t>
  </si>
  <si>
    <t>Evolution de CA Trimestre 4 pour la partie Négoce</t>
  </si>
  <si>
    <t>Evolution de CA Agence  &amp; CA Négoce Trimestriels</t>
  </si>
  <si>
    <t>Evolution de CA Agence  &amp; Marge Négoce Annuel</t>
  </si>
  <si>
    <t>Data Agence</t>
  </si>
  <si>
    <t>Secteur</t>
  </si>
  <si>
    <t>Data Négoce</t>
  </si>
  <si>
    <t>Merci d vérifier l'année N</t>
  </si>
  <si>
    <t>Liste des graphiques</t>
  </si>
  <si>
    <t>Feuille (CodeName)</t>
  </si>
  <si>
    <t>Nom de graphique</t>
  </si>
  <si>
    <t>Cellule liée</t>
  </si>
  <si>
    <t>Visible ?</t>
  </si>
  <si>
    <t>F_Gr_Agence</t>
  </si>
  <si>
    <t>Gr_T1_N_2</t>
  </si>
  <si>
    <t>Gr_T2_N_2</t>
  </si>
  <si>
    <t>Gr_T3_N_2</t>
  </si>
  <si>
    <t>Gr_T4_N_2</t>
  </si>
  <si>
    <t>Gr_T1_N_1</t>
  </si>
  <si>
    <t>Gr_T2_N_1</t>
  </si>
  <si>
    <t>Gr_T3_N_1</t>
  </si>
  <si>
    <t>Gr_T4_N_1</t>
  </si>
  <si>
    <t>Gr_T1_N_0</t>
  </si>
  <si>
    <t>Gr_T2_N_0</t>
  </si>
  <si>
    <t>Gr_T3_N_0</t>
  </si>
  <si>
    <t>Gr_T4_N_0</t>
  </si>
  <si>
    <t>Gr2_T1_N_2</t>
  </si>
  <si>
    <t>Gr2_T2_N_2</t>
  </si>
  <si>
    <t>Gr2_T3_N_2</t>
  </si>
  <si>
    <t>Gr2_T4_N_2</t>
  </si>
  <si>
    <t>Gr2_T1_N_1</t>
  </si>
  <si>
    <t>Gr2_T2_N_1</t>
  </si>
  <si>
    <t>Gr2_T3_N_1</t>
  </si>
  <si>
    <t>Gr2_T4_N_1</t>
  </si>
  <si>
    <t>Gr2_T1_N_0</t>
  </si>
  <si>
    <t>Gr2_T2_N_0</t>
  </si>
  <si>
    <t>Gr2_T3_N_0</t>
  </si>
  <si>
    <t>Gr2_T4_N_0</t>
  </si>
  <si>
    <t>F_Gr_Negoce</t>
  </si>
  <si>
    <t>Gr_Neg_T1</t>
  </si>
  <si>
    <t>Gr_Neg_T2</t>
  </si>
  <si>
    <t>Gr_Neg_T3</t>
  </si>
  <si>
    <t>Gr_Neg_T4</t>
  </si>
  <si>
    <t>F_Gr_Global</t>
  </si>
  <si>
    <t>Gr_TOT_T1</t>
  </si>
  <si>
    <t>Gr_TOT_T2</t>
  </si>
  <si>
    <t>Gr_TOT_T3</t>
  </si>
  <si>
    <t>Gr_TOT_T4</t>
  </si>
  <si>
    <t>Dans la fenêtre qui suit merci de sélectionner le dosiser de sauvegarde de votre rapport.</t>
  </si>
  <si>
    <t>Votre rapport est exporté avec succès en PDF !</t>
  </si>
  <si>
    <t>Version 03/02/2023</t>
  </si>
  <si>
    <t>Etat de connexion</t>
  </si>
  <si>
    <t>AGENCE PCM - HPROJECT</t>
  </si>
  <si>
    <t>AGENCE PCM - CLINIQUE BELLE RIVE</t>
  </si>
  <si>
    <t>AGENCE PCM - VILLA MUSES</t>
  </si>
  <si>
    <t>SILEBO</t>
  </si>
  <si>
    <t>SAS HOTEL CONCORDE MONTPARNASSE</t>
  </si>
  <si>
    <t>RBC MOBILIER</t>
  </si>
  <si>
    <t>TAGOMAGO</t>
  </si>
  <si>
    <t>EURL MARSEILLE OFFICE DESIGN</t>
  </si>
  <si>
    <t>LMC DECOR</t>
  </si>
  <si>
    <t>DIOT SAS</t>
  </si>
  <si>
    <t>RENASCITA (chantier choissy le roi)</t>
  </si>
  <si>
    <t>VA DECORATION</t>
  </si>
  <si>
    <t>4236 GL</t>
  </si>
  <si>
    <t>MEUBLES LACLAU</t>
  </si>
  <si>
    <t>1807 EX</t>
  </si>
  <si>
    <t>FRENCH INDIES DESIGN</t>
  </si>
  <si>
    <t>1839 EX</t>
  </si>
  <si>
    <t>BEST DISTRIBUTION NV</t>
  </si>
  <si>
    <t>DAYDREAM MONTE CARLO</t>
  </si>
  <si>
    <t>STUDIO 512</t>
  </si>
  <si>
    <t>AGENCE PCM - INFLUENCE METAAL MME ANSELMO</t>
  </si>
  <si>
    <t>52721 BA</t>
  </si>
  <si>
    <t>52827 BA</t>
  </si>
  <si>
    <t>52832 BA</t>
  </si>
  <si>
    <t>53015 BA</t>
  </si>
  <si>
    <t>53363 BA</t>
  </si>
  <si>
    <t>53605 BA</t>
  </si>
  <si>
    <t>AGENCE PCM - CTI CONSTRUCT</t>
  </si>
  <si>
    <t>NC91622</t>
  </si>
  <si>
    <t>L'ECLAIRAGE 06 DISTRIBUTION</t>
  </si>
  <si>
    <t>JEUX DE LUMIERE</t>
  </si>
  <si>
    <t>SAS SONAPRO</t>
  </si>
  <si>
    <t>PROLUM DR LUMIERE</t>
  </si>
  <si>
    <t>LUMECLAIR</t>
  </si>
  <si>
    <t>SAS ASTREO</t>
  </si>
  <si>
    <t>GDME</t>
  </si>
  <si>
    <t>53992 NOVA</t>
  </si>
  <si>
    <t>ERTEFAI MARJAN</t>
  </si>
  <si>
    <t>54358 NOVA</t>
  </si>
  <si>
    <t>54362 NOVA</t>
  </si>
  <si>
    <t>AGENCE PCM - ACACIA LEGAL</t>
  </si>
  <si>
    <t>4992 NOR</t>
  </si>
  <si>
    <t>ENTREE PRINCIPALE</t>
  </si>
  <si>
    <t>LE BUREAU CONTEMPORAIN</t>
  </si>
  <si>
    <t>6374 BO</t>
  </si>
  <si>
    <t>6375 BO</t>
  </si>
  <si>
    <t>6377 BO</t>
  </si>
  <si>
    <t>AGENCE PCM - GENIE DES LIEUX</t>
  </si>
  <si>
    <t>AGENCE PCM - SAS FLIOU ET CIE</t>
  </si>
  <si>
    <t>648-2</t>
  </si>
  <si>
    <t>761-2</t>
  </si>
  <si>
    <t>762-2</t>
  </si>
  <si>
    <t>1094-2</t>
  </si>
  <si>
    <t>F1402</t>
  </si>
  <si>
    <t>BEHOME INTERIORS METZ</t>
  </si>
  <si>
    <t>AGENCE PCM - EGEPP</t>
  </si>
  <si>
    <t>F1411</t>
  </si>
  <si>
    <t>4614 GL</t>
  </si>
  <si>
    <t>4615 GL</t>
  </si>
  <si>
    <t>F1415</t>
  </si>
  <si>
    <t>AGENCE PCM - TUFFIER ELODIE</t>
  </si>
  <si>
    <t>EDWARD</t>
  </si>
  <si>
    <t>7019 BO</t>
  </si>
  <si>
    <t>MOUVANCE</t>
  </si>
  <si>
    <t>AGENCE PCM - CONCEPTIONS NOUVELLES</t>
  </si>
  <si>
    <t>54508 NOV</t>
  </si>
  <si>
    <t>EURL FINAT NORMAND</t>
  </si>
  <si>
    <t>54807 NOV</t>
  </si>
  <si>
    <t>54808 NOV</t>
  </si>
  <si>
    <t>54809 NOV</t>
  </si>
  <si>
    <t>55411 NOV</t>
  </si>
  <si>
    <t>SAS AALTON</t>
  </si>
  <si>
    <t>5127 NORD</t>
  </si>
  <si>
    <t>PALAIS CONCEPT</t>
  </si>
  <si>
    <t>1321-2</t>
  </si>
  <si>
    <t>AGENCE PCM - ATHAYADE DE TAVARES</t>
  </si>
  <si>
    <t>903-2022</t>
  </si>
  <si>
    <t>JOANNA SCI</t>
  </si>
  <si>
    <t>954-2022</t>
  </si>
  <si>
    <t>F1353-F1413</t>
  </si>
  <si>
    <t>AGENCE PCM - IMMO 111</t>
  </si>
  <si>
    <t>AGENCE PCM - ORBIS</t>
  </si>
  <si>
    <t>4854 GLA</t>
  </si>
  <si>
    <t>2141 EX</t>
  </si>
  <si>
    <t>4918 GLA</t>
  </si>
  <si>
    <t>2157 EX</t>
  </si>
  <si>
    <t>5146 NORD</t>
  </si>
  <si>
    <t>AGENCE PCM - DEMIERRE-BERNARD</t>
  </si>
  <si>
    <t>F1445</t>
  </si>
  <si>
    <t>AGENCE PCM - INNOVA CONSULTING</t>
  </si>
  <si>
    <t>F1356-F1436</t>
  </si>
  <si>
    <t>649-2</t>
  </si>
  <si>
    <t>PASSAGE PORTES ET POIGNEES</t>
  </si>
  <si>
    <t>1191-2</t>
  </si>
  <si>
    <t>1194-2</t>
  </si>
  <si>
    <t>1320-2</t>
  </si>
  <si>
    <t>5287 GL</t>
  </si>
  <si>
    <t>CONCEPT HOME</t>
  </si>
  <si>
    <t>ATELIR MARCEAU</t>
  </si>
  <si>
    <t>ENERGIA ELECTRICITE</t>
  </si>
  <si>
    <t>LM5P</t>
  </si>
  <si>
    <t>DOLENE SARL MEUBLES ET OBJETS</t>
  </si>
  <si>
    <t>ARTELUM</t>
  </si>
  <si>
    <t>SARL MONNIER</t>
  </si>
  <si>
    <t>SAS SIGMATECH</t>
  </si>
  <si>
    <t>AGENCE PCM - LIESEL BAUCHET</t>
  </si>
  <si>
    <t>F1376-F1427</t>
  </si>
  <si>
    <t>17231-32-33-34</t>
  </si>
  <si>
    <t>AGENCE PCM - M.MME FRIEDERICH</t>
  </si>
  <si>
    <t>4G INVEST</t>
  </si>
  <si>
    <t>4 G INVEST</t>
  </si>
  <si>
    <t>53810 BAT</t>
  </si>
  <si>
    <t>53992 BAT</t>
  </si>
  <si>
    <t>53994 BAT</t>
  </si>
  <si>
    <t>ESPACE  CONTEMPORAIN</t>
  </si>
  <si>
    <t>53996 BAT</t>
  </si>
  <si>
    <t>54114 BAT</t>
  </si>
  <si>
    <t>DIXIT DISTRIBUTION</t>
  </si>
  <si>
    <t>CESCHEL MEUBLES</t>
  </si>
  <si>
    <t>NOVAMOB</t>
  </si>
  <si>
    <t>MANOIR</t>
  </si>
  <si>
    <t>RUMILLAT</t>
  </si>
  <si>
    <t>DIAGONALES MOBILIER</t>
  </si>
  <si>
    <t>AGENCE PCM - BEATRICE PEUVRIER</t>
  </si>
  <si>
    <t>84-2023</t>
  </si>
  <si>
    <t>F1451-F1452</t>
  </si>
  <si>
    <t>979-2022</t>
  </si>
  <si>
    <t>64-2023</t>
  </si>
  <si>
    <t>LES JARDINS DE MILLY</t>
  </si>
  <si>
    <t>983-2022</t>
  </si>
  <si>
    <t>SANDRA HELLMAN DECORATION</t>
  </si>
  <si>
    <t>69-2023</t>
  </si>
  <si>
    <t>COLLECTION PRIVEE</t>
  </si>
  <si>
    <t>68-2023</t>
  </si>
  <si>
    <t>MENUIRES REALISATIONS</t>
  </si>
  <si>
    <t>17295 NC</t>
  </si>
  <si>
    <t>AGENCE PCM - SINFONIC</t>
  </si>
  <si>
    <t>AGENCE PCM - 2 H DESIGN</t>
  </si>
  <si>
    <t>F1442</t>
  </si>
  <si>
    <t>AGENCE PCM - MME HULLAR</t>
  </si>
  <si>
    <t>C:\Users\Nicolas\Dropbox\FACTURATION\BDD Facture V0 .xlsx</t>
  </si>
  <si>
    <t>F1375</t>
  </si>
  <si>
    <t>ACACIA LEGAL</t>
  </si>
  <si>
    <t>F1396</t>
  </si>
  <si>
    <t>GENIE DES LIEUX</t>
  </si>
  <si>
    <t>F1401</t>
  </si>
  <si>
    <t>SAS FLIOU ET COMPAGNIE</t>
  </si>
  <si>
    <t>EGEPP</t>
  </si>
  <si>
    <t>TUFFIER ELODIE</t>
  </si>
  <si>
    <t>F1397</t>
  </si>
  <si>
    <t>CONCEPTIONS NOUVELLES</t>
  </si>
  <si>
    <t>F1404</t>
  </si>
  <si>
    <t>ATHAYDE DE TAVARES</t>
  </si>
  <si>
    <t>STE IMMO 111</t>
  </si>
  <si>
    <t>F1439</t>
  </si>
  <si>
    <t>ORBIS</t>
  </si>
  <si>
    <t>DEMIERRE-BERNARD</t>
  </si>
  <si>
    <t>F1448</t>
  </si>
  <si>
    <t>INNOVA CONSULTING</t>
  </si>
  <si>
    <t>F1374-F1425</t>
  </si>
  <si>
    <t>LIESEL BAUCHET</t>
  </si>
  <si>
    <t>M. STEHLY ALAIN</t>
  </si>
  <si>
    <t>F1428-F1429</t>
  </si>
  <si>
    <t>M.MME FRIEDERICH</t>
  </si>
  <si>
    <t>F1462</t>
  </si>
  <si>
    <t>BEATRICE PEUVRIER</t>
  </si>
  <si>
    <t>F1383</t>
  </si>
  <si>
    <t>SINFONIC</t>
  </si>
  <si>
    <t>2 H DESIGN</t>
  </si>
  <si>
    <t>008-2023</t>
  </si>
  <si>
    <t>F1391-F1463</t>
  </si>
  <si>
    <t>M. MME HULLAR</t>
  </si>
  <si>
    <t>267-268</t>
  </si>
  <si>
    <t>F1476</t>
  </si>
  <si>
    <t>THG - Christophe GRANGER</t>
  </si>
  <si>
    <t>F1478</t>
  </si>
  <si>
    <t>ETMB - BASSAM EL KHOURY</t>
  </si>
  <si>
    <t>F1479</t>
  </si>
  <si>
    <t>GARDERA PASTRE</t>
  </si>
  <si>
    <t>F1490</t>
  </si>
  <si>
    <t>ETMB - EL KHOURY</t>
  </si>
  <si>
    <t>F1410-1474-1487-1488</t>
  </si>
  <si>
    <t>MME AMATHIEU</t>
  </si>
  <si>
    <t>F1495</t>
  </si>
  <si>
    <t>GRAILLOT Alexandre</t>
  </si>
  <si>
    <t>F1433-1477</t>
  </si>
  <si>
    <t>SYBILLE DE MARGERIE</t>
  </si>
  <si>
    <t>F1503</t>
  </si>
  <si>
    <t>L'ARTISANE BUCOLIQUE</t>
  </si>
  <si>
    <t>F1510</t>
  </si>
  <si>
    <t>MONTEBAT</t>
  </si>
  <si>
    <t>F1457-F1497</t>
  </si>
  <si>
    <t>Mme PUCHE Céline</t>
  </si>
  <si>
    <t>5376-5377</t>
  </si>
  <si>
    <t>F1504</t>
  </si>
  <si>
    <t>TURNKEY SAS - BALE MULHOUSE</t>
  </si>
  <si>
    <t>F1513</t>
  </si>
  <si>
    <t>MARION RUMPLER</t>
  </si>
  <si>
    <t>F1464-F1496</t>
  </si>
  <si>
    <t>ELYES PATRIMOINE</t>
  </si>
  <si>
    <t>F1529</t>
  </si>
  <si>
    <t>VIRGINIE REMOND</t>
  </si>
  <si>
    <t>135-23</t>
  </si>
  <si>
    <t>F1532</t>
  </si>
  <si>
    <t xml:space="preserve">CLINIQUE BELLE RIVE </t>
  </si>
  <si>
    <t>F1526</t>
  </si>
  <si>
    <t>ATELIER FLOW</t>
  </si>
  <si>
    <t>F1541</t>
  </si>
  <si>
    <t>492-2023</t>
  </si>
  <si>
    <t>F1523</t>
  </si>
  <si>
    <t>DPRO</t>
  </si>
  <si>
    <t>F1545</t>
  </si>
  <si>
    <t>DORA HART - PROJET MENARA</t>
  </si>
  <si>
    <t>F1446-F1521</t>
  </si>
  <si>
    <t>VANESSA SORIA</t>
  </si>
  <si>
    <t>F1480-1520-1539</t>
  </si>
  <si>
    <t>KAC OHANA</t>
  </si>
  <si>
    <t>F1435-F1538</t>
  </si>
  <si>
    <t>M.MME VILLAFRANCA</t>
  </si>
  <si>
    <t>5738-8189</t>
  </si>
  <si>
    <t>F1550</t>
  </si>
  <si>
    <t>BUIZARD JEAN-MICHEL</t>
  </si>
  <si>
    <t>578-2023</t>
  </si>
  <si>
    <t>F1512</t>
  </si>
  <si>
    <t>MME CHEMINAL</t>
  </si>
  <si>
    <t>F1553</t>
  </si>
  <si>
    <t>F1441-F1506</t>
  </si>
  <si>
    <t>2H DESIGN - THOMAS MOOCK</t>
  </si>
  <si>
    <t>4456-4466</t>
  </si>
  <si>
    <t>F1528-F1558</t>
  </si>
  <si>
    <t>FABRE BALBONI</t>
  </si>
  <si>
    <t xml:space="preserve">AGENCE PCM - THG </t>
  </si>
  <si>
    <t>CAPP</t>
  </si>
  <si>
    <t>108 GLA</t>
  </si>
  <si>
    <t>267 GLA</t>
  </si>
  <si>
    <t>268 GLA</t>
  </si>
  <si>
    <t>477 GLA</t>
  </si>
  <si>
    <t>AGENCE PCM - ETMB</t>
  </si>
  <si>
    <t>AGENCE PCM - GARDERA PASTRE</t>
  </si>
  <si>
    <t>24 BO</t>
  </si>
  <si>
    <t>400 BO</t>
  </si>
  <si>
    <t>543 BO</t>
  </si>
  <si>
    <t>50186 BAT</t>
  </si>
  <si>
    <t>FORMES ET COULEURS</t>
  </si>
  <si>
    <t>642 GLA</t>
  </si>
  <si>
    <t>50039 BAT</t>
  </si>
  <si>
    <t>50040 BAT</t>
  </si>
  <si>
    <t>50041 BAT</t>
  </si>
  <si>
    <t>50188 BAT</t>
  </si>
  <si>
    <t>50190 BAT</t>
  </si>
  <si>
    <t>50184 BAT</t>
  </si>
  <si>
    <t>50083 NOV</t>
  </si>
  <si>
    <t>50379 NOV</t>
  </si>
  <si>
    <t>50402 NOV</t>
  </si>
  <si>
    <t>50407 NOV</t>
  </si>
  <si>
    <t>50408 NOV</t>
  </si>
  <si>
    <t>50409 NOV</t>
  </si>
  <si>
    <t>50521 NOV</t>
  </si>
  <si>
    <t>50707 NOV</t>
  </si>
  <si>
    <t>50960 NOV</t>
  </si>
  <si>
    <t>1788-1</t>
  </si>
  <si>
    <t>1788-2</t>
  </si>
  <si>
    <t>ACOUSTIQUE BUREAU DESIGN</t>
  </si>
  <si>
    <t>CONCEPTION NOUVELLE</t>
  </si>
  <si>
    <t>5344 NOR</t>
  </si>
  <si>
    <t>721 BO</t>
  </si>
  <si>
    <t>807 - NOTE CREDIT</t>
  </si>
  <si>
    <t>REZ DE CHAUSSEE</t>
  </si>
  <si>
    <t>AGENCE PCM - MME AMATHIEU</t>
  </si>
  <si>
    <t>AGENCE PCM - GRAILLOT ALEXANDRE</t>
  </si>
  <si>
    <t>1262 BO</t>
  </si>
  <si>
    <t>AGENCE PCM - SYBILLE DE MARGERIE</t>
  </si>
  <si>
    <t>VERSUS MOBILI</t>
  </si>
  <si>
    <t>529 GLA</t>
  </si>
  <si>
    <t>588 GLA</t>
  </si>
  <si>
    <t>323 EX</t>
  </si>
  <si>
    <t xml:space="preserve">MD LIGNE ROSET </t>
  </si>
  <si>
    <t>SOWEN FURNITURE</t>
  </si>
  <si>
    <t>35333 BLA</t>
  </si>
  <si>
    <t>1246 BO</t>
  </si>
  <si>
    <t>1248 BO</t>
  </si>
  <si>
    <t>1264 BO</t>
  </si>
  <si>
    <t>AGENCE PCM - CELINE PUCHE</t>
  </si>
  <si>
    <t>AGENCE PCM - L'ARTISANE BUCOLIQUE</t>
  </si>
  <si>
    <t>1516 BO</t>
  </si>
  <si>
    <t>AGENCE PCM - MONTEBAT</t>
  </si>
  <si>
    <t>50679 BAT</t>
  </si>
  <si>
    <t>INTERIEUR ACTUEL</t>
  </si>
  <si>
    <t>3658 BAT</t>
  </si>
  <si>
    <t>50993 BAT</t>
  </si>
  <si>
    <t>50845 NOV</t>
  </si>
  <si>
    <t>50846 NOVA</t>
  </si>
  <si>
    <t>50889 NOVA</t>
  </si>
  <si>
    <t>50890 NOVA</t>
  </si>
  <si>
    <t>50891 NOVA</t>
  </si>
  <si>
    <t>50892 NOVA</t>
  </si>
  <si>
    <t>50967 NOVA</t>
  </si>
  <si>
    <t>50968 NOVA</t>
  </si>
  <si>
    <t>50969 NOVA</t>
  </si>
  <si>
    <t>50971 NOVA</t>
  </si>
  <si>
    <t>51204 NOVA</t>
  </si>
  <si>
    <t>51205 NOVA</t>
  </si>
  <si>
    <t>51528 NOVA</t>
  </si>
  <si>
    <t>4451 NOVA</t>
  </si>
  <si>
    <t>51626 NOVA</t>
  </si>
  <si>
    <t>51635 NOVA</t>
  </si>
  <si>
    <t>4885 NOVA</t>
  </si>
  <si>
    <t>5279 NOR</t>
  </si>
  <si>
    <t>M AMENAGEMENT</t>
  </si>
  <si>
    <t>AGENCE PCM - MARION RUMPLER</t>
  </si>
  <si>
    <t>AGENCE PCM - VANESSA SORIA</t>
  </si>
  <si>
    <t>AGENCE PCM - ELYES PATRIMOINE</t>
  </si>
  <si>
    <t>AGENCE PCM - VIRGINIE REMOND</t>
  </si>
  <si>
    <t>922 GLA</t>
  </si>
  <si>
    <t>ATELIER DECOR - FRANCK BLIN</t>
  </si>
  <si>
    <t>981 GLA</t>
  </si>
  <si>
    <t xml:space="preserve">ARTHUR BONNET </t>
  </si>
  <si>
    <t>STUDIO LAETITIA RIOPEL</t>
  </si>
  <si>
    <t>MAXIAM</t>
  </si>
  <si>
    <t>1085 GLA</t>
  </si>
  <si>
    <t>412EX</t>
  </si>
  <si>
    <t>413 EX</t>
  </si>
  <si>
    <t>437 EX</t>
  </si>
  <si>
    <t>461 EX</t>
  </si>
  <si>
    <t>MOB BAREUZAI</t>
  </si>
  <si>
    <t>1379 GLA</t>
  </si>
  <si>
    <t>976 GLA</t>
  </si>
  <si>
    <t xml:space="preserve">RENASCITA   </t>
  </si>
  <si>
    <t>DELELEC SARM</t>
  </si>
  <si>
    <t>SODEL NANCY</t>
  </si>
  <si>
    <t>SAS SONAPAR</t>
  </si>
  <si>
    <t>SIETT</t>
  </si>
  <si>
    <t>1318-2</t>
  </si>
  <si>
    <t>31-2 MY</t>
  </si>
  <si>
    <t>32-2</t>
  </si>
  <si>
    <t>129-2</t>
  </si>
  <si>
    <t>320-2</t>
  </si>
  <si>
    <t>1675 BO</t>
  </si>
  <si>
    <t>1688 BO</t>
  </si>
  <si>
    <t>1904 BO</t>
  </si>
  <si>
    <t>1909 BO</t>
  </si>
  <si>
    <t>1910 BO</t>
  </si>
  <si>
    <t>FRANSY DOCKS DESIGN</t>
  </si>
  <si>
    <t>2127 BO</t>
  </si>
  <si>
    <t>2289 BO</t>
  </si>
  <si>
    <t>2302 BO</t>
  </si>
  <si>
    <t>ACUITIS</t>
  </si>
  <si>
    <t>DML HARMONY</t>
  </si>
  <si>
    <t>ABSOLUTE OFFICE</t>
  </si>
  <si>
    <t>50844 NOV</t>
  </si>
  <si>
    <t>ISATI SARL</t>
  </si>
  <si>
    <t>51913 NOV</t>
  </si>
  <si>
    <t>51108 BAT</t>
  </si>
  <si>
    <t>51109 BAT</t>
  </si>
  <si>
    <t>FLODECO CONCEPT</t>
  </si>
  <si>
    <t>51201 BAT</t>
  </si>
  <si>
    <t>51203 BAT</t>
  </si>
  <si>
    <t>51204 BAT</t>
  </si>
  <si>
    <t>139-2023</t>
  </si>
  <si>
    <t>LES QUATRE OLIVIERS</t>
  </si>
  <si>
    <t>188-2023</t>
  </si>
  <si>
    <t>VILLA VISBY</t>
  </si>
  <si>
    <t>300-2023</t>
  </si>
  <si>
    <t>PALISSE AGENCEMENT</t>
  </si>
  <si>
    <t>301-2023</t>
  </si>
  <si>
    <t>GALERIE LSD</t>
  </si>
  <si>
    <t>AGENCE PCM - ATELIER FLOW</t>
  </si>
  <si>
    <t>2466 BO</t>
  </si>
  <si>
    <t>AGENCE PCM - MME VILLAFRANCA</t>
  </si>
  <si>
    <t>2738 BO</t>
  </si>
  <si>
    <t>ARRIVETZ</t>
  </si>
  <si>
    <t>CHARLIE DISTRIBUTION</t>
  </si>
  <si>
    <t>601 EX</t>
  </si>
  <si>
    <t>1522  GLA</t>
  </si>
  <si>
    <t>1690 GLA</t>
  </si>
  <si>
    <t>1783 GLA</t>
  </si>
  <si>
    <t>VERT TIGE</t>
  </si>
  <si>
    <t>AGENCE PCM - DPRO</t>
  </si>
  <si>
    <t>TSUNAMI AXIS LUXEMBOURG</t>
  </si>
  <si>
    <t>AGENCE PCM - DORA HART</t>
  </si>
  <si>
    <t>AGENCE PCM - KAC OHANA</t>
  </si>
  <si>
    <t>WECANDOO SAS</t>
  </si>
  <si>
    <t>ASSOCIATION VAINCRE LA MUCOVISCIDOSE</t>
  </si>
  <si>
    <t>51206 BAT</t>
  </si>
  <si>
    <t>51678 BAT</t>
  </si>
  <si>
    <t>51782 BAT</t>
  </si>
  <si>
    <t>OPTIMAL AGENCEMENT</t>
  </si>
  <si>
    <t>5831 NOVA</t>
  </si>
  <si>
    <t>51960 NOVA</t>
  </si>
  <si>
    <t>51969 NOVA</t>
  </si>
  <si>
    <t>5380 NOVA</t>
  </si>
  <si>
    <t>52098 NOVA</t>
  </si>
  <si>
    <t>52174 NOVA</t>
  </si>
  <si>
    <t>52364 NOVA</t>
  </si>
  <si>
    <t>52505 NOVA</t>
  </si>
  <si>
    <t xml:space="preserve">ENDUIT DIFFUSION </t>
  </si>
  <si>
    <t>3041 BO</t>
  </si>
  <si>
    <t>3155 Avoir</t>
  </si>
  <si>
    <t>3245 BO</t>
  </si>
  <si>
    <t>CELADON DESIGN STUDIO</t>
  </si>
  <si>
    <t>AGENCE PCM - BUIZARD JEAN-MICHEL</t>
  </si>
  <si>
    <t>AGENCE PCM - MME CHEMINAL</t>
  </si>
  <si>
    <t>AGENCE PCM - 2H DESIGN THOMAS MOOCK</t>
  </si>
  <si>
    <t>ENTREPRISE BRUNO BESANCON</t>
  </si>
  <si>
    <t>SERVI COULEURS RENNES</t>
  </si>
  <si>
    <t>PBM</t>
  </si>
  <si>
    <t>2124 GL</t>
  </si>
  <si>
    <t>JULIE BIEREL</t>
  </si>
  <si>
    <t>AGENCE PCM - FABRE BALBONI</t>
  </si>
  <si>
    <t>LBS AMENAGEMENT</t>
  </si>
  <si>
    <t>5704 NOR</t>
  </si>
  <si>
    <t>3620 BO</t>
  </si>
  <si>
    <t>MADELON ST ANTOINE</t>
  </si>
  <si>
    <t>4006 BO</t>
  </si>
  <si>
    <t>ARKAL</t>
  </si>
  <si>
    <t>NC 10026</t>
  </si>
  <si>
    <t>52979 NOVA</t>
  </si>
  <si>
    <t>4351 BO</t>
  </si>
  <si>
    <t>TOTAL CONSORTIUM CLAYTON</t>
  </si>
  <si>
    <t>53285 NOV</t>
  </si>
  <si>
    <t>53290 NOV</t>
  </si>
  <si>
    <t>53291 NOV</t>
  </si>
  <si>
    <t>53294 NOV</t>
  </si>
  <si>
    <t>MEUBLES G SASU</t>
  </si>
  <si>
    <t>CEGELEC PORTES DE BRETAGNE</t>
  </si>
  <si>
    <t>LA CREMERIE AMEUBLEMENT</t>
  </si>
  <si>
    <t>VIEIRA VANESSA SARL</t>
  </si>
  <si>
    <t>SAS NEDGIS</t>
  </si>
  <si>
    <t>DS LIGHTNING</t>
  </si>
  <si>
    <t>2400 GLA</t>
  </si>
  <si>
    <t>PBM PEINTURE</t>
  </si>
  <si>
    <t>2600 GLA</t>
  </si>
  <si>
    <t>2641 GLA</t>
  </si>
  <si>
    <t>2406 GLA</t>
  </si>
  <si>
    <t>AGENCE PCM - MME HEITZ</t>
  </si>
  <si>
    <t>SAS JADE AMENAGEMENTS</t>
  </si>
  <si>
    <t>52317 BAT</t>
  </si>
  <si>
    <t>52396 BAT</t>
  </si>
  <si>
    <t>LOFT ET ATELIERS</t>
  </si>
  <si>
    <t>357-2</t>
  </si>
  <si>
    <t>531-2</t>
  </si>
  <si>
    <t>532-2</t>
  </si>
  <si>
    <t>533-2 MYC</t>
  </si>
  <si>
    <t>534-2 MYC</t>
  </si>
  <si>
    <t>52534 BAT</t>
  </si>
  <si>
    <t>AGENCE PCM - BRUXELLES GARE MARITIME</t>
  </si>
  <si>
    <t>383-2023</t>
  </si>
  <si>
    <t>459-2023</t>
  </si>
  <si>
    <t>HDR</t>
  </si>
  <si>
    <t>496-2023</t>
  </si>
  <si>
    <t>EHRMANN'S PARTNERS</t>
  </si>
  <si>
    <t>519-2023</t>
  </si>
  <si>
    <t>603-2023</t>
  </si>
  <si>
    <t>639-2023 NC</t>
  </si>
  <si>
    <t>AGENCE PCM - PIERRE DUHARD</t>
  </si>
  <si>
    <t>AGENCE PCM - SCI LA BOREALE</t>
  </si>
  <si>
    <t>AGENCE PCM - BENOIT IZARD</t>
  </si>
  <si>
    <t>DURIEZ</t>
  </si>
  <si>
    <t>NC 36430</t>
  </si>
  <si>
    <t>AGENCE PCM - STEPHANIE UZAN</t>
  </si>
  <si>
    <t>AGENCE PCM - NAMUR</t>
  </si>
  <si>
    <t>AGENCE PCM - LIEGE-BARCHON</t>
  </si>
  <si>
    <t>AGENCE PCM - CHARLEROI-COUILLET</t>
  </si>
  <si>
    <t>AGENCE PCM - AIR TAHITI</t>
  </si>
  <si>
    <t>4517 BO</t>
  </si>
  <si>
    <t>BEHOME STRASBOURG</t>
  </si>
  <si>
    <t>STUDIO B CONCEPT</t>
  </si>
  <si>
    <t>4917 BO</t>
  </si>
  <si>
    <t>4918 BO</t>
  </si>
  <si>
    <t>4920 BO</t>
  </si>
  <si>
    <t>5127 BO</t>
  </si>
  <si>
    <t>5133 BO</t>
  </si>
  <si>
    <t>5640 BO</t>
  </si>
  <si>
    <t>5636 BO</t>
  </si>
  <si>
    <t>SARL DECORS ET LUMIERES</t>
  </si>
  <si>
    <t>5630 BO</t>
  </si>
  <si>
    <t>VACHON GL EVENTS</t>
  </si>
  <si>
    <t>5623 BO</t>
  </si>
  <si>
    <t>5625 BO</t>
  </si>
  <si>
    <t>5627 BO</t>
  </si>
  <si>
    <t>3038 GLA</t>
  </si>
  <si>
    <t>AM HOME DECORATION</t>
  </si>
  <si>
    <t>1259 EX</t>
  </si>
  <si>
    <t>2898 GLA</t>
  </si>
  <si>
    <t>STEELCASE</t>
  </si>
  <si>
    <t>659-2023</t>
  </si>
  <si>
    <t>748-2023</t>
  </si>
  <si>
    <t>53545 NOV</t>
  </si>
  <si>
    <t>53550 NOV</t>
  </si>
  <si>
    <t>FLEURS D'ORANGE</t>
  </si>
  <si>
    <t>53852 NOV</t>
  </si>
  <si>
    <t>53854 NOV</t>
  </si>
  <si>
    <t>53859 NOV</t>
  </si>
  <si>
    <t>53861 NOV</t>
  </si>
  <si>
    <t>53990 NOV</t>
  </si>
  <si>
    <t>53991 NOV</t>
  </si>
  <si>
    <t>53996 NOV</t>
  </si>
  <si>
    <t>53992 NOV</t>
  </si>
  <si>
    <t>52826 BAT</t>
  </si>
  <si>
    <t>52827 BAT</t>
  </si>
  <si>
    <t>52828 BAT</t>
  </si>
  <si>
    <t>52858 BAT</t>
  </si>
  <si>
    <t>17565 NC</t>
  </si>
  <si>
    <t>5773 BO</t>
  </si>
  <si>
    <t>AGENCE PCM - IHT SOLUTION</t>
  </si>
  <si>
    <t>F1598-F1614</t>
  </si>
  <si>
    <t>BBS</t>
  </si>
  <si>
    <t>REPERAGES CONSEIL DESIGN</t>
  </si>
  <si>
    <t>LA MAISON DES ARCHIS</t>
  </si>
  <si>
    <t>DREAN DESIGN</t>
  </si>
  <si>
    <t>F1574</t>
  </si>
  <si>
    <t>SCI LA BOREALE</t>
  </si>
  <si>
    <t>F1575-F1602</t>
  </si>
  <si>
    <t>BENOIT IZARD</t>
  </si>
  <si>
    <t>F1562-F1592</t>
  </si>
  <si>
    <t>STEPHANIE UZAN</t>
  </si>
  <si>
    <t>IHT SOLUTION</t>
  </si>
  <si>
    <t>F1509-F1551</t>
  </si>
  <si>
    <t>MME HEITZ</t>
  </si>
  <si>
    <t>F1578-F1615</t>
  </si>
  <si>
    <t>LARROQUE FREDERIC</t>
  </si>
  <si>
    <t>893-2</t>
  </si>
  <si>
    <t>F1583-F1613</t>
  </si>
  <si>
    <t>NICOLINI-HENRIQUES</t>
  </si>
  <si>
    <t>273-22</t>
  </si>
  <si>
    <t>AGENCE PCM - LARROQUE FREDERIC</t>
  </si>
  <si>
    <t>AGENCE PCM - LIEGE BARCHON</t>
  </si>
  <si>
    <t>AGENCE PCM - GARE MARITIME</t>
  </si>
  <si>
    <t>SARL SOC GEORGES MONET</t>
  </si>
  <si>
    <t>SAGA AGENCEMENT</t>
  </si>
  <si>
    <t>AGENCE PCM - SULTAN</t>
  </si>
  <si>
    <t>812-2023</t>
  </si>
  <si>
    <t>LES ECRINS</t>
  </si>
  <si>
    <t>54432 NOV</t>
  </si>
  <si>
    <t>54805 NOV</t>
  </si>
  <si>
    <t>LUXEMBOURG HOME IMPROVEMENT</t>
  </si>
  <si>
    <t>54806 NOV</t>
  </si>
  <si>
    <t>ACTANCE</t>
  </si>
  <si>
    <t>53553 BAT</t>
  </si>
  <si>
    <t>AGENCE PCM - NICOLINI</t>
  </si>
  <si>
    <t xml:space="preserve">  </t>
  </si>
  <si>
    <t>643-2</t>
  </si>
  <si>
    <t>678-2</t>
  </si>
  <si>
    <t>742-2</t>
  </si>
  <si>
    <t>ATELIER A2 AGENCEMENT</t>
  </si>
  <si>
    <t>DELELEC SARL</t>
  </si>
  <si>
    <t>MC&amp;MC</t>
  </si>
  <si>
    <t>F1584</t>
  </si>
  <si>
    <t>AIR TAHITI</t>
  </si>
  <si>
    <t>36255-36786</t>
  </si>
  <si>
    <t>F1564-1609-1616</t>
  </si>
  <si>
    <t>ACM - GARE MARITIME</t>
  </si>
  <si>
    <t>36089-36368-36567</t>
  </si>
  <si>
    <t>F1565-1610-1617</t>
  </si>
  <si>
    <t>ACM - LIEGE BARCHON</t>
  </si>
  <si>
    <t>Y:\PCM\BDD Facture V0 .xlsx</t>
  </si>
  <si>
    <t>C:\Users\asuse\Desktop\PFE PCM\BDD Facture V0 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</si>
</sst>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164" formatCode="#,##0.00\ &quot;€&quot;"/>
    <numFmt numFmtId="165" formatCode="dd/mm/yy;@"/>
    <numFmt numFmtId="166" formatCode="&quot;Année &quot;0"/>
    <numFmt numFmtId="167" formatCode="#,##0\ &quot;€&quot;"/>
  </numFmts>
  <fonts count="3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8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theme="8" tint="-0.249977111117893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medium">
        <color theme="0"/>
      </bottom>
      <diagonal/>
    </border>
    <border>
      <left style="hair">
        <color auto="1"/>
      </left>
      <right style="medium">
        <color theme="0"/>
      </right>
      <top style="medium">
        <color theme="0"/>
      </top>
      <bottom style="hair">
        <color auto="1"/>
      </bottom>
      <diagonal/>
    </border>
    <border>
      <left style="hair">
        <color auto="1"/>
      </left>
      <right style="medium">
        <color theme="1"/>
      </right>
      <top style="medium">
        <color theme="0"/>
      </top>
      <bottom style="hair">
        <color auto="1"/>
      </bottom>
      <diagonal/>
    </border>
    <border>
      <left style="hair">
        <color indexed="64"/>
      </left>
      <right style="medium">
        <color theme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theme="1"/>
      </right>
      <top style="hair">
        <color auto="1"/>
      </top>
      <bottom style="medium">
        <color auto="1"/>
      </bottom>
      <diagonal/>
    </border>
    <border>
      <left/>
      <right style="medium">
        <color theme="1"/>
      </right>
      <top/>
      <bottom style="medium">
        <color theme="0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/>
      <right style="medium">
        <color indexed="64"/>
      </right>
      <top style="hair">
        <color theme="8" tint="-0.499984740745262"/>
      </top>
      <bottom style="hair">
        <color auto="1"/>
      </bottom>
      <diagonal/>
    </border>
    <border>
      <left style="medium">
        <color indexed="64"/>
      </left>
      <right style="hair">
        <color theme="8" tint="-0.499984740745262"/>
      </right>
      <top style="medium">
        <color indexed="64"/>
      </top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medium">
        <color indexed="64"/>
      </top>
      <bottom style="hair">
        <color theme="8" tint="-0.499984740745262"/>
      </bottom>
      <diagonal/>
    </border>
    <border>
      <left style="hair">
        <color theme="8" tint="-0.499984740745262"/>
      </left>
      <right style="medium">
        <color indexed="64"/>
      </right>
      <top style="medium">
        <color indexed="64"/>
      </top>
      <bottom style="hair">
        <color theme="8" tint="-0.499984740745262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dotted">
        <color indexed="64"/>
      </left>
      <right style="medium">
        <color theme="0"/>
      </right>
      <top style="dotted">
        <color indexed="64"/>
      </top>
      <bottom style="dotted">
        <color indexed="64"/>
      </bottom>
      <diagonal/>
    </border>
    <border>
      <left style="medium">
        <color theme="0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ck">
        <color theme="0"/>
      </right>
      <top/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thick">
        <color theme="0"/>
      </right>
      <top style="hair">
        <color theme="0"/>
      </top>
      <bottom style="hair">
        <color theme="0"/>
      </bottom>
      <diagonal/>
    </border>
    <border>
      <left/>
      <right/>
      <top/>
      <bottom style="hair">
        <color theme="0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86">
    <xf numFmtId="0" fontId="0" fillId="0" borderId="0" xfId="0"/>
    <xf numFmtId="0" fontId="0" fillId="3" borderId="0" xfId="0" applyFill="1"/>
    <xf numFmtId="0" fontId="2" fillId="0" borderId="0" xfId="0" applyFont="1"/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centerContinuous"/>
    </xf>
    <xf numFmtId="0" fontId="1" fillId="2" borderId="0" xfId="0" applyFont="1" applyFill="1"/>
    <xf numFmtId="0" fontId="5" fillId="0" borderId="1" xfId="0" applyFont="1" applyBorder="1"/>
    <xf numFmtId="0" fontId="0" fillId="0" borderId="1" xfId="0" applyBorder="1"/>
    <xf numFmtId="0" fontId="0" fillId="0" borderId="2" xfId="0" applyBorder="1"/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Continuous" vertical="center" wrapText="1"/>
    </xf>
    <xf numFmtId="0" fontId="0" fillId="2" borderId="8" xfId="0" applyFill="1" applyBorder="1" applyAlignment="1">
      <alignment horizontal="centerContinuous"/>
    </xf>
    <xf numFmtId="0" fontId="0" fillId="2" borderId="9" xfId="0" applyFill="1" applyBorder="1" applyAlignment="1">
      <alignment horizontal="centerContinuous"/>
    </xf>
    <xf numFmtId="0" fontId="0" fillId="0" borderId="3" xfId="0" applyBorder="1"/>
    <xf numFmtId="0" fontId="0" fillId="0" borderId="4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6" borderId="17" xfId="0" applyFill="1" applyBorder="1"/>
    <xf numFmtId="0" fontId="0" fillId="0" borderId="17" xfId="0" applyBorder="1"/>
    <xf numFmtId="0" fontId="0" fillId="0" borderId="17" xfId="0" applyBorder="1" applyAlignment="1">
      <alignment vertical="center"/>
    </xf>
    <xf numFmtId="0" fontId="0" fillId="0" borderId="17" xfId="0" applyBorder="1" applyAlignment="1">
      <alignment horizontal="left" vertical="center"/>
    </xf>
    <xf numFmtId="0" fontId="1" fillId="7" borderId="0" xfId="0" applyFont="1" applyFill="1"/>
    <xf numFmtId="0" fontId="0" fillId="8" borderId="17" xfId="0" applyFill="1" applyBorder="1"/>
    <xf numFmtId="0" fontId="0" fillId="0" borderId="18" xfId="0" applyBorder="1"/>
    <xf numFmtId="0" fontId="0" fillId="4" borderId="17" xfId="0" applyFill="1" applyBorder="1"/>
    <xf numFmtId="0" fontId="8" fillId="0" borderId="0" xfId="0" applyFont="1"/>
    <xf numFmtId="0" fontId="0" fillId="0" borderId="17" xfId="0" applyBorder="1" applyAlignment="1">
      <alignment horizontal="left"/>
    </xf>
    <xf numFmtId="164" fontId="0" fillId="0" borderId="17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165" fontId="11" fillId="0" borderId="0" xfId="0" applyNumberFormat="1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164" fontId="0" fillId="0" borderId="17" xfId="0" applyNumberFormat="1" applyBorder="1" applyAlignment="1">
      <alignment horizontal="left" vertical="center"/>
    </xf>
    <xf numFmtId="0" fontId="1" fillId="7" borderId="19" xfId="0" applyFont="1" applyFill="1" applyBorder="1"/>
    <xf numFmtId="165" fontId="10" fillId="7" borderId="19" xfId="0" applyNumberFormat="1" applyFont="1" applyFill="1" applyBorder="1" applyAlignment="1">
      <alignment horizontal="center" vertical="center" wrapText="1"/>
    </xf>
    <xf numFmtId="0" fontId="10" fillId="7" borderId="19" xfId="0" applyFont="1" applyFill="1" applyBorder="1" applyAlignment="1">
      <alignment horizontal="center" vertical="center" wrapText="1"/>
    </xf>
    <xf numFmtId="164" fontId="10" fillId="7" borderId="19" xfId="0" applyNumberFormat="1" applyFont="1" applyFill="1" applyBorder="1" applyAlignment="1">
      <alignment horizontal="center" vertical="center" wrapText="1"/>
    </xf>
    <xf numFmtId="164" fontId="10" fillId="9" borderId="19" xfId="0" applyNumberFormat="1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164" fontId="10" fillId="5" borderId="19" xfId="0" applyNumberFormat="1" applyFont="1" applyFill="1" applyBorder="1" applyAlignment="1">
      <alignment horizontal="center" vertical="center" wrapText="1"/>
    </xf>
    <xf numFmtId="0" fontId="0" fillId="0" borderId="20" xfId="0" applyBorder="1"/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9" borderId="21" xfId="0" applyFont="1" applyFill="1" applyBorder="1" applyAlignment="1">
      <alignment horizontal="center" vertical="center" wrapText="1"/>
    </xf>
    <xf numFmtId="0" fontId="12" fillId="9" borderId="22" xfId="0" applyFont="1" applyFill="1" applyBorder="1" applyAlignment="1">
      <alignment horizontal="center" vertical="center" wrapText="1"/>
    </xf>
    <xf numFmtId="0" fontId="12" fillId="3" borderId="22" xfId="0" applyFont="1" applyFill="1" applyBorder="1" applyAlignment="1">
      <alignment horizontal="center" vertical="center" wrapText="1"/>
    </xf>
    <xf numFmtId="0" fontId="12" fillId="3" borderId="23" xfId="0" applyFont="1" applyFill="1" applyBorder="1" applyAlignment="1">
      <alignment horizontal="center" vertical="center" wrapText="1"/>
    </xf>
    <xf numFmtId="0" fontId="13" fillId="0" borderId="0" xfId="0" applyFont="1"/>
    <xf numFmtId="0" fontId="12" fillId="3" borderId="29" xfId="0" applyFont="1" applyFill="1" applyBorder="1" applyAlignment="1">
      <alignment horizontal="center" vertical="center" wrapText="1"/>
    </xf>
    <xf numFmtId="0" fontId="12" fillId="3" borderId="31" xfId="0" applyFont="1" applyFill="1" applyBorder="1" applyAlignment="1">
      <alignment horizontal="center" vertical="center" wrapText="1"/>
    </xf>
    <xf numFmtId="0" fontId="12" fillId="3" borderId="32" xfId="0" applyFont="1" applyFill="1" applyBorder="1" applyAlignment="1">
      <alignment horizontal="center" vertical="center" wrapText="1"/>
    </xf>
    <xf numFmtId="0" fontId="0" fillId="0" borderId="37" xfId="0" applyBorder="1"/>
    <xf numFmtId="164" fontId="0" fillId="0" borderId="17" xfId="0" applyNumberFormat="1" applyBorder="1" applyAlignment="1">
      <alignment horizontal="center" vertical="center"/>
    </xf>
    <xf numFmtId="164" fontId="13" fillId="0" borderId="17" xfId="0" applyNumberFormat="1" applyFon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0" fillId="3" borderId="19" xfId="0" applyNumberFormat="1" applyFont="1" applyFill="1" applyBorder="1" applyAlignment="1">
      <alignment horizontal="center" vertical="center" wrapText="1"/>
    </xf>
    <xf numFmtId="10" fontId="10" fillId="3" borderId="19" xfId="0" applyNumberFormat="1" applyFont="1" applyFill="1" applyBorder="1" applyAlignment="1">
      <alignment horizontal="center" vertical="center" wrapText="1"/>
    </xf>
    <xf numFmtId="0" fontId="12" fillId="9" borderId="30" xfId="0" applyFont="1" applyFill="1" applyBorder="1" applyAlignment="1">
      <alignment horizontal="centerContinuous" vertical="center"/>
    </xf>
    <xf numFmtId="0" fontId="12" fillId="9" borderId="35" xfId="0" applyFont="1" applyFill="1" applyBorder="1" applyAlignment="1">
      <alignment horizontal="centerContinuous" vertical="center"/>
    </xf>
    <xf numFmtId="9" fontId="0" fillId="0" borderId="17" xfId="1" applyFont="1" applyBorder="1" applyAlignment="1">
      <alignment horizontal="center" vertical="center"/>
    </xf>
    <xf numFmtId="0" fontId="16" fillId="10" borderId="0" xfId="0" applyFont="1" applyFill="1" applyAlignment="1">
      <alignment horizontal="center" vertical="center" wrapText="1"/>
    </xf>
    <xf numFmtId="0" fontId="16" fillId="10" borderId="36" xfId="0" applyFont="1" applyFill="1" applyBorder="1" applyAlignment="1">
      <alignment horizontal="center" vertical="center" wrapText="1"/>
    </xf>
    <xf numFmtId="9" fontId="0" fillId="0" borderId="26" xfId="1" applyFont="1" applyBorder="1" applyAlignment="1">
      <alignment horizontal="center" vertical="center"/>
    </xf>
    <xf numFmtId="0" fontId="12" fillId="9" borderId="38" xfId="0" applyFont="1" applyFill="1" applyBorder="1" applyAlignment="1">
      <alignment horizontal="centerContinuous" vertical="center"/>
    </xf>
    <xf numFmtId="164" fontId="0" fillId="0" borderId="33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16" fillId="11" borderId="0" xfId="0" applyFont="1" applyFill="1" applyAlignment="1">
      <alignment horizontal="center" vertical="center" wrapText="1"/>
    </xf>
    <xf numFmtId="0" fontId="17" fillId="11" borderId="0" xfId="0" applyFont="1" applyFill="1" applyAlignment="1">
      <alignment horizontal="left" vertical="center"/>
    </xf>
    <xf numFmtId="0" fontId="12" fillId="3" borderId="40" xfId="0" applyFont="1" applyFill="1" applyBorder="1" applyAlignment="1">
      <alignment horizontal="center" vertical="center" wrapText="1"/>
    </xf>
    <xf numFmtId="0" fontId="12" fillId="3" borderId="44" xfId="0" applyFont="1" applyFill="1" applyBorder="1" applyAlignment="1">
      <alignment horizontal="center" vertical="center" wrapText="1"/>
    </xf>
    <xf numFmtId="0" fontId="0" fillId="4" borderId="39" xfId="0" applyFill="1" applyBorder="1" applyAlignment="1">
      <alignment vertical="center"/>
    </xf>
    <xf numFmtId="0" fontId="15" fillId="4" borderId="45" xfId="0" applyFont="1" applyFill="1" applyBorder="1" applyAlignment="1">
      <alignment vertical="center"/>
    </xf>
    <xf numFmtId="0" fontId="19" fillId="0" borderId="46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0" fontId="9" fillId="0" borderId="17" xfId="1" applyNumberFormat="1" applyFont="1" applyBorder="1" applyAlignment="1">
      <alignment horizontal="center" vertical="center"/>
    </xf>
    <xf numFmtId="10" fontId="9" fillId="0" borderId="26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1" fillId="7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1" fillId="1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" fillId="13" borderId="48" xfId="0" applyFont="1" applyFill="1" applyBorder="1" applyAlignment="1">
      <alignment horizontal="centerContinuous"/>
    </xf>
    <xf numFmtId="0" fontId="1" fillId="13" borderId="49" xfId="0" applyFont="1" applyFill="1" applyBorder="1" applyAlignment="1">
      <alignment horizontal="centerContinuous"/>
    </xf>
    <xf numFmtId="0" fontId="1" fillId="13" borderId="50" xfId="0" applyFont="1" applyFill="1" applyBorder="1" applyAlignment="1">
      <alignment horizontal="centerContinuous"/>
    </xf>
    <xf numFmtId="0" fontId="1" fillId="13" borderId="51" xfId="0" applyFont="1" applyFill="1" applyBorder="1" applyAlignment="1">
      <alignment horizontal="centerContinuous"/>
    </xf>
    <xf numFmtId="0" fontId="1" fillId="12" borderId="0" xfId="0" applyFont="1" applyFill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 applyAlignment="1">
      <alignment horizontal="center"/>
    </xf>
    <xf numFmtId="0" fontId="20" fillId="0" borderId="0" xfId="0" applyFont="1"/>
    <xf numFmtId="0" fontId="21" fillId="10" borderId="0" xfId="0" applyFont="1" applyFill="1" applyAlignment="1">
      <alignment horizontal="center" vertical="center" wrapText="1"/>
    </xf>
    <xf numFmtId="0" fontId="21" fillId="7" borderId="52" xfId="0" applyFont="1" applyFill="1" applyBorder="1" applyAlignment="1">
      <alignment horizontal="center" vertical="center" wrapText="1"/>
    </xf>
    <xf numFmtId="0" fontId="21" fillId="7" borderId="56" xfId="0" applyFont="1" applyFill="1" applyBorder="1" applyAlignment="1">
      <alignment horizontal="center" vertical="center" wrapText="1"/>
    </xf>
    <xf numFmtId="0" fontId="21" fillId="7" borderId="55" xfId="0" applyFont="1" applyFill="1" applyBorder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20" fillId="0" borderId="17" xfId="0" applyFont="1" applyBorder="1" applyAlignment="1">
      <alignment horizontal="center"/>
    </xf>
    <xf numFmtId="164" fontId="20" fillId="0" borderId="53" xfId="0" applyNumberFormat="1" applyFont="1" applyBorder="1" applyAlignment="1">
      <alignment horizontal="center"/>
    </xf>
    <xf numFmtId="164" fontId="20" fillId="0" borderId="29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164" fontId="23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1" fillId="13" borderId="57" xfId="0" applyFont="1" applyFill="1" applyBorder="1"/>
    <xf numFmtId="0" fontId="21" fillId="13" borderId="54" xfId="0" applyFont="1" applyFill="1" applyBorder="1"/>
    <xf numFmtId="0" fontId="0" fillId="11" borderId="6" xfId="0" applyFill="1" applyBorder="1" applyAlignment="1">
      <alignment horizontal="center"/>
    </xf>
    <xf numFmtId="0" fontId="25" fillId="14" borderId="0" xfId="0" applyFont="1" applyFill="1"/>
    <xf numFmtId="0" fontId="21" fillId="13" borderId="0" xfId="0" applyFont="1" applyFill="1" applyAlignment="1">
      <alignment horizontal="centerContinuous"/>
    </xf>
    <xf numFmtId="0" fontId="21" fillId="13" borderId="57" xfId="0" applyFont="1" applyFill="1" applyBorder="1" applyAlignment="1">
      <alignment horizontal="centerContinuous"/>
    </xf>
    <xf numFmtId="0" fontId="21" fillId="13" borderId="54" xfId="0" applyFont="1" applyFill="1" applyBorder="1" applyAlignment="1">
      <alignment horizontal="centerContinuous"/>
    </xf>
    <xf numFmtId="0" fontId="0" fillId="11" borderId="10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4" fontId="0" fillId="0" borderId="17" xfId="0" applyNumberFormat="1" applyBorder="1" applyAlignment="1">
      <alignment horizontal="left" vertical="center"/>
    </xf>
    <xf numFmtId="0" fontId="0" fillId="4" borderId="17" xfId="0" applyFill="1" applyBorder="1" applyAlignment="1" applyProtection="1">
      <alignment horizontal="center"/>
      <protection locked="0"/>
    </xf>
    <xf numFmtId="0" fontId="1" fillId="15" borderId="0" xfId="0" applyFont="1" applyFill="1"/>
    <xf numFmtId="0" fontId="0" fillId="16" borderId="59" xfId="0" applyFill="1" applyBorder="1"/>
    <xf numFmtId="0" fontId="1" fillId="13" borderId="0" xfId="0" applyFont="1" applyFill="1" applyAlignment="1">
      <alignment horizontal="centerContinuous"/>
    </xf>
    <xf numFmtId="0" fontId="0" fillId="0" borderId="60" xfId="0" applyBorder="1" applyAlignment="1">
      <alignment vertical="center"/>
    </xf>
    <xf numFmtId="0" fontId="26" fillId="0" borderId="0" xfId="0" applyFont="1"/>
    <xf numFmtId="0" fontId="27" fillId="0" borderId="0" xfId="0" applyFont="1"/>
    <xf numFmtId="0" fontId="1" fillId="10" borderId="0" xfId="0" applyFont="1" applyFill="1"/>
    <xf numFmtId="0" fontId="1" fillId="10" borderId="17" xfId="0" applyFont="1" applyFill="1" applyBorder="1"/>
    <xf numFmtId="0" fontId="1" fillId="10" borderId="17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1" fillId="7" borderId="0" xfId="0" applyFont="1" applyFill="1" applyAlignment="1">
      <alignment horizontal="centerContinuous"/>
    </xf>
    <xf numFmtId="0" fontId="1" fillId="3" borderId="0" xfId="0" applyFont="1" applyFill="1" applyAlignment="1">
      <alignment horizontal="centerContinuous"/>
    </xf>
    <xf numFmtId="0" fontId="1" fillId="3" borderId="61" xfId="0" applyFont="1" applyFill="1" applyBorder="1" applyAlignment="1">
      <alignment horizontal="center" vertical="center" wrapText="1"/>
    </xf>
    <xf numFmtId="166" fontId="1" fillId="17" borderId="0" xfId="0" applyNumberFormat="1" applyFont="1" applyFill="1" applyAlignment="1">
      <alignment horizontal="center" vertical="center"/>
    </xf>
    <xf numFmtId="0" fontId="28" fillId="0" borderId="0" xfId="0" applyFont="1" applyAlignment="1">
      <alignment horizontal="centerContinuous"/>
    </xf>
    <xf numFmtId="0" fontId="1" fillId="3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0" fillId="0" borderId="63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4" xfId="0" applyBorder="1" applyAlignment="1">
      <alignment horizontal="center"/>
    </xf>
    <xf numFmtId="0" fontId="1" fillId="18" borderId="0" xfId="0" applyFont="1" applyFill="1" applyAlignment="1">
      <alignment horizontal="centerContinuous"/>
    </xf>
    <xf numFmtId="0" fontId="27" fillId="6" borderId="0" xfId="0" applyFont="1" applyFill="1" applyAlignment="1">
      <alignment horizontal="centerContinuous"/>
    </xf>
    <xf numFmtId="0" fontId="1" fillId="18" borderId="0" xfId="0" applyFont="1" applyFill="1" applyAlignment="1">
      <alignment horizontal="center"/>
    </xf>
    <xf numFmtId="0" fontId="27" fillId="6" borderId="0" xfId="0" applyFont="1" applyFill="1" applyAlignment="1">
      <alignment horizontal="center"/>
    </xf>
    <xf numFmtId="0" fontId="1" fillId="19" borderId="0" xfId="0" applyFont="1" applyFill="1" applyAlignment="1">
      <alignment horizontal="centerContinuous"/>
    </xf>
    <xf numFmtId="0" fontId="27" fillId="19" borderId="0" xfId="0" applyFont="1" applyFill="1" applyAlignment="1">
      <alignment horizontal="center"/>
    </xf>
    <xf numFmtId="0" fontId="27" fillId="20" borderId="0" xfId="0" applyFont="1" applyFill="1" applyAlignment="1">
      <alignment horizontal="centerContinuous"/>
    </xf>
    <xf numFmtId="0" fontId="27" fillId="20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7" fontId="0" fillId="0" borderId="0" xfId="0" applyNumberFormat="1"/>
    <xf numFmtId="0" fontId="1" fillId="3" borderId="62" xfId="0" applyFont="1" applyFill="1" applyBorder="1" applyAlignment="1">
      <alignment horizontal="center" vertical="center" wrapText="1"/>
    </xf>
    <xf numFmtId="0" fontId="0" fillId="0" borderId="65" xfId="0" applyBorder="1" applyAlignment="1">
      <alignment horizontal="center"/>
    </xf>
    <xf numFmtId="166" fontId="1" fillId="17" borderId="66" xfId="0" applyNumberFormat="1" applyFont="1" applyFill="1" applyBorder="1" applyAlignment="1">
      <alignment horizontal="center" vertical="center"/>
    </xf>
    <xf numFmtId="167" fontId="29" fillId="0" borderId="65" xfId="0" applyNumberFormat="1" applyFont="1" applyBorder="1" applyAlignment="1">
      <alignment horizontal="center" vertical="center"/>
    </xf>
    <xf numFmtId="4" fontId="0" fillId="0" borderId="17" xfId="0" applyNumberFormat="1" applyBorder="1" applyAlignment="1">
      <alignment horizontal="center"/>
    </xf>
    <xf numFmtId="0" fontId="0" fillId="4" borderId="3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14" fillId="7" borderId="28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18" fillId="9" borderId="42" xfId="0" applyFont="1" applyFill="1" applyBorder="1" applyAlignment="1">
      <alignment horizontal="center" vertical="center" wrapText="1"/>
    </xf>
    <xf numFmtId="0" fontId="18" fillId="9" borderId="43" xfId="0" applyFont="1" applyFill="1" applyBorder="1" applyAlignment="1">
      <alignment horizontal="center" vertical="center" wrapText="1"/>
    </xf>
    <xf numFmtId="0" fontId="18" fillId="9" borderId="41" xfId="0" applyFont="1" applyFill="1" applyBorder="1" applyAlignment="1">
      <alignment horizontal="center" vertical="center" wrapText="1"/>
    </xf>
    <xf numFmtId="0" fontId="21" fillId="10" borderId="0" xfId="0" applyFont="1" applyFill="1" applyAlignment="1">
      <alignment horizontal="center" vertical="center"/>
    </xf>
    <xf numFmtId="0" fontId="21" fillId="10" borderId="58" xfId="0" applyFont="1" applyFill="1" applyBorder="1" applyAlignment="1">
      <alignment horizontal="center" vertical="center"/>
    </xf>
    <xf numFmtId="0" fontId="21" fillId="13" borderId="57" xfId="0" applyFont="1" applyFill="1" applyBorder="1" applyAlignment="1">
      <alignment horizontal="center"/>
    </xf>
    <xf numFmtId="0" fontId="21" fillId="13" borderId="54" xfId="0" applyFont="1" applyFill="1" applyBorder="1" applyAlignment="1">
      <alignment horizontal="center"/>
    </xf>
    <xf numFmtId="0" fontId="21" fillId="13" borderId="0" xfId="0" applyFont="1" applyFill="1" applyAlignment="1">
      <alignment horizontal="center"/>
    </xf>
    <xf numFmtId="0" fontId="0" fillId="0" borderId="62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3" xfId="0" applyBorder="1" applyAlignment="1">
      <alignment horizontal="center"/>
    </xf>
  </cellXfs>
  <cellStyles count="2">
    <cellStyle name="Normal" xfId="0" builtinId="0"/>
    <cellStyle name="Pourcentage" xfId="1" builtinId="5"/>
  </cellStyles>
  <dxfs count="9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9" tint="-0.24994659260841701"/>
      </font>
    </dxf>
  </dxfs>
  <tableStyles count="0" defaultTableStyle="TableStyleMedium2" defaultPivotStyle="PivotStyleLight16"/>
  <colors>
    <mruColors>
      <color rgb="FF977229"/>
      <color rgb="FFAE1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86-4F75-B171-09A043DEBF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86-4F75-B171-09A043DEBF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86-4F75-B171-09A043DEBF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86-4F75-B171-09A043DEBF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86-4F75-B171-09A043DEBF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86-4F75-B171-09A043DEBF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086-4F75-B171-09A043DEBF8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086-4F75-B171-09A043DEBF8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086-4F75-B171-09A043DEBF81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Graphique'!$B$4:$B$12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Graphique'!$C$4:$C$12</c:f>
              <c:numCache>
                <c:formatCode>General</c:formatCode>
                <c:ptCount val="9"/>
                <c:pt idx="0">
                  <c:v>164843.15000000002</c:v>
                </c:pt>
                <c:pt idx="1">
                  <c:v>15061.25</c:v>
                </c:pt>
                <c:pt idx="2">
                  <c:v>84450.180000000008</c:v>
                </c:pt>
                <c:pt idx="3">
                  <c:v>143803.20000000001</c:v>
                </c:pt>
                <c:pt idx="4">
                  <c:v>0</c:v>
                </c:pt>
                <c:pt idx="5">
                  <c:v>0</c:v>
                </c:pt>
                <c:pt idx="6">
                  <c:v>52962.350000000006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3-4C6E-BA4E-5F1AB8D45DE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4962594985233274E-2"/>
          <c:y val="3.1209401709401709E-2"/>
          <c:w val="0.24675636360727299"/>
          <c:h val="0.817478960125667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D5-49BA-B1B6-593BA7EC4F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D5-49BA-B1B6-593BA7EC4F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D5-49BA-B1B6-593BA7EC4FB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D5-49BA-B1B6-593BA7EC4FB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D5-49BA-B1B6-593BA7EC4FB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D5-49BA-B1B6-593BA7EC4FB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D5-49BA-B1B6-593BA7EC4FB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D5-49BA-B1B6-593BA7EC4FB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ED5-49BA-B1B6-593BA7EC4FB1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Graphique'!$E$4:$E$12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Graphique'!$F$4:$F$12</c:f>
              <c:numCache>
                <c:formatCode>General</c:formatCode>
                <c:ptCount val="9"/>
                <c:pt idx="0">
                  <c:v>180931.71000000002</c:v>
                </c:pt>
                <c:pt idx="1">
                  <c:v>26992.559999999998</c:v>
                </c:pt>
                <c:pt idx="2">
                  <c:v>95004.35</c:v>
                </c:pt>
                <c:pt idx="3">
                  <c:v>231192.30000000002</c:v>
                </c:pt>
                <c:pt idx="4">
                  <c:v>23160.16</c:v>
                </c:pt>
                <c:pt idx="5">
                  <c:v>309313.76999999996</c:v>
                </c:pt>
                <c:pt idx="6">
                  <c:v>24107.53</c:v>
                </c:pt>
                <c:pt idx="7">
                  <c:v>3893</c:v>
                </c:pt>
                <c:pt idx="8">
                  <c:v>2982.6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D5-49BA-B1B6-593BA7EC4FB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B4-4BC2-9E8E-5B740ABB15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B4-4BC2-9E8E-5B740ABB15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B4-4BC2-9E8E-5B740ABB15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B4-4BC2-9E8E-5B740ABB15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B4-4BC2-9E8E-5B740ABB15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FB4-4BC2-9E8E-5B740ABB15B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FB4-4BC2-9E8E-5B740ABB15B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FB4-4BC2-9E8E-5B740ABB15B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FB4-4BC2-9E8E-5B740ABB15BC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Graphique'!$H$4:$H$12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Graphique'!$I$4:$I$12</c:f>
              <c:numCache>
                <c:formatCode>General</c:formatCode>
                <c:ptCount val="9"/>
                <c:pt idx="0">
                  <c:v>233169.62000000002</c:v>
                </c:pt>
                <c:pt idx="1">
                  <c:v>95008.069999999992</c:v>
                </c:pt>
                <c:pt idx="2">
                  <c:v>78260.250000000015</c:v>
                </c:pt>
                <c:pt idx="3">
                  <c:v>210480.78000000003</c:v>
                </c:pt>
                <c:pt idx="4">
                  <c:v>24219.910000000003</c:v>
                </c:pt>
                <c:pt idx="5">
                  <c:v>281833.07999999996</c:v>
                </c:pt>
                <c:pt idx="6">
                  <c:v>93188.249999999985</c:v>
                </c:pt>
                <c:pt idx="7">
                  <c:v>29870.04</c:v>
                </c:pt>
                <c:pt idx="8">
                  <c:v>17725.310000000001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FB4-4BC2-9E8E-5B740ABB15B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7D-4242-A90F-1FC46EFFFE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7D-4242-A90F-1FC46EFFFE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7D-4242-A90F-1FC46EFFFE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7D-4242-A90F-1FC46EFFFE3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7D-4242-A90F-1FC46EFFFE3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7D-4242-A90F-1FC46EFFFE3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07D-4242-A90F-1FC46EFFFE3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07D-4242-A90F-1FC46EFFFE3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07D-4242-A90F-1FC46EFFFE30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Graphique'!$K$4:$K$12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Graphique'!$L$4:$L$12</c:f>
              <c:numCache>
                <c:formatCode>General</c:formatCode>
                <c:ptCount val="9"/>
                <c:pt idx="0">
                  <c:v>217677.78999999998</c:v>
                </c:pt>
                <c:pt idx="1">
                  <c:v>35389.25</c:v>
                </c:pt>
                <c:pt idx="2">
                  <c:v>82009.959999999992</c:v>
                </c:pt>
                <c:pt idx="3">
                  <c:v>115856.74999999997</c:v>
                </c:pt>
                <c:pt idx="4">
                  <c:v>0</c:v>
                </c:pt>
                <c:pt idx="5">
                  <c:v>214960.65999999997</c:v>
                </c:pt>
                <c:pt idx="6">
                  <c:v>53756.03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07D-4242-A90F-1FC46EFFFE3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F9-4ACA-90A1-82FEAC6813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F9-4ACA-90A1-82FEAC6813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F9-4ACA-90A1-82FEAC68131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F9-4ACA-90A1-82FEAC68131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F9-4ACA-90A1-82FEAC68131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6F9-4ACA-90A1-82FEAC68131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6F9-4ACA-90A1-82FEAC68131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6F9-4ACA-90A1-82FEAC68131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6F9-4ACA-90A1-82FEAC68131F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Graphique'!$N$4:$N$12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Graphique'!$O$4:$O$12</c:f>
              <c:numCache>
                <c:formatCode>General</c:formatCode>
                <c:ptCount val="9"/>
                <c:pt idx="0">
                  <c:v>202599.29</c:v>
                </c:pt>
                <c:pt idx="1">
                  <c:v>72262.11</c:v>
                </c:pt>
                <c:pt idx="2">
                  <c:v>76928.289999999994</c:v>
                </c:pt>
                <c:pt idx="3">
                  <c:v>315621.92</c:v>
                </c:pt>
                <c:pt idx="4">
                  <c:v>40954.519999999997</c:v>
                </c:pt>
                <c:pt idx="5">
                  <c:v>260208.32</c:v>
                </c:pt>
                <c:pt idx="6">
                  <c:v>118376.72999999997</c:v>
                </c:pt>
                <c:pt idx="7">
                  <c:v>2230</c:v>
                </c:pt>
                <c:pt idx="8">
                  <c:v>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6F9-4ACA-90A1-82FEAC68131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39-428D-8C3E-4F1096EE2F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9-428D-8C3E-4F1096EE2F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39-428D-8C3E-4F1096EE2F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9-428D-8C3E-4F1096EE2FD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39-428D-8C3E-4F1096EE2FD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39-428D-8C3E-4F1096EE2FD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39-428D-8C3E-4F1096EE2FD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39-428D-8C3E-4F1096EE2FD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39-428D-8C3E-4F1096EE2FDF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Graphique'!$Q$4:$Q$12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Graphique'!$R$4:$R$12</c:f>
              <c:numCache>
                <c:formatCode>General</c:formatCode>
                <c:ptCount val="9"/>
                <c:pt idx="0">
                  <c:v>237682.78</c:v>
                </c:pt>
                <c:pt idx="1">
                  <c:v>19950.309999999998</c:v>
                </c:pt>
                <c:pt idx="2">
                  <c:v>62305.13</c:v>
                </c:pt>
                <c:pt idx="3">
                  <c:v>171737.74999999997</c:v>
                </c:pt>
                <c:pt idx="4">
                  <c:v>27157.449999999997</c:v>
                </c:pt>
                <c:pt idx="5">
                  <c:v>255318.66</c:v>
                </c:pt>
                <c:pt idx="6">
                  <c:v>78133.239999999991</c:v>
                </c:pt>
                <c:pt idx="7">
                  <c:v>55669</c:v>
                </c:pt>
                <c:pt idx="8">
                  <c:v>4325.6000000000004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239-428D-8C3E-4F1096EE2FD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F4-48B2-A650-505848FED2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F4-48B2-A650-505848FED2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F4-48B2-A650-505848FED2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F4-48B2-A650-505848FED22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F4-48B2-A650-505848FED22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2F4-48B2-A650-505848FED22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2F4-48B2-A650-505848FED22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2F4-48B2-A650-505848FED22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2F4-48B2-A650-505848FED22D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Graphique'!$T$4:$T$12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Graphique'!$U$4:$U$12</c:f>
              <c:numCache>
                <c:formatCode>General</c:formatCode>
                <c:ptCount val="9"/>
                <c:pt idx="0">
                  <c:v>121818.69</c:v>
                </c:pt>
                <c:pt idx="1">
                  <c:v>6612.95</c:v>
                </c:pt>
                <c:pt idx="2">
                  <c:v>50209.37000000001</c:v>
                </c:pt>
                <c:pt idx="3">
                  <c:v>93898.699999999983</c:v>
                </c:pt>
                <c:pt idx="4">
                  <c:v>0</c:v>
                </c:pt>
                <c:pt idx="5">
                  <c:v>182803.35999999996</c:v>
                </c:pt>
                <c:pt idx="6">
                  <c:v>60210.66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2F4-48B2-A650-505848FED22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60-4E56-A519-16C98D6618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60-4E56-A519-16C98D6618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60-4E56-A519-16C98D6618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60-4E56-A519-16C98D66184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60-4E56-A519-16C98D66184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60-4E56-A519-16C98D66184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D60-4E56-A519-16C98D66184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D60-4E56-A519-16C98D66184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D60-4E56-A519-16C98D661842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Graphique'!$W$4:$W$12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Graphique'!$X$4:$X$12</c:f>
              <c:numCache>
                <c:formatCode>General</c:formatCode>
                <c:ptCount val="9"/>
                <c:pt idx="0">
                  <c:v>182378.43</c:v>
                </c:pt>
                <c:pt idx="1">
                  <c:v>28161.79</c:v>
                </c:pt>
                <c:pt idx="2">
                  <c:v>81403.62</c:v>
                </c:pt>
                <c:pt idx="3">
                  <c:v>302298</c:v>
                </c:pt>
                <c:pt idx="4">
                  <c:v>73360.36</c:v>
                </c:pt>
                <c:pt idx="5">
                  <c:v>276909.2</c:v>
                </c:pt>
                <c:pt idx="6">
                  <c:v>96327.25</c:v>
                </c:pt>
                <c:pt idx="7">
                  <c:v>9188.7999999999993</c:v>
                </c:pt>
                <c:pt idx="8">
                  <c:v>6290.4400000000005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D60-4E56-A519-16C98D66184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63-471D-8C17-153BFC3C938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63-471D-8C17-153BFC3C938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63-471D-8C17-153BFC3C938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63-471D-8C17-153BFC3C938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63-471D-8C17-153BFC3C938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463-471D-8C17-153BFC3C938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463-471D-8C17-153BFC3C938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463-471D-8C17-153BFC3C938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463-471D-8C17-153BFC3C938A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Graphique'!$Z$4:$Z$12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Graphique'!$AA$4:$AA$12</c:f>
              <c:numCache>
                <c:formatCode>General</c:formatCode>
                <c:ptCount val="9"/>
                <c:pt idx="0">
                  <c:v>183778.92000000004</c:v>
                </c:pt>
                <c:pt idx="1">
                  <c:v>5159</c:v>
                </c:pt>
                <c:pt idx="2">
                  <c:v>10005.189999999999</c:v>
                </c:pt>
                <c:pt idx="3">
                  <c:v>356186.63000000006</c:v>
                </c:pt>
                <c:pt idx="4">
                  <c:v>16332.01</c:v>
                </c:pt>
                <c:pt idx="5">
                  <c:v>243311.67000000007</c:v>
                </c:pt>
                <c:pt idx="6">
                  <c:v>127127.29999999999</c:v>
                </c:pt>
                <c:pt idx="7">
                  <c:v>10951</c:v>
                </c:pt>
                <c:pt idx="8">
                  <c:v>10092.6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463-471D-8C17-153BFC3C938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19-49CD-9A87-DA88ECC350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19-49CD-9A87-DA88ECC350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19-49CD-9A87-DA88ECC350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19-49CD-9A87-DA88ECC350A8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Graphique'!$AL$4:$AL$7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Graphique'!$AM$4:$AM$7</c:f>
              <c:numCache>
                <c:formatCode>General</c:formatCode>
                <c:ptCount val="4"/>
                <c:pt idx="0">
                  <c:v>226427.54</c:v>
                </c:pt>
                <c:pt idx="1">
                  <c:v>58845.840000000004</c:v>
                </c:pt>
                <c:pt idx="2">
                  <c:v>11751.980000000001</c:v>
                </c:pt>
                <c:pt idx="3">
                  <c:v>166531.92000000007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819-49CD-9A87-DA88ECC350A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E0-4FF0-92E9-B59369D94E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E0-4FF0-92E9-B59369D94E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E0-4FF0-92E9-B59369D94E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E0-4FF0-92E9-B59369D94E45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Graphique'!$AO$4:$AO$7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Graphique'!$AP$4:$AP$7</c:f>
              <c:numCache>
                <c:formatCode>General</c:formatCode>
                <c:ptCount val="4"/>
                <c:pt idx="0">
                  <c:v>384815.4</c:v>
                </c:pt>
                <c:pt idx="1">
                  <c:v>165026.81999999998</c:v>
                </c:pt>
                <c:pt idx="2">
                  <c:v>74198.490000000005</c:v>
                </c:pt>
                <c:pt idx="3">
                  <c:v>273537.26999999996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7E0-4FF0-92E9-B59369D94E4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EC-40D7-AD53-B2BE93F694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EC-40D7-AD53-B2BE93F694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EC-40D7-AD53-B2BE93F694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EC-40D7-AD53-B2BE93F694A5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Graphique'!$AR$4:$AR$7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Graphique'!$AS$4:$AS$7</c:f>
              <c:numCache>
                <c:formatCode>General</c:formatCode>
                <c:ptCount val="4"/>
                <c:pt idx="0">
                  <c:v>602313.05000000005</c:v>
                </c:pt>
                <c:pt idx="1">
                  <c:v>190724.23</c:v>
                </c:pt>
                <c:pt idx="2">
                  <c:v>58343.740000000005</c:v>
                </c:pt>
                <c:pt idx="3">
                  <c:v>212374.29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EC-40D7-AD53-B2BE93F694A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2B-4650-A4EB-FC894F6A72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2B-4650-A4EB-FC894F6A72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2B-4650-A4EB-FC894F6A72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2B-4650-A4EB-FC894F6A7283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Graphique'!$AU$4:$AU$7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Graphique'!$AV$4:$AV$7</c:f>
              <c:numCache>
                <c:formatCode>General</c:formatCode>
                <c:ptCount val="4"/>
                <c:pt idx="0">
                  <c:v>287236.76999999996</c:v>
                </c:pt>
                <c:pt idx="1">
                  <c:v>163869.22999999995</c:v>
                </c:pt>
                <c:pt idx="2">
                  <c:v>6437.3599999999988</c:v>
                </c:pt>
                <c:pt idx="3">
                  <c:v>262107.08000000002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A2B-4650-A4EB-FC894F6A72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45-4AB9-A8F2-7FBF583079E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45-4AB9-A8F2-7FBF583079E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45-4AB9-A8F2-7FBF583079E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45-4AB9-A8F2-7FBF583079E5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Graphique'!$AX$4:$AX$7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Graphique'!$AY$4:$AY$7</c:f>
              <c:numCache>
                <c:formatCode>General</c:formatCode>
                <c:ptCount val="4"/>
                <c:pt idx="0">
                  <c:v>604291.4</c:v>
                </c:pt>
                <c:pt idx="1">
                  <c:v>223585.93000000002</c:v>
                </c:pt>
                <c:pt idx="2">
                  <c:v>69308.88</c:v>
                </c:pt>
                <c:pt idx="3">
                  <c:v>193566.97000000003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645-4AB9-A8F2-7FBF583079E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97-47AF-98ED-2EFE4B8915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97-47AF-98ED-2EFE4B8915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97-47AF-98ED-2EFE4B8915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97-47AF-98ED-2EFE4B89152D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Graphique'!$BA$4:$BA$7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Graphique'!$BB$4:$BB$7</c:f>
              <c:numCache>
                <c:formatCode>General</c:formatCode>
                <c:ptCount val="4"/>
                <c:pt idx="0">
                  <c:v>395134.80999999994</c:v>
                </c:pt>
                <c:pt idx="1">
                  <c:v>284221.3</c:v>
                </c:pt>
                <c:pt idx="2">
                  <c:v>101323.35</c:v>
                </c:pt>
                <c:pt idx="3">
                  <c:v>131600.46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D97-47AF-98ED-2EFE4B89152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85-41F5-88E5-A740E6AA37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85-41F5-88E5-A740E6AA37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85-41F5-88E5-A740E6AA37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085-41F5-88E5-A740E6AA372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085-41F5-88E5-A740E6AA37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085-41F5-88E5-A740E6AA372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085-41F5-88E5-A740E6AA372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085-41F5-88E5-A740E6AA372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085-41F5-88E5-A740E6AA3726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Graphique'!$AC$4:$AC$12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Graphique'!$AD$4:$AD$12</c:f>
              <c:numCache>
                <c:formatCode>General</c:formatCode>
                <c:ptCount val="9"/>
                <c:pt idx="0">
                  <c:v>124245.41999999998</c:v>
                </c:pt>
                <c:pt idx="1">
                  <c:v>20314</c:v>
                </c:pt>
                <c:pt idx="2">
                  <c:v>92414.76</c:v>
                </c:pt>
                <c:pt idx="3">
                  <c:v>206422.1</c:v>
                </c:pt>
                <c:pt idx="4">
                  <c:v>0</c:v>
                </c:pt>
                <c:pt idx="5">
                  <c:v>214403.31000000003</c:v>
                </c:pt>
                <c:pt idx="6">
                  <c:v>48809.630000000005</c:v>
                </c:pt>
                <c:pt idx="7">
                  <c:v>0</c:v>
                </c:pt>
                <c:pt idx="8">
                  <c:v>2504.8000000000002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085-41F5-88E5-A740E6AA37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29-4310-B45F-E36C07F3AD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C29-4310-B45F-E36C07F3AD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C29-4310-B45F-E36C07F3AD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C29-4310-B45F-E36C07F3AD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C29-4310-B45F-E36C07F3ADE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C29-4310-B45F-E36C07F3ADE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C29-4310-B45F-E36C07F3ADE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C29-4310-B45F-E36C07F3ADE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C29-4310-B45F-E36C07F3ADE7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Graphique'!$AF$4:$AF$12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Graphique'!$AG$4:$AG$12</c:f>
              <c:numCache>
                <c:formatCode>General</c:formatCode>
                <c:ptCount val="9"/>
                <c:pt idx="0">
                  <c:v>200922.66999999998</c:v>
                </c:pt>
                <c:pt idx="1">
                  <c:v>6767.13</c:v>
                </c:pt>
                <c:pt idx="2">
                  <c:v>103333.64000000001</c:v>
                </c:pt>
                <c:pt idx="3">
                  <c:v>365179.24999999983</c:v>
                </c:pt>
                <c:pt idx="4">
                  <c:v>51995.519999999997</c:v>
                </c:pt>
                <c:pt idx="5">
                  <c:v>298728.17</c:v>
                </c:pt>
                <c:pt idx="6">
                  <c:v>38804.699999999997</c:v>
                </c:pt>
                <c:pt idx="7">
                  <c:v>16141</c:v>
                </c:pt>
                <c:pt idx="8">
                  <c:v>24045.199999999997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C29-4310-B45F-E36C07F3ADE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34-4A06-B67E-BE3B46E48C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34-4A06-B67E-BE3B46E48C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34-4A06-B67E-BE3B46E48C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134-4A06-B67E-BE3B46E48C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134-4A06-B67E-BE3B46E48C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134-4A06-B67E-BE3B46E48C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134-4A06-B67E-BE3B46E48CE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134-4A06-B67E-BE3B46E48CE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134-4A06-B67E-BE3B46E48CE8}"/>
              </c:ext>
            </c:extLst>
          </c:dPt>
          <c:dLbls>
            <c:numFmt formatCode="0%;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Graphique'!$AI$4:$AI$12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Graphique'!$AJ$4:$AJ$12</c:f>
              <c:numCache>
                <c:formatCode>General</c:formatCode>
                <c:ptCount val="9"/>
                <c:pt idx="0">
                  <c:v>36094.660000000003</c:v>
                </c:pt>
                <c:pt idx="1">
                  <c:v>2764.44</c:v>
                </c:pt>
                <c:pt idx="2">
                  <c:v>0</c:v>
                </c:pt>
                <c:pt idx="3">
                  <c:v>243412.99</c:v>
                </c:pt>
                <c:pt idx="4">
                  <c:v>0</c:v>
                </c:pt>
                <c:pt idx="5">
                  <c:v>59927.420000000006</c:v>
                </c:pt>
                <c:pt idx="6">
                  <c:v>1196.5</c:v>
                </c:pt>
                <c:pt idx="7">
                  <c:v>440.5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134-4A06-B67E-BE3B46E48CE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02-4B30-90DE-B1E83F1955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02-4B30-90DE-B1E83F1955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02-4B30-90DE-B1E83F1955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02-4B30-90DE-B1E83F19550C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Graphique'!$BD$4:$BD$7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Graphique'!$BE$4:$BE$7</c:f>
              <c:numCache>
                <c:formatCode>General</c:formatCode>
                <c:ptCount val="4"/>
                <c:pt idx="0">
                  <c:v>284125.82999999996</c:v>
                </c:pt>
                <c:pt idx="1">
                  <c:v>103872.46</c:v>
                </c:pt>
                <c:pt idx="2">
                  <c:v>7108.5</c:v>
                </c:pt>
                <c:pt idx="3">
                  <c:v>120446.94000000002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402-4B30-90DE-B1E83F19550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7A-425B-8106-58514DA25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7A-425B-8106-58514DA25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7A-425B-8106-58514DA255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7A-425B-8106-58514DA255B8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Graphique'!$BG$4:$BG$7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Graphique'!$BH$4:$BH$7</c:f>
              <c:numCache>
                <c:formatCode>General</c:formatCode>
                <c:ptCount val="4"/>
                <c:pt idx="0">
                  <c:v>551117.15000000014</c:v>
                </c:pt>
                <c:pt idx="1">
                  <c:v>247733.12000000002</c:v>
                </c:pt>
                <c:pt idx="2">
                  <c:v>71111.199999999997</c:v>
                </c:pt>
                <c:pt idx="3">
                  <c:v>186356.42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D7A-425B-8106-58514DA255B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74-4D82-AD19-5774C23351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74-4D82-AD19-5774C233513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74-4D82-AD19-5774C233513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374-4D82-AD19-5774C233513A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Graphique'!$BJ$4:$BJ$7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Graphique'!$BK$4:$BK$7</c:f>
              <c:numCache>
                <c:formatCode>General</c:formatCode>
                <c:ptCount val="4"/>
                <c:pt idx="0">
                  <c:v>553149.85000000021</c:v>
                </c:pt>
                <c:pt idx="1">
                  <c:v>198736.55</c:v>
                </c:pt>
                <c:pt idx="2">
                  <c:v>22501.620000000003</c:v>
                </c:pt>
                <c:pt idx="3">
                  <c:v>188556.30000000005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374-4D82-AD19-5774C233513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67-4FA4-8241-401D09059E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67-4FA4-8241-401D09059E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A67-4FA4-8241-401D09059E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A67-4FA4-8241-401D09059E2B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Graphique'!$BM$4:$BM$7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Graphique'!$BN$4:$BN$7</c:f>
              <c:numCache>
                <c:formatCode>General</c:formatCode>
                <c:ptCount val="4"/>
                <c:pt idx="0">
                  <c:v>314130.29000000004</c:v>
                </c:pt>
                <c:pt idx="1">
                  <c:v>167998.15999999997</c:v>
                </c:pt>
                <c:pt idx="2">
                  <c:v>14782.649999999998</c:v>
                </c:pt>
                <c:pt idx="3">
                  <c:v>212202.91999999998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A67-4FA4-8241-401D09059E2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D1-4179-BC8D-8AC9EF4CAA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D1-4179-BC8D-8AC9EF4CAA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9D1-4179-BC8D-8AC9EF4CAA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9D1-4179-BC8D-8AC9EF4CAAFC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Graphique'!$BP$4:$BP$7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Graphique'!$BQ$4:$BQ$7</c:f>
              <c:numCache>
                <c:formatCode>General</c:formatCode>
                <c:ptCount val="4"/>
                <c:pt idx="0">
                  <c:v>591219.76999999979</c:v>
                </c:pt>
                <c:pt idx="1">
                  <c:v>228499.59</c:v>
                </c:pt>
                <c:pt idx="2">
                  <c:v>65999.5</c:v>
                </c:pt>
                <c:pt idx="3">
                  <c:v>220198.42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9D1-4179-BC8D-8AC9EF4CAAF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749-43F0-A91C-42ACD59ABD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749-43F0-A91C-42ACD59ABD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749-43F0-A91C-42ACD59ABD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749-43F0-A91C-42ACD59ABD4C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'Détail Calcul Graphique'!$BS$4:$BS$7</c:f>
              <c:strCache>
                <c:ptCount val="4"/>
                <c:pt idx="0">
                  <c:v>IDF</c:v>
                </c:pt>
                <c:pt idx="1">
                  <c:v>R-A - PACA</c:v>
                </c:pt>
                <c:pt idx="2">
                  <c:v>OUEST</c:v>
                </c:pt>
                <c:pt idx="3">
                  <c:v>RESTE</c:v>
                </c:pt>
              </c:strCache>
            </c:strRef>
          </c:cat>
          <c:val>
            <c:numRef>
              <c:f>'Détail Calcul Graphique'!$BT$4:$BT$7</c:f>
              <c:numCache>
                <c:formatCode>General</c:formatCode>
                <c:ptCount val="4"/>
                <c:pt idx="0">
                  <c:v>127017.9</c:v>
                </c:pt>
                <c:pt idx="1">
                  <c:v>27935.860000000004</c:v>
                </c:pt>
                <c:pt idx="2">
                  <c:v>4615.3999999999996</c:v>
                </c:pt>
                <c:pt idx="3">
                  <c:v>184267.35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749-43F0-A91C-42ACD59ABD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Graphique'!$CM$4:$CM$12</c:f>
              <c:numCache>
                <c:formatCode>General</c:formatCode>
                <c:ptCount val="9"/>
                <c:pt idx="0">
                  <c:v>628585.05000000005</c:v>
                </c:pt>
                <c:pt idx="1">
                  <c:v>77377.45</c:v>
                </c:pt>
                <c:pt idx="2">
                  <c:v>309084.27</c:v>
                </c:pt>
                <c:pt idx="3">
                  <c:v>559980.75</c:v>
                </c:pt>
                <c:pt idx="4">
                  <c:v>0</c:v>
                </c:pt>
                <c:pt idx="5">
                  <c:v>612167.32999999996</c:v>
                </c:pt>
                <c:pt idx="6">
                  <c:v>215738.67</c:v>
                </c:pt>
                <c:pt idx="7">
                  <c:v>0</c:v>
                </c:pt>
                <c:pt idx="8">
                  <c:v>2504.8000000000002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B-4FB7-99A5-7E914E935B29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Graphique'!$CP$4:$CP$12</c:f>
              <c:numCache>
                <c:formatCode>General</c:formatCode>
                <c:ptCount val="9"/>
                <c:pt idx="0">
                  <c:v>766832.09999999986</c:v>
                </c:pt>
                <c:pt idx="1">
                  <c:v>134183.59</c:v>
                </c:pt>
                <c:pt idx="2">
                  <c:v>356669.9</c:v>
                </c:pt>
                <c:pt idx="3">
                  <c:v>1214291.4699999997</c:v>
                </c:pt>
                <c:pt idx="4">
                  <c:v>189470.55999999997</c:v>
                </c:pt>
                <c:pt idx="5">
                  <c:v>1145159.46</c:v>
                </c:pt>
                <c:pt idx="6">
                  <c:v>277616.20999999996</c:v>
                </c:pt>
                <c:pt idx="7">
                  <c:v>31452.799999999999</c:v>
                </c:pt>
                <c:pt idx="8">
                  <c:v>34890.239999999998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B-4FB7-99A5-7E914E935B29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Graphique'!$CS$4:$CS$12</c:f>
              <c:numCache>
                <c:formatCode>General</c:formatCode>
                <c:ptCount val="9"/>
                <c:pt idx="0">
                  <c:v>690725.9800000001</c:v>
                </c:pt>
                <c:pt idx="1">
                  <c:v>122881.81999999999</c:v>
                </c:pt>
                <c:pt idx="2">
                  <c:v>150570.57</c:v>
                </c:pt>
                <c:pt idx="3">
                  <c:v>981818.15000000014</c:v>
                </c:pt>
                <c:pt idx="4">
                  <c:v>67709.37</c:v>
                </c:pt>
                <c:pt idx="5">
                  <c:v>840390.83000000007</c:v>
                </c:pt>
                <c:pt idx="6">
                  <c:v>299645.28999999998</c:v>
                </c:pt>
                <c:pt idx="7">
                  <c:v>96930.540000000008</c:v>
                </c:pt>
                <c:pt idx="8">
                  <c:v>32143.510000000002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B-4FB7-99A5-7E914E935B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3682816"/>
        <c:axId val="1487276032"/>
      </c:barChart>
      <c:catAx>
        <c:axId val="158368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7276032"/>
        <c:crosses val="autoZero"/>
        <c:auto val="1"/>
        <c:lblAlgn val="ctr"/>
        <c:lblOffset val="100"/>
        <c:noMultiLvlLbl val="0"/>
      </c:catAx>
      <c:valAx>
        <c:axId val="14872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8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Graphique'!$C$4:$C$12</c:f>
              <c:numCache>
                <c:formatCode>General</c:formatCode>
                <c:ptCount val="9"/>
                <c:pt idx="0">
                  <c:v>164843.15000000002</c:v>
                </c:pt>
                <c:pt idx="1">
                  <c:v>15061.25</c:v>
                </c:pt>
                <c:pt idx="2">
                  <c:v>84450.180000000008</c:v>
                </c:pt>
                <c:pt idx="3">
                  <c:v>143803.20000000001</c:v>
                </c:pt>
                <c:pt idx="4">
                  <c:v>0</c:v>
                </c:pt>
                <c:pt idx="5">
                  <c:v>0</c:v>
                </c:pt>
                <c:pt idx="6">
                  <c:v>52962.350000000006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2-40DD-BFF6-B7353C19774B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Graphique'!$F$4:$F$12</c:f>
              <c:numCache>
                <c:formatCode>General</c:formatCode>
                <c:ptCount val="9"/>
                <c:pt idx="0">
                  <c:v>180931.71000000002</c:v>
                </c:pt>
                <c:pt idx="1">
                  <c:v>26992.559999999998</c:v>
                </c:pt>
                <c:pt idx="2">
                  <c:v>95004.35</c:v>
                </c:pt>
                <c:pt idx="3">
                  <c:v>231192.30000000002</c:v>
                </c:pt>
                <c:pt idx="4">
                  <c:v>23160.16</c:v>
                </c:pt>
                <c:pt idx="5">
                  <c:v>309313.76999999996</c:v>
                </c:pt>
                <c:pt idx="6">
                  <c:v>24107.53</c:v>
                </c:pt>
                <c:pt idx="7">
                  <c:v>3893</c:v>
                </c:pt>
                <c:pt idx="8">
                  <c:v>2982.6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72-40DD-BFF6-B7353C19774B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Graphique'!$I$4:$I$12</c:f>
              <c:numCache>
                <c:formatCode>General</c:formatCode>
                <c:ptCount val="9"/>
                <c:pt idx="0">
                  <c:v>233169.62000000002</c:v>
                </c:pt>
                <c:pt idx="1">
                  <c:v>95008.069999999992</c:v>
                </c:pt>
                <c:pt idx="2">
                  <c:v>78260.250000000015</c:v>
                </c:pt>
                <c:pt idx="3">
                  <c:v>210480.78000000003</c:v>
                </c:pt>
                <c:pt idx="4">
                  <c:v>24219.910000000003</c:v>
                </c:pt>
                <c:pt idx="5">
                  <c:v>281833.07999999996</c:v>
                </c:pt>
                <c:pt idx="6">
                  <c:v>93188.249999999985</c:v>
                </c:pt>
                <c:pt idx="7">
                  <c:v>29870.04</c:v>
                </c:pt>
                <c:pt idx="8">
                  <c:v>17725.310000000001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72-40DD-BFF6-B7353C1977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3682816"/>
        <c:axId val="1487276032"/>
      </c:barChart>
      <c:catAx>
        <c:axId val="158368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7276032"/>
        <c:crosses val="autoZero"/>
        <c:auto val="1"/>
        <c:lblAlgn val="ctr"/>
        <c:lblOffset val="100"/>
        <c:noMultiLvlLbl val="0"/>
      </c:catAx>
      <c:valAx>
        <c:axId val="14872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8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Graphique'!$L$4:$L$12</c:f>
              <c:numCache>
                <c:formatCode>General</c:formatCode>
                <c:ptCount val="9"/>
                <c:pt idx="0">
                  <c:v>217677.78999999998</c:v>
                </c:pt>
                <c:pt idx="1">
                  <c:v>35389.25</c:v>
                </c:pt>
                <c:pt idx="2">
                  <c:v>82009.959999999992</c:v>
                </c:pt>
                <c:pt idx="3">
                  <c:v>115856.74999999997</c:v>
                </c:pt>
                <c:pt idx="4">
                  <c:v>0</c:v>
                </c:pt>
                <c:pt idx="5">
                  <c:v>214960.65999999997</c:v>
                </c:pt>
                <c:pt idx="6">
                  <c:v>53756.03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C-4105-9909-80E8A286B867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Graphique'!$O$4:$O$12</c:f>
              <c:numCache>
                <c:formatCode>General</c:formatCode>
                <c:ptCount val="9"/>
                <c:pt idx="0">
                  <c:v>202599.29</c:v>
                </c:pt>
                <c:pt idx="1">
                  <c:v>72262.11</c:v>
                </c:pt>
                <c:pt idx="2">
                  <c:v>76928.289999999994</c:v>
                </c:pt>
                <c:pt idx="3">
                  <c:v>315621.92</c:v>
                </c:pt>
                <c:pt idx="4">
                  <c:v>40954.519999999997</c:v>
                </c:pt>
                <c:pt idx="5">
                  <c:v>260208.32</c:v>
                </c:pt>
                <c:pt idx="6">
                  <c:v>118376.72999999997</c:v>
                </c:pt>
                <c:pt idx="7">
                  <c:v>2230</c:v>
                </c:pt>
                <c:pt idx="8">
                  <c:v>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FC-4105-9909-80E8A286B867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Graphique'!$R$4:$R$12</c:f>
              <c:numCache>
                <c:formatCode>General</c:formatCode>
                <c:ptCount val="9"/>
                <c:pt idx="0">
                  <c:v>237682.78</c:v>
                </c:pt>
                <c:pt idx="1">
                  <c:v>19950.309999999998</c:v>
                </c:pt>
                <c:pt idx="2">
                  <c:v>62305.13</c:v>
                </c:pt>
                <c:pt idx="3">
                  <c:v>171737.74999999997</c:v>
                </c:pt>
                <c:pt idx="4">
                  <c:v>27157.449999999997</c:v>
                </c:pt>
                <c:pt idx="5">
                  <c:v>255318.66</c:v>
                </c:pt>
                <c:pt idx="6">
                  <c:v>78133.239999999991</c:v>
                </c:pt>
                <c:pt idx="7">
                  <c:v>55669</c:v>
                </c:pt>
                <c:pt idx="8">
                  <c:v>4325.6000000000004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FC-4105-9909-80E8A286B8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3682816"/>
        <c:axId val="1487276032"/>
      </c:barChart>
      <c:catAx>
        <c:axId val="158368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7276032"/>
        <c:crosses val="autoZero"/>
        <c:auto val="1"/>
        <c:lblAlgn val="ctr"/>
        <c:lblOffset val="100"/>
        <c:noMultiLvlLbl val="0"/>
      </c:catAx>
      <c:valAx>
        <c:axId val="14872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8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Graphique'!$U$4:$U$12</c:f>
              <c:numCache>
                <c:formatCode>General</c:formatCode>
                <c:ptCount val="9"/>
                <c:pt idx="0">
                  <c:v>121818.69</c:v>
                </c:pt>
                <c:pt idx="1">
                  <c:v>6612.95</c:v>
                </c:pt>
                <c:pt idx="2">
                  <c:v>50209.37000000001</c:v>
                </c:pt>
                <c:pt idx="3">
                  <c:v>93898.699999999983</c:v>
                </c:pt>
                <c:pt idx="4">
                  <c:v>0</c:v>
                </c:pt>
                <c:pt idx="5">
                  <c:v>182803.35999999996</c:v>
                </c:pt>
                <c:pt idx="6">
                  <c:v>60210.66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4-4E6A-A1E5-8D554F5F7A25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Graphique'!$X$4:$X$12</c:f>
              <c:numCache>
                <c:formatCode>General</c:formatCode>
                <c:ptCount val="9"/>
                <c:pt idx="0">
                  <c:v>182378.43</c:v>
                </c:pt>
                <c:pt idx="1">
                  <c:v>28161.79</c:v>
                </c:pt>
                <c:pt idx="2">
                  <c:v>81403.62</c:v>
                </c:pt>
                <c:pt idx="3">
                  <c:v>302298</c:v>
                </c:pt>
                <c:pt idx="4">
                  <c:v>73360.36</c:v>
                </c:pt>
                <c:pt idx="5">
                  <c:v>276909.2</c:v>
                </c:pt>
                <c:pt idx="6">
                  <c:v>96327.25</c:v>
                </c:pt>
                <c:pt idx="7">
                  <c:v>9188.7999999999993</c:v>
                </c:pt>
                <c:pt idx="8">
                  <c:v>6290.4400000000005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E4-4E6A-A1E5-8D554F5F7A25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Graphique'!$AA$4:$AA$12</c:f>
              <c:numCache>
                <c:formatCode>General</c:formatCode>
                <c:ptCount val="9"/>
                <c:pt idx="0">
                  <c:v>183778.92000000004</c:v>
                </c:pt>
                <c:pt idx="1">
                  <c:v>5159</c:v>
                </c:pt>
                <c:pt idx="2">
                  <c:v>10005.189999999999</c:v>
                </c:pt>
                <c:pt idx="3">
                  <c:v>356186.63000000006</c:v>
                </c:pt>
                <c:pt idx="4">
                  <c:v>16332.01</c:v>
                </c:pt>
                <c:pt idx="5">
                  <c:v>243311.67000000007</c:v>
                </c:pt>
                <c:pt idx="6">
                  <c:v>127127.29999999999</c:v>
                </c:pt>
                <c:pt idx="7">
                  <c:v>10951</c:v>
                </c:pt>
                <c:pt idx="8">
                  <c:v>10092.6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E4-4E6A-A1E5-8D554F5F7A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3682816"/>
        <c:axId val="1487276032"/>
      </c:barChart>
      <c:catAx>
        <c:axId val="158368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7276032"/>
        <c:crosses val="autoZero"/>
        <c:auto val="1"/>
        <c:lblAlgn val="ctr"/>
        <c:lblOffset val="100"/>
        <c:noMultiLvlLbl val="0"/>
      </c:catAx>
      <c:valAx>
        <c:axId val="14872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8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Graphique'!$AD$4:$AD$12</c:f>
              <c:numCache>
                <c:formatCode>General</c:formatCode>
                <c:ptCount val="9"/>
                <c:pt idx="0">
                  <c:v>124245.41999999998</c:v>
                </c:pt>
                <c:pt idx="1">
                  <c:v>20314</c:v>
                </c:pt>
                <c:pt idx="2">
                  <c:v>92414.76</c:v>
                </c:pt>
                <c:pt idx="3">
                  <c:v>206422.1</c:v>
                </c:pt>
                <c:pt idx="4">
                  <c:v>0</c:v>
                </c:pt>
                <c:pt idx="5">
                  <c:v>214403.31000000003</c:v>
                </c:pt>
                <c:pt idx="6">
                  <c:v>48809.630000000005</c:v>
                </c:pt>
                <c:pt idx="7">
                  <c:v>0</c:v>
                </c:pt>
                <c:pt idx="8">
                  <c:v>2504.8000000000002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5-4E6E-8CD7-1520592FD6B2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Graphique'!$AG$4:$AG$12</c:f>
              <c:numCache>
                <c:formatCode>General</c:formatCode>
                <c:ptCount val="9"/>
                <c:pt idx="0">
                  <c:v>200922.66999999998</c:v>
                </c:pt>
                <c:pt idx="1">
                  <c:v>6767.13</c:v>
                </c:pt>
                <c:pt idx="2">
                  <c:v>103333.64000000001</c:v>
                </c:pt>
                <c:pt idx="3">
                  <c:v>365179.24999999983</c:v>
                </c:pt>
                <c:pt idx="4">
                  <c:v>51995.519999999997</c:v>
                </c:pt>
                <c:pt idx="5">
                  <c:v>298728.17</c:v>
                </c:pt>
                <c:pt idx="6">
                  <c:v>38804.699999999997</c:v>
                </c:pt>
                <c:pt idx="7">
                  <c:v>16141</c:v>
                </c:pt>
                <c:pt idx="8">
                  <c:v>24045.199999999997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5-4E6E-8CD7-1520592FD6B2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;[Red]\-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Graphique'!$CL$4:$CL$12</c:f>
              <c:strCache>
                <c:ptCount val="9"/>
                <c:pt idx="0">
                  <c:v>NOVAMOBILI</c:v>
                </c:pt>
                <c:pt idx="1">
                  <c:v>MYCORE</c:v>
                </c:pt>
                <c:pt idx="2">
                  <c:v>GLAMORA</c:v>
                </c:pt>
                <c:pt idx="3">
                  <c:v>BLA STATION</c:v>
                </c:pt>
                <c:pt idx="4">
                  <c:v>ZERO LIGHTING</c:v>
                </c:pt>
                <c:pt idx="5">
                  <c:v>BONALDO</c:v>
                </c:pt>
                <c:pt idx="6">
                  <c:v>BATTISTELLA</c:v>
                </c:pt>
                <c:pt idx="7">
                  <c:v>MOHEBBAN</c:v>
                </c:pt>
                <c:pt idx="8">
                  <c:v>NORDGRONA</c:v>
                </c:pt>
              </c:strCache>
            </c:strRef>
          </c:cat>
          <c:val>
            <c:numRef>
              <c:f>'Détail Calcul Graphique'!$AJ$4:$AJ$12</c:f>
              <c:numCache>
                <c:formatCode>General</c:formatCode>
                <c:ptCount val="9"/>
                <c:pt idx="0">
                  <c:v>36094.660000000003</c:v>
                </c:pt>
                <c:pt idx="1">
                  <c:v>2764.44</c:v>
                </c:pt>
                <c:pt idx="2">
                  <c:v>0</c:v>
                </c:pt>
                <c:pt idx="3">
                  <c:v>243412.99</c:v>
                </c:pt>
                <c:pt idx="4">
                  <c:v>0</c:v>
                </c:pt>
                <c:pt idx="5">
                  <c:v>59927.420000000006</c:v>
                </c:pt>
                <c:pt idx="6">
                  <c:v>1196.5</c:v>
                </c:pt>
                <c:pt idx="7">
                  <c:v>440.5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A5-4E6E-8CD7-1520592FD6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3682816"/>
        <c:axId val="1487276032"/>
      </c:barChart>
      <c:catAx>
        <c:axId val="158368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7276032"/>
        <c:crosses val="autoZero"/>
        <c:auto val="1"/>
        <c:lblAlgn val="ctr"/>
        <c:lblOffset val="100"/>
        <c:noMultiLvlLbl val="0"/>
      </c:catAx>
      <c:valAx>
        <c:axId val="14872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8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\ &quot;€&quot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'Détail Calcul Graphique'!$CU$4:$CU$6</c:f>
              <c:numCache>
                <c:formatCode>General</c:formatCod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numCache>
            </c:numRef>
          </c:cat>
          <c:val>
            <c:numRef>
              <c:f>'Détail Calcul Graphique'!$CV$4:$CV$6</c:f>
              <c:numCache>
                <c:formatCode>#,##0.00</c:formatCode>
                <c:ptCount val="3"/>
                <c:pt idx="0">
                  <c:v>2407875.4699999993</c:v>
                </c:pt>
                <c:pt idx="1">
                  <c:v>4150566.33</c:v>
                </c:pt>
                <c:pt idx="2">
                  <c:v>3282816.0600000015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72-4D7D-80B1-3024DA01320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583682816"/>
        <c:axId val="1487276032"/>
      </c:lineChart>
      <c:catAx>
        <c:axId val="158368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7276032"/>
        <c:crosses val="autoZero"/>
        <c:auto val="1"/>
        <c:lblAlgn val="ctr"/>
        <c:lblOffset val="100"/>
        <c:noMultiLvlLbl val="0"/>
      </c:catAx>
      <c:valAx>
        <c:axId val="148727603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828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Graphique'!$CX$4:$CX$5</c:f>
              <c:strCache>
                <c:ptCount val="2"/>
                <c:pt idx="0">
                  <c:v>CA</c:v>
                </c:pt>
                <c:pt idx="1">
                  <c:v>Marge</c:v>
                </c:pt>
              </c:strCache>
            </c:strRef>
          </c:cat>
          <c:val>
            <c:numRef>
              <c:f>'Détail Calcul Graphique'!$CY$4:$CY$5</c:f>
              <c:numCache>
                <c:formatCode>General</c:formatCode>
                <c:ptCount val="2"/>
                <c:pt idx="0">
                  <c:v>66149.290000000008</c:v>
                </c:pt>
                <c:pt idx="1">
                  <c:v>25591.54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BE-4647-ABAE-76FEE231DB7A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Graphique'!$CZ$4:$CZ$5</c:f>
              <c:numCache>
                <c:formatCode>General</c:formatCode>
                <c:ptCount val="2"/>
                <c:pt idx="0">
                  <c:v>51960.450000000004</c:v>
                </c:pt>
                <c:pt idx="1">
                  <c:v>16166.25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BE-4647-ABAE-76FEE231DB7A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Graphique'!$DA$4:$DA$5</c:f>
              <c:numCache>
                <c:formatCode>General</c:formatCode>
                <c:ptCount val="2"/>
                <c:pt idx="0">
                  <c:v>57208.920000000006</c:v>
                </c:pt>
                <c:pt idx="1">
                  <c:v>19532.400000000001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BE-4647-ABAE-76FEE231DB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Graphique'!$CX$4:$CX$5</c:f>
              <c:strCache>
                <c:ptCount val="2"/>
                <c:pt idx="0">
                  <c:v>CA</c:v>
                </c:pt>
                <c:pt idx="1">
                  <c:v>Marge</c:v>
                </c:pt>
              </c:strCache>
            </c:strRef>
          </c:cat>
          <c:val>
            <c:numRef>
              <c:f>'Détail Calcul Graphique'!$DD$4:$DD$5</c:f>
              <c:numCache>
                <c:formatCode>General</c:formatCode>
                <c:ptCount val="2"/>
                <c:pt idx="0">
                  <c:v>111704.37000000001</c:v>
                </c:pt>
                <c:pt idx="1">
                  <c:v>35496.730000000003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D-4616-B578-0118EEFDF3A9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Graphique'!$DE$4:$DE$5</c:f>
              <c:numCache>
                <c:formatCode>General</c:formatCode>
                <c:ptCount val="2"/>
                <c:pt idx="0">
                  <c:v>66761.030000000013</c:v>
                </c:pt>
                <c:pt idx="1">
                  <c:v>24995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2D-4616-B578-0118EEFDF3A9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Graphique'!$DF$4:$DF$5</c:f>
              <c:numCache>
                <c:formatCode>General</c:formatCode>
                <c:ptCount val="2"/>
                <c:pt idx="0">
                  <c:v>57541.799999999996</c:v>
                </c:pt>
                <c:pt idx="1">
                  <c:v>22470.52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D-4616-B578-0118EEFDF3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Graphique'!$CX$4:$CX$5</c:f>
              <c:strCache>
                <c:ptCount val="2"/>
                <c:pt idx="0">
                  <c:v>CA</c:v>
                </c:pt>
                <c:pt idx="1">
                  <c:v>Marge</c:v>
                </c:pt>
              </c:strCache>
            </c:strRef>
          </c:cat>
          <c:val>
            <c:numRef>
              <c:f>'Détail Calcul Graphique'!$DI$4:$DI$5</c:f>
              <c:numCache>
                <c:formatCode>General</c:formatCode>
                <c:ptCount val="2"/>
                <c:pt idx="0">
                  <c:v>38804.1</c:v>
                </c:pt>
                <c:pt idx="1">
                  <c:v>16646.55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F-48DC-A4DD-2A6766967715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Graphique'!$DJ$4:$DJ$5</c:f>
              <c:numCache>
                <c:formatCode>General</c:formatCode>
                <c:ptCount val="2"/>
                <c:pt idx="0">
                  <c:v>231688.97</c:v>
                </c:pt>
                <c:pt idx="1">
                  <c:v>78497.429999999993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9F-48DC-A4DD-2A6766967715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Graphique'!$DK$4:$DK$5</c:f>
              <c:numCache>
                <c:formatCode>General</c:formatCode>
                <c:ptCount val="2"/>
                <c:pt idx="0">
                  <c:v>12161.8</c:v>
                </c:pt>
                <c:pt idx="1">
                  <c:v>3535.94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9F-48DC-A4DD-2A67669677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Graphique'!$CX$4:$CX$5</c:f>
              <c:strCache>
                <c:ptCount val="2"/>
                <c:pt idx="0">
                  <c:v>CA</c:v>
                </c:pt>
                <c:pt idx="1">
                  <c:v>Marge</c:v>
                </c:pt>
              </c:strCache>
            </c:strRef>
          </c:cat>
          <c:val>
            <c:numRef>
              <c:f>'Détail Calcul Graphique'!$DN$4:$DN$5</c:f>
              <c:numCache>
                <c:formatCode>General</c:formatCode>
                <c:ptCount val="2"/>
                <c:pt idx="0">
                  <c:v>81017.990000000005</c:v>
                </c:pt>
                <c:pt idx="1">
                  <c:v>21496.28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8C-4D3B-BBCD-65DA2A574F63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Graphique'!$DO$4:$DO$5</c:f>
              <c:numCache>
                <c:formatCode>General</c:formatCode>
                <c:ptCount val="2"/>
                <c:pt idx="0">
                  <c:v>107996.15</c:v>
                </c:pt>
                <c:pt idx="1">
                  <c:v>40171.120000000003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8C-4D3B-BBCD-65DA2A574F63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'Détail Calcul Graphique'!$DK$4:$DK$5</c:f>
              <c:numCache>
                <c:formatCode>General</c:formatCode>
                <c:ptCount val="2"/>
                <c:pt idx="0">
                  <c:v>12161.8</c:v>
                </c:pt>
                <c:pt idx="1">
                  <c:v>3535.94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8C-4D3B-BBCD-65DA2A574F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v>Marge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\ &quot;€&quot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'Détail Calcul Graphique'!$DR$4:$DR$6</c:f>
              <c:numCache>
                <c:formatCode>General</c:formatCod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numCache>
            </c:numRef>
          </c:cat>
          <c:val>
            <c:numRef>
              <c:f>'Détail Calcul Graphique'!$DT$4:$DT$6</c:f>
              <c:numCache>
                <c:formatCode>General</c:formatCode>
                <c:ptCount val="3"/>
                <c:pt idx="0">
                  <c:v>99231.1</c:v>
                </c:pt>
                <c:pt idx="1">
                  <c:v>159829.79999999999</c:v>
                </c:pt>
                <c:pt idx="2">
                  <c:v>88148.209999999992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A2-4BE3-A052-5981C84C981B}"/>
            </c:ext>
          </c:extLst>
        </c:ser>
        <c:ser>
          <c:idx val="0"/>
          <c:order val="1"/>
          <c:tx>
            <c:v>CA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\ &quot;€&quot;" sourceLinked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'Détail Calcul Graphique'!$DR$4:$DR$6</c:f>
              <c:numCache>
                <c:formatCode>General</c:formatCod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numCache>
            </c:numRef>
          </c:cat>
          <c:val>
            <c:numRef>
              <c:f>'Détail Calcul Graphique'!$DS$4:$DS$6</c:f>
              <c:numCache>
                <c:formatCode>General</c:formatCode>
                <c:ptCount val="3"/>
                <c:pt idx="0">
                  <c:v>297675.75000000006</c:v>
                </c:pt>
                <c:pt idx="1">
                  <c:v>458406.6</c:v>
                </c:pt>
                <c:pt idx="2">
                  <c:v>279597.92000000004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A2-4BE3-A052-5981C84C981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080860399"/>
        <c:axId val="2005347663"/>
      </c:line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Graphique'!$DW$4:$DW$5</c:f>
              <c:numCache>
                <c:formatCode>General</c:formatCode>
                <c:ptCount val="2"/>
                <c:pt idx="0">
                  <c:v>66149.290000000008</c:v>
                </c:pt>
                <c:pt idx="1">
                  <c:v>461120.13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5-4B9D-AA78-D66E01F7A6DC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Graphique'!$DX$4:$DX$5</c:f>
              <c:numCache>
                <c:formatCode>General</c:formatCode>
                <c:ptCount val="2"/>
                <c:pt idx="0">
                  <c:v>51960.450000000004</c:v>
                </c:pt>
                <c:pt idx="1">
                  <c:v>897577.9800000001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5-4B9D-AA78-D66E01F7A6DC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Graphique'!$DY$4:$DY$5</c:f>
              <c:numCache>
                <c:formatCode>General</c:formatCode>
                <c:ptCount val="2"/>
                <c:pt idx="0">
                  <c:v>57208.920000000006</c:v>
                </c:pt>
                <c:pt idx="1">
                  <c:v>1063755.31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5-4B9D-AA78-D66E01F7A6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Graphique'!$EB$4:$EB$5</c:f>
              <c:numCache>
                <c:formatCode>General</c:formatCode>
                <c:ptCount val="2"/>
                <c:pt idx="0">
                  <c:v>111704.37000000001</c:v>
                </c:pt>
                <c:pt idx="1">
                  <c:v>719650.44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D-47D5-BFC3-458062271F78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Graphique'!$EC$4:$EC$5</c:f>
              <c:numCache>
                <c:formatCode>General</c:formatCode>
                <c:ptCount val="2"/>
                <c:pt idx="0">
                  <c:v>66761.030000000013</c:v>
                </c:pt>
                <c:pt idx="1">
                  <c:v>1090753.18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ED-47D5-BFC3-458062271F78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Graphique'!$ED$4:$ED$5</c:f>
              <c:numCache>
                <c:formatCode>General</c:formatCode>
                <c:ptCount val="2"/>
                <c:pt idx="0">
                  <c:v>57541.799999999996</c:v>
                </c:pt>
                <c:pt idx="1">
                  <c:v>912279.91999999993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ED-47D5-BFC3-458062271F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Agence'!$C$4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Graphique'!$EG$4:$EG$5</c:f>
              <c:numCache>
                <c:formatCode>General</c:formatCode>
                <c:ptCount val="2"/>
                <c:pt idx="0">
                  <c:v>38804.1</c:v>
                </c:pt>
                <c:pt idx="1">
                  <c:v>515553.73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0-4E3B-A4D2-E6EA4F446974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Graphique'!$EH$4:$EH$5</c:f>
              <c:numCache>
                <c:formatCode>General</c:formatCode>
                <c:ptCount val="2"/>
                <c:pt idx="0">
                  <c:v>231688.97</c:v>
                </c:pt>
                <c:pt idx="1">
                  <c:v>1056317.8899999999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90-4E3B-A4D2-E6EA4F446974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Graphique'!$EI$4:$EI$5</c:f>
              <c:numCache>
                <c:formatCode>General</c:formatCode>
                <c:ptCount val="2"/>
                <c:pt idx="0">
                  <c:v>12161.8</c:v>
                </c:pt>
                <c:pt idx="1">
                  <c:v>962944.32000000018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90-4E3B-A4D2-E6EA4F4469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 Global'!$C$5</c:f>
              <c:strCache>
                <c:ptCount val="1"/>
                <c:pt idx="0">
                  <c:v>Année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Graphique'!$EL$4:$EL$5</c:f>
              <c:numCache>
                <c:formatCode>General</c:formatCode>
                <c:ptCount val="2"/>
                <c:pt idx="0">
                  <c:v>81017.990000000005</c:v>
                </c:pt>
                <c:pt idx="1">
                  <c:v>709114.02000000014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F-4ADA-8D10-25AB88E64924}"/>
            </c:ext>
          </c:extLst>
        </c:ser>
        <c:ser>
          <c:idx val="1"/>
          <c:order val="1"/>
          <c:tx>
            <c:strRef>
              <c:f>'Graphique Agence'!$D$4</c:f>
              <c:strCache>
                <c:ptCount val="1"/>
                <c:pt idx="0">
                  <c:v>Année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Graphique'!$EM$4:$EM$5</c:f>
              <c:numCache>
                <c:formatCode>General</c:formatCode>
                <c:ptCount val="2"/>
                <c:pt idx="0">
                  <c:v>107996.15</c:v>
                </c:pt>
                <c:pt idx="1">
                  <c:v>1105917.2799999998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F-4ADA-8D10-25AB88E64924}"/>
            </c:ext>
          </c:extLst>
        </c:ser>
        <c:ser>
          <c:idx val="2"/>
          <c:order val="2"/>
          <c:tx>
            <c:strRef>
              <c:f>'Graphique Agence'!$E$4</c:f>
              <c:strCache>
                <c:ptCount val="1"/>
                <c:pt idx="0">
                  <c:v>Année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'Détail Calcul Graphique'!$DV$4:$DV$5</c:f>
              <c:strCache>
                <c:ptCount val="2"/>
                <c:pt idx="0">
                  <c:v>CA Négoce</c:v>
                </c:pt>
                <c:pt idx="1">
                  <c:v>CA Agence</c:v>
                </c:pt>
              </c:strCache>
            </c:strRef>
          </c:cat>
          <c:val>
            <c:numRef>
              <c:f>'Détail Calcul Graphique'!$EN$4:$EN$5</c:f>
              <c:numCache>
                <c:formatCode>General</c:formatCode>
                <c:ptCount val="2"/>
                <c:pt idx="0">
                  <c:v>152685.40000000002</c:v>
                </c:pt>
                <c:pt idx="1">
                  <c:v>343836.50999999995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F-4ADA-8D10-25AB88E649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0860399"/>
        <c:axId val="2005347663"/>
      </c:barChart>
      <c:catAx>
        <c:axId val="208086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5347663"/>
        <c:crosses val="autoZero"/>
        <c:auto val="1"/>
        <c:lblAlgn val="ctr"/>
        <c:lblOffset val="100"/>
        <c:noMultiLvlLbl val="0"/>
      </c:catAx>
      <c:valAx>
        <c:axId val="20053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086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'Détail Calcul Graphique'!$ER$3</c:f>
              <c:strCache>
                <c:ptCount val="1"/>
                <c:pt idx="0">
                  <c:v>Marge Négce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'Détail Calcul Graphique'!$EP$4:$EP$6</c:f>
              <c:numCache>
                <c:formatCode>General</c:formatCod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numCache>
            </c:numRef>
          </c:cat>
          <c:val>
            <c:numRef>
              <c:f>'Détail Calcul Graphique'!$ER$4:$ER$6</c:f>
              <c:numCache>
                <c:formatCode>General</c:formatCode>
                <c:ptCount val="3"/>
                <c:pt idx="0">
                  <c:v>99231.1</c:v>
                </c:pt>
                <c:pt idx="1">
                  <c:v>159829.79999999999</c:v>
                </c:pt>
                <c:pt idx="2">
                  <c:v>88148.209999999992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87-469F-9C3A-884A0E22F582}"/>
            </c:ext>
          </c:extLst>
        </c:ser>
        <c:ser>
          <c:idx val="0"/>
          <c:order val="1"/>
          <c:tx>
            <c:strRef>
              <c:f>'Détail Calcul Graphique'!$EQ$3</c:f>
              <c:strCache>
                <c:ptCount val="1"/>
                <c:pt idx="0">
                  <c:v>CA Agence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'Détail Calcul Graphique'!$EP$4:$EP$6</c:f>
              <c:numCache>
                <c:formatCode>General</c:formatCod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numCache>
            </c:numRef>
          </c:cat>
          <c:val>
            <c:numRef>
              <c:f>'Détail Calcul Graphique'!$EQ$4:$EQ$6</c:f>
              <c:numCache>
                <c:formatCode>General</c:formatCode>
                <c:ptCount val="3"/>
                <c:pt idx="0">
                  <c:v>2407875.4699999993</c:v>
                </c:pt>
                <c:pt idx="1">
                  <c:v>4150566.33</c:v>
                </c:pt>
                <c:pt idx="2">
                  <c:v>3282816.0600000015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87-469F-9C3A-884A0E22F5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25218288"/>
        <c:axId val="327882656"/>
      </c:lineChart>
      <c:catAx>
        <c:axId val="32521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7882656"/>
        <c:crosses val="autoZero"/>
        <c:auto val="1"/>
        <c:lblAlgn val="ctr"/>
        <c:lblOffset val="100"/>
        <c:noMultiLvlLbl val="0"/>
      </c:catAx>
      <c:valAx>
        <c:axId val="327882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1828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pixabay.com/en/material-icon-doc-icon-document-doc-2155438/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pxhere.com/fr/photo/1566431" TargetMode="External"/><Relationship Id="rId5" Type="http://schemas.openxmlformats.org/officeDocument/2006/relationships/image" Target="../media/image3.jpeg"/><Relationship Id="rId4" Type="http://schemas.openxmlformats.org/officeDocument/2006/relationships/hyperlink" Target="https://pixabay.com/en/customer-service-1433639/" TargetMode="External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ommons.wikimedia.org/wiki/File:Microsoft_Excel_Logo.svg" TargetMode="External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commons.wikimedia.org/wiki/File:1328104077_Symbol-Refresh.png" TargetMode="External"/><Relationship Id="rId3" Type="http://schemas.openxmlformats.org/officeDocument/2006/relationships/image" Target="../media/image10.png"/><Relationship Id="rId7" Type="http://schemas.openxmlformats.org/officeDocument/2006/relationships/image" Target="../media/image13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hyperlink" Target="https://commons.wikimedia.org/wiki/File:Fairytale_button_add.svg" TargetMode="External"/><Relationship Id="rId5" Type="http://schemas.openxmlformats.org/officeDocument/2006/relationships/image" Target="../media/image12.png"/><Relationship Id="rId10" Type="http://schemas.openxmlformats.org/officeDocument/2006/relationships/image" Target="../media/image15.svg"/><Relationship Id="rId4" Type="http://schemas.openxmlformats.org/officeDocument/2006/relationships/image" Target="../media/image11.png"/><Relationship Id="rId9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://commons.wikimedia.org/wiki/File:1328104077_Symbol-Refresh.png" TargetMode="External"/><Relationship Id="rId3" Type="http://schemas.openxmlformats.org/officeDocument/2006/relationships/image" Target="../media/image10.png"/><Relationship Id="rId7" Type="http://schemas.openxmlformats.org/officeDocument/2006/relationships/image" Target="../media/image16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hyperlink" Target="https://commons.wikimedia.org/wiki/File:Fairytale_button_add.svg" TargetMode="External"/><Relationship Id="rId5" Type="http://schemas.openxmlformats.org/officeDocument/2006/relationships/image" Target="../media/image12.png"/><Relationship Id="rId10" Type="http://schemas.openxmlformats.org/officeDocument/2006/relationships/image" Target="../media/image15.svg"/><Relationship Id="rId4" Type="http://schemas.openxmlformats.org/officeDocument/2006/relationships/image" Target="../media/image11.png"/><Relationship Id="rId9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creativecommons.org/licenses/by-sa/3.0/" TargetMode="External"/><Relationship Id="rId2" Type="http://schemas.openxmlformats.org/officeDocument/2006/relationships/hyperlink" Target="https://fr.m.wikipedia.org/wiki/Fichier:Meuble_h%C3%A9raldique_Engrenage.svg" TargetMode="External"/><Relationship Id="rId1" Type="http://schemas.openxmlformats.org/officeDocument/2006/relationships/image" Target="../media/image17.png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creativecommons.org/licenses/by-sa/3.0/" TargetMode="External"/><Relationship Id="rId2" Type="http://schemas.openxmlformats.org/officeDocument/2006/relationships/hyperlink" Target="https://fr.m.wikipedia.org/wiki/Fichier:Meuble_h%C3%A9raldique_Engrenage.svg" TargetMode="External"/><Relationship Id="rId1" Type="http://schemas.openxmlformats.org/officeDocument/2006/relationships/image" Target="../media/image17.png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https://commons.wikimedia.org/wiki/File:Gnome-colors-view-refresh.svg" TargetMode="External"/><Relationship Id="rId1" Type="http://schemas.openxmlformats.org/officeDocument/2006/relationships/image" Target="../media/image18.png"/><Relationship Id="rId4" Type="http://schemas.openxmlformats.org/officeDocument/2006/relationships/image" Target="../media/image15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image" Target="../media/image19.png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hyperlink" Target="https://commons.wikimedia.org/wiki/File:Gnome-colors-view-refresh.svg" TargetMode="Externa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image" Target="../media/image18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8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88900</xdr:colOff>
      <xdr:row>7</xdr:row>
      <xdr:rowOff>88900</xdr:rowOff>
    </xdr:from>
    <xdr:to>
      <xdr:col>10</xdr:col>
      <xdr:colOff>658813</xdr:colOff>
      <xdr:row>14</xdr:row>
      <xdr:rowOff>50800</xdr:rowOff>
    </xdr:to>
    <xdr:sp macro="[0]!BtnFacturationNegoc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19875258-DC03-4E9D-9714-341C77589A0A}"/>
            </a:ext>
          </a:extLst>
        </xdr:cNvPr>
        <xdr:cNvSpPr/>
      </xdr:nvSpPr>
      <xdr:spPr>
        <a:xfrm>
          <a:off x="3811588" y="1366838"/>
          <a:ext cx="2403475" cy="1239837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200" b="1">
              <a:solidFill>
                <a:schemeClr val="bg1">
                  <a:lumMod val="50000"/>
                </a:schemeClr>
              </a:solidFill>
            </a:rPr>
            <a:t>Facturation</a:t>
          </a:r>
          <a:r>
            <a:rPr lang="fr-FR" sz="1200" b="1" baseline="0">
              <a:solidFill>
                <a:schemeClr val="bg1">
                  <a:lumMod val="50000"/>
                </a:schemeClr>
              </a:solidFill>
            </a:rPr>
            <a:t> NEGOCE</a:t>
          </a:r>
          <a:endParaRPr lang="fr-FR" sz="12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538255</xdr:colOff>
      <xdr:row>7</xdr:row>
      <xdr:rowOff>176476</xdr:rowOff>
    </xdr:from>
    <xdr:to>
      <xdr:col>10</xdr:col>
      <xdr:colOff>230095</xdr:colOff>
      <xdr:row>12</xdr:row>
      <xdr:rowOff>47726</xdr:rowOff>
    </xdr:to>
    <xdr:pic macro="[0]!BtnFacturationNegoce">
      <xdr:nvPicPr>
        <xdr:cNvPr id="6" name="Image 5">
          <a:extLst>
            <a:ext uri="{FF2B5EF4-FFF2-40B4-BE49-F238E27FC236}">
              <a16:creationId xmlns:a16="http://schemas.microsoft.com/office/drawing/2014/main" id="{D7EB2CB1-0761-4745-BD9A-111FEC2D2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253005" y="1465526"/>
          <a:ext cx="1520640" cy="792000"/>
        </a:xfrm>
        <a:prstGeom prst="rect">
          <a:avLst/>
        </a:prstGeom>
      </xdr:spPr>
    </xdr:pic>
    <xdr:clientData/>
  </xdr:twoCellAnchor>
  <xdr:twoCellAnchor>
    <xdr:from>
      <xdr:col>2</xdr:col>
      <xdr:colOff>120650</xdr:colOff>
      <xdr:row>7</xdr:row>
      <xdr:rowOff>107950</xdr:rowOff>
    </xdr:from>
    <xdr:to>
      <xdr:col>5</xdr:col>
      <xdr:colOff>501650</xdr:colOff>
      <xdr:row>14</xdr:row>
      <xdr:rowOff>69850</xdr:rowOff>
    </xdr:to>
    <xdr:sp macro="[0]!BtnFacturationAgenc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D62FA155-C754-496A-ADAD-7D8EA7EB0F28}"/>
            </a:ext>
          </a:extLst>
        </xdr:cNvPr>
        <xdr:cNvSpPr/>
      </xdr:nvSpPr>
      <xdr:spPr>
        <a:xfrm>
          <a:off x="1339850" y="1397000"/>
          <a:ext cx="2209800" cy="125095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200" b="1">
              <a:solidFill>
                <a:schemeClr val="bg1">
                  <a:lumMod val="50000"/>
                </a:schemeClr>
              </a:solidFill>
            </a:rPr>
            <a:t>Facturation</a:t>
          </a:r>
          <a:r>
            <a:rPr lang="fr-FR" sz="1200" b="1" baseline="0">
              <a:solidFill>
                <a:schemeClr val="bg1">
                  <a:lumMod val="50000"/>
                </a:schemeClr>
              </a:solidFill>
            </a:rPr>
            <a:t> AGENCE</a:t>
          </a:r>
          <a:endParaRPr lang="fr-FR" sz="12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164783</xdr:colOff>
      <xdr:row>7</xdr:row>
      <xdr:rowOff>171450</xdr:rowOff>
    </xdr:from>
    <xdr:to>
      <xdr:col>4</xdr:col>
      <xdr:colOff>328613</xdr:colOff>
      <xdr:row>12</xdr:row>
      <xdr:rowOff>50800</xdr:rowOff>
    </xdr:to>
    <xdr:pic macro="[0]!BtnFacturationAgence">
      <xdr:nvPicPr>
        <xdr:cNvPr id="9" name="Image 8">
          <a:extLst>
            <a:ext uri="{FF2B5EF4-FFF2-40B4-BE49-F238E27FC236}">
              <a16:creationId xmlns:a16="http://schemas.microsoft.com/office/drawing/2014/main" id="{999011F0-71BB-4CDF-B109-563AFB9DD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993583" y="1460500"/>
          <a:ext cx="773430" cy="8001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7</xdr:col>
      <xdr:colOff>88900</xdr:colOff>
      <xdr:row>16</xdr:row>
      <xdr:rowOff>139700</xdr:rowOff>
    </xdr:from>
    <xdr:to>
      <xdr:col>10</xdr:col>
      <xdr:colOff>627063</xdr:colOff>
      <xdr:row>23</xdr:row>
      <xdr:rowOff>101600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D2F819B5-3813-4E06-BA44-E62C654182D2}"/>
            </a:ext>
          </a:extLst>
        </xdr:cNvPr>
        <xdr:cNvGrpSpPr/>
      </xdr:nvGrpSpPr>
      <xdr:grpSpPr>
        <a:xfrm>
          <a:off x="3746500" y="2892425"/>
          <a:ext cx="2338388" cy="1228725"/>
          <a:chOff x="3803650" y="2940050"/>
          <a:chExt cx="2419350" cy="1250950"/>
        </a:xfrm>
      </xdr:grpSpPr>
      <xdr:sp macro="[0]!BtnGoToTDBNegoce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67EE4377-D481-4553-99FA-80F4D6A921D2}"/>
              </a:ext>
            </a:extLst>
          </xdr:cNvPr>
          <xdr:cNvSpPr/>
        </xdr:nvSpPr>
        <xdr:spPr>
          <a:xfrm>
            <a:off x="3803650" y="2940050"/>
            <a:ext cx="2419350" cy="1250950"/>
          </a:xfrm>
          <a:prstGeom prst="roundRect">
            <a:avLst/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fr-FR" sz="1200" b="1">
                <a:solidFill>
                  <a:schemeClr val="bg1">
                    <a:lumMod val="50000"/>
                  </a:schemeClr>
                </a:solidFill>
              </a:rPr>
              <a:t>Rapport NEGOCE</a:t>
            </a:r>
          </a:p>
        </xdr:txBody>
      </xdr:sp>
      <xdr:pic macro="[0]!BtnGoToTDBNegoce">
        <xdr:nvPicPr>
          <xdr:cNvPr id="11" name="Image 10">
            <a:extLst>
              <a:ext uri="{FF2B5EF4-FFF2-40B4-BE49-F238E27FC236}">
                <a16:creationId xmlns:a16="http://schemas.microsoft.com/office/drawing/2014/main" id="{CE16D57E-91CE-4EB0-865E-7708AEB5D8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4470400" y="3032754"/>
            <a:ext cx="927100" cy="707396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406400</xdr:colOff>
      <xdr:row>1</xdr:row>
      <xdr:rowOff>158750</xdr:rowOff>
    </xdr:from>
    <xdr:to>
      <xdr:col>7</xdr:col>
      <xdr:colOff>203200</xdr:colOff>
      <xdr:row>4</xdr:row>
      <xdr:rowOff>69850</xdr:rowOff>
    </xdr:to>
    <xdr:pic macro="[0]!BtnAdmin">
      <xdr:nvPicPr>
        <xdr:cNvPr id="12" name="Image 11">
          <a:extLst>
            <a:ext uri="{FF2B5EF4-FFF2-40B4-BE49-F238E27FC236}">
              <a16:creationId xmlns:a16="http://schemas.microsoft.com/office/drawing/2014/main" id="{C73787C3-ACA7-47E7-9885-7C5F77D5C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42900"/>
          <a:ext cx="463550" cy="463550"/>
        </a:xfrm>
        <a:prstGeom prst="rect">
          <a:avLst/>
        </a:prstGeom>
      </xdr:spPr>
    </xdr:pic>
    <xdr:clientData/>
  </xdr:twoCellAnchor>
  <xdr:twoCellAnchor>
    <xdr:from>
      <xdr:col>2</xdr:col>
      <xdr:colOff>107950</xdr:colOff>
      <xdr:row>16</xdr:row>
      <xdr:rowOff>139700</xdr:rowOff>
    </xdr:from>
    <xdr:to>
      <xdr:col>5</xdr:col>
      <xdr:colOff>488950</xdr:colOff>
      <xdr:row>23</xdr:row>
      <xdr:rowOff>101600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50E0E770-EA6B-40A8-B829-911865BB8AE5}"/>
            </a:ext>
          </a:extLst>
        </xdr:cNvPr>
        <xdr:cNvGrpSpPr/>
      </xdr:nvGrpSpPr>
      <xdr:grpSpPr>
        <a:xfrm>
          <a:off x="1308100" y="2892425"/>
          <a:ext cx="2181225" cy="1228725"/>
          <a:chOff x="1327150" y="2940050"/>
          <a:chExt cx="2209800" cy="1250950"/>
        </a:xfrm>
      </xdr:grpSpPr>
      <xdr:sp macro="[0]!BtnGoToTDBAgence" textlink="">
        <xdr:nvSpPr>
          <xdr:cNvPr id="10" name="Rectangle : coins arrondis 9">
            <a:extLst>
              <a:ext uri="{FF2B5EF4-FFF2-40B4-BE49-F238E27FC236}">
                <a16:creationId xmlns:a16="http://schemas.microsoft.com/office/drawing/2014/main" id="{DE23164C-1221-4E07-AE0D-2649775FFB78}"/>
              </a:ext>
            </a:extLst>
          </xdr:cNvPr>
          <xdr:cNvSpPr/>
        </xdr:nvSpPr>
        <xdr:spPr>
          <a:xfrm>
            <a:off x="1327150" y="2940050"/>
            <a:ext cx="2209800" cy="1250950"/>
          </a:xfrm>
          <a:prstGeom prst="roundRect">
            <a:avLst/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fr-FR" sz="1200" b="1">
                <a:solidFill>
                  <a:schemeClr val="bg1">
                    <a:lumMod val="50000"/>
                  </a:schemeClr>
                </a:solidFill>
              </a:rPr>
              <a:t>Rapport</a:t>
            </a:r>
            <a:r>
              <a:rPr lang="fr-FR" sz="1200" b="1" baseline="0">
                <a:solidFill>
                  <a:schemeClr val="bg1">
                    <a:lumMod val="50000"/>
                  </a:schemeClr>
                </a:solidFill>
              </a:rPr>
              <a:t> AGENCE</a:t>
            </a:r>
            <a:endParaRPr lang="fr-FR" sz="1200" b="1">
              <a:solidFill>
                <a:schemeClr val="bg1">
                  <a:lumMod val="50000"/>
                </a:schemeClr>
              </a:solidFill>
            </a:endParaRPr>
          </a:p>
        </xdr:txBody>
      </xdr:sp>
      <xdr:pic macro="[0]!BtnGoToTDBAgence">
        <xdr:nvPicPr>
          <xdr:cNvPr id="13" name="Image 12">
            <a:extLst>
              <a:ext uri="{FF2B5EF4-FFF2-40B4-BE49-F238E27FC236}">
                <a16:creationId xmlns:a16="http://schemas.microsoft.com/office/drawing/2014/main" id="{CD212ED0-0330-4E92-A21E-EE5F617BB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3750" y="3098800"/>
            <a:ext cx="746529" cy="6731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288131</xdr:colOff>
      <xdr:row>0</xdr:row>
      <xdr:rowOff>76994</xdr:rowOff>
    </xdr:from>
    <xdr:to>
      <xdr:col>2</xdr:col>
      <xdr:colOff>186531</xdr:colOff>
      <xdr:row>6</xdr:row>
      <xdr:rowOff>103578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C42B2D27-1B2F-4522-BFE7-05BE0C99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131" y="76994"/>
          <a:ext cx="1065213" cy="116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235848</xdr:colOff>
      <xdr:row>4</xdr:row>
      <xdr:rowOff>122465</xdr:rowOff>
    </xdr:from>
    <xdr:to>
      <xdr:col>1</xdr:col>
      <xdr:colOff>1498591</xdr:colOff>
      <xdr:row>4</xdr:row>
      <xdr:rowOff>612321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028A2E6-5571-474D-B9A8-26134546514E}"/>
            </a:ext>
          </a:extLst>
        </xdr:cNvPr>
        <xdr:cNvGrpSpPr/>
      </xdr:nvGrpSpPr>
      <xdr:grpSpPr>
        <a:xfrm>
          <a:off x="235848" y="970190"/>
          <a:ext cx="1510393" cy="489856"/>
          <a:chOff x="17025257" y="1051379"/>
          <a:chExt cx="1511300" cy="489856"/>
        </a:xfrm>
      </xdr:grpSpPr>
      <xdr:sp macro="[0]!SelectionnerBDD_DropBox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B6675A7D-7AB9-41BA-A614-CB935F562C40}"/>
              </a:ext>
            </a:extLst>
          </xdr:cNvPr>
          <xdr:cNvSpPr/>
        </xdr:nvSpPr>
        <xdr:spPr>
          <a:xfrm>
            <a:off x="17025257" y="1051379"/>
            <a:ext cx="1511300" cy="489856"/>
          </a:xfrm>
          <a:prstGeom prst="roundRect">
            <a:avLst/>
          </a:prstGeom>
          <a:solidFill>
            <a:schemeClr val="bg1"/>
          </a:solidFill>
          <a:ln w="190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2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Parcourir..</a:t>
            </a:r>
          </a:p>
        </xdr:txBody>
      </xdr:sp>
      <xdr:pic macro="[0]!SelectionnerBDD_DropBox">
        <xdr:nvPicPr>
          <xdr:cNvPr id="4" name="Image 3">
            <a:extLst>
              <a:ext uri="{FF2B5EF4-FFF2-40B4-BE49-F238E27FC236}">
                <a16:creationId xmlns:a16="http://schemas.microsoft.com/office/drawing/2014/main" id="{CFB9BF77-2B0E-4F8B-BEFB-E95EC90D74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17139558" y="1127975"/>
            <a:ext cx="342899" cy="33666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1091593</xdr:colOff>
      <xdr:row>1</xdr:row>
      <xdr:rowOff>74087</xdr:rowOff>
    </xdr:from>
    <xdr:to>
      <xdr:col>4</xdr:col>
      <xdr:colOff>400076</xdr:colOff>
      <xdr:row>1</xdr:row>
      <xdr:rowOff>406404</xdr:rowOff>
    </xdr:to>
    <xdr:sp macro="[0]!BtnDeleteFactureAgence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59B496-B15F-430C-9641-AF6344DD5655}"/>
            </a:ext>
          </a:extLst>
        </xdr:cNvPr>
        <xdr:cNvSpPr/>
      </xdr:nvSpPr>
      <xdr:spPr>
        <a:xfrm>
          <a:off x="2573260" y="74087"/>
          <a:ext cx="1157038" cy="332317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Supprimer</a:t>
          </a:r>
        </a:p>
      </xdr:txBody>
    </xdr:sp>
    <xdr:clientData fPrintsWithSheet="0"/>
  </xdr:twoCellAnchor>
  <xdr:twoCellAnchor>
    <xdr:from>
      <xdr:col>3</xdr:col>
      <xdr:colOff>1169540</xdr:colOff>
      <xdr:row>1</xdr:row>
      <xdr:rowOff>132245</xdr:rowOff>
    </xdr:from>
    <xdr:to>
      <xdr:col>3</xdr:col>
      <xdr:colOff>1386485</xdr:colOff>
      <xdr:row>1</xdr:row>
      <xdr:rowOff>348245</xdr:rowOff>
    </xdr:to>
    <xdr:pic macro="[0]!BtnDeleteFactureAgence">
      <xdr:nvPicPr>
        <xdr:cNvPr id="5" name="Image 4">
          <a:extLst>
            <a:ext uri="{FF2B5EF4-FFF2-40B4-BE49-F238E27FC236}">
              <a16:creationId xmlns:a16="http://schemas.microsoft.com/office/drawing/2014/main" id="{A63021DA-F52C-4F33-815D-F9FB62D7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1207" y="132245"/>
          <a:ext cx="216945" cy="216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1220610</xdr:colOff>
      <xdr:row>1</xdr:row>
      <xdr:rowOff>74717</xdr:rowOff>
    </xdr:from>
    <xdr:to>
      <xdr:col>3</xdr:col>
      <xdr:colOff>1015999</xdr:colOff>
      <xdr:row>1</xdr:row>
      <xdr:rowOff>405773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3DBFDDF-7A26-4FF7-B550-4E6CF85B7931}"/>
            </a:ext>
          </a:extLst>
        </xdr:cNvPr>
        <xdr:cNvGrpSpPr/>
      </xdr:nvGrpSpPr>
      <xdr:grpSpPr>
        <a:xfrm>
          <a:off x="1356077" y="74717"/>
          <a:ext cx="1107722" cy="331056"/>
          <a:chOff x="1545166" y="71191"/>
          <a:chExt cx="1135944" cy="331056"/>
        </a:xfrm>
      </xdr:grpSpPr>
      <xdr:sp macro="[0]!BtnEditFactureAgence" textlink="">
        <xdr:nvSpPr>
          <xdr:cNvPr id="7" name="Rectangle : coins arrondis 6">
            <a:extLst>
              <a:ext uri="{FF2B5EF4-FFF2-40B4-BE49-F238E27FC236}">
                <a16:creationId xmlns:a16="http://schemas.microsoft.com/office/drawing/2014/main" id="{B348CCF3-7509-4BB5-BFF6-D0696C5D0B4C}"/>
              </a:ext>
            </a:extLst>
          </xdr:cNvPr>
          <xdr:cNvSpPr/>
        </xdr:nvSpPr>
        <xdr:spPr>
          <a:xfrm>
            <a:off x="1545166" y="71191"/>
            <a:ext cx="1135944" cy="331056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Modifier</a:t>
            </a:r>
          </a:p>
        </xdr:txBody>
      </xdr:sp>
      <xdr:pic macro="[0]!BtnEditFactureAgence">
        <xdr:nvPicPr>
          <xdr:cNvPr id="8" name="Image 7">
            <a:extLst>
              <a:ext uri="{FF2B5EF4-FFF2-40B4-BE49-F238E27FC236}">
                <a16:creationId xmlns:a16="http://schemas.microsoft.com/office/drawing/2014/main" id="{A64D6D20-7D23-46DD-A17B-04BAB8D67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2776" y="109997"/>
            <a:ext cx="228600" cy="228600"/>
          </a:xfrm>
          <a:prstGeom prst="rect">
            <a:avLst/>
          </a:prstGeom>
        </xdr:spPr>
      </xdr:pic>
    </xdr:grpSp>
    <xdr:clientData fPrintsWithSheet="0"/>
  </xdr:twoCellAnchor>
  <xdr:twoCellAnchor>
    <xdr:from>
      <xdr:col>4</xdr:col>
      <xdr:colOff>500943</xdr:colOff>
      <xdr:row>1</xdr:row>
      <xdr:rowOff>78749</xdr:rowOff>
    </xdr:from>
    <xdr:to>
      <xdr:col>5</xdr:col>
      <xdr:colOff>738817</xdr:colOff>
      <xdr:row>1</xdr:row>
      <xdr:rowOff>401741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FD1C19BF-6735-43BF-9B94-4E885B9DD288}"/>
            </a:ext>
          </a:extLst>
        </xdr:cNvPr>
        <xdr:cNvGrpSpPr/>
      </xdr:nvGrpSpPr>
      <xdr:grpSpPr>
        <a:xfrm>
          <a:off x="3752143" y="78749"/>
          <a:ext cx="1143807" cy="322992"/>
          <a:chOff x="3831165" y="78749"/>
          <a:chExt cx="1162152" cy="322992"/>
        </a:xfrm>
      </xdr:grpSpPr>
      <xdr:sp macro="[0]!BtnNoFilterFactureAgence" textlink="">
        <xdr:nvSpPr>
          <xdr:cNvPr id="13" name="Rectangle : coins arrondis 12">
            <a:extLst>
              <a:ext uri="{FF2B5EF4-FFF2-40B4-BE49-F238E27FC236}">
                <a16:creationId xmlns:a16="http://schemas.microsoft.com/office/drawing/2014/main" id="{AB44654B-F3B6-4F4D-AD90-3FE090C1EEFD}"/>
              </a:ext>
            </a:extLst>
          </xdr:cNvPr>
          <xdr:cNvSpPr/>
        </xdr:nvSpPr>
        <xdr:spPr>
          <a:xfrm>
            <a:off x="3831165" y="78749"/>
            <a:ext cx="1162152" cy="322992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Enlèver</a:t>
            </a:r>
            <a:r>
              <a:rPr lang="fr-FR" sz="10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filtre</a:t>
            </a:r>
            <a:endParaRPr lang="fr-FR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BtnNoFilterFactureAgence">
        <xdr:nvPicPr>
          <xdr:cNvPr id="14" name="Image 13">
            <a:extLst>
              <a:ext uri="{FF2B5EF4-FFF2-40B4-BE49-F238E27FC236}">
                <a16:creationId xmlns:a16="http://schemas.microsoft.com/office/drawing/2014/main" id="{4F93EE92-B4DE-4439-91A9-CA1BAD1D8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0882" y="120950"/>
            <a:ext cx="264454" cy="218042"/>
          </a:xfrm>
          <a:prstGeom prst="rect">
            <a:avLst/>
          </a:prstGeom>
        </xdr:spPr>
      </xdr:pic>
      <xdr:pic macro="[0]!BtnNoFilterFactureAgence">
        <xdr:nvPicPr>
          <xdr:cNvPr id="15" name="Image 14">
            <a:extLst>
              <a:ext uri="{FF2B5EF4-FFF2-40B4-BE49-F238E27FC236}">
                <a16:creationId xmlns:a16="http://schemas.microsoft.com/office/drawing/2014/main" id="{A65E6AB2-16C5-4834-B258-755FD5570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2181" y="198320"/>
            <a:ext cx="102212" cy="10269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0</xdr:colOff>
      <xdr:row>1</xdr:row>
      <xdr:rowOff>74087</xdr:rowOff>
    </xdr:from>
    <xdr:to>
      <xdr:col>2</xdr:col>
      <xdr:colOff>1157039</xdr:colOff>
      <xdr:row>1</xdr:row>
      <xdr:rowOff>406404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AC50F74-9582-4C68-A3CA-74A2FF252B54}"/>
            </a:ext>
          </a:extLst>
        </xdr:cNvPr>
        <xdr:cNvGrpSpPr/>
      </xdr:nvGrpSpPr>
      <xdr:grpSpPr>
        <a:xfrm>
          <a:off x="135467" y="74087"/>
          <a:ext cx="1157039" cy="332317"/>
          <a:chOff x="1665111" y="3019778"/>
          <a:chExt cx="1157039" cy="332317"/>
        </a:xfrm>
      </xdr:grpSpPr>
      <xdr:sp macro="[0]!BtnAddFactureAgence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3840065A-4D00-46F8-B8F7-F00E4C863619}"/>
              </a:ext>
            </a:extLst>
          </xdr:cNvPr>
          <xdr:cNvSpPr/>
        </xdr:nvSpPr>
        <xdr:spPr>
          <a:xfrm>
            <a:off x="1665111" y="3019778"/>
            <a:ext cx="1157039" cy="332317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Ajouter</a:t>
            </a:r>
          </a:p>
        </xdr:txBody>
      </xdr:sp>
      <xdr:pic macro="[0]!BtnAddFactureAgence">
        <xdr:nvPicPr>
          <xdr:cNvPr id="21" name="Image 20">
            <a:extLst>
              <a:ext uri="{FF2B5EF4-FFF2-40B4-BE49-F238E27FC236}">
                <a16:creationId xmlns:a16="http://schemas.microsoft.com/office/drawing/2014/main" id="{B9D3E391-2DAE-4487-88D3-9EF16B4A66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 flipH="1">
            <a:off x="1707444" y="3071991"/>
            <a:ext cx="213074" cy="213074"/>
          </a:xfrm>
          <a:prstGeom prst="rect">
            <a:avLst/>
          </a:prstGeom>
        </xdr:spPr>
      </xdr:pic>
    </xdr:grpSp>
    <xdr:clientData fPrintsWithSheet="0"/>
  </xdr:twoCellAnchor>
  <xdr:twoCellAnchor>
    <xdr:from>
      <xdr:col>5</xdr:col>
      <xdr:colOff>818444</xdr:colOff>
      <xdr:row>1</xdr:row>
      <xdr:rowOff>78749</xdr:rowOff>
    </xdr:from>
    <xdr:to>
      <xdr:col>6</xdr:col>
      <xdr:colOff>1049263</xdr:colOff>
      <xdr:row>1</xdr:row>
      <xdr:rowOff>401741</xdr:rowOff>
    </xdr:to>
    <xdr:sp macro="[0]!BtnRefreshFacturesAgence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A9B741DB-D3FA-44E7-96E0-36BD8C391BEB}"/>
            </a:ext>
          </a:extLst>
        </xdr:cNvPr>
        <xdr:cNvSpPr/>
      </xdr:nvSpPr>
      <xdr:spPr>
        <a:xfrm>
          <a:off x="5072944" y="78749"/>
          <a:ext cx="1162152" cy="322992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Actualiser</a:t>
          </a:r>
        </a:p>
      </xdr:txBody>
    </xdr:sp>
    <xdr:clientData fPrintsWithSheet="0"/>
  </xdr:twoCellAnchor>
  <xdr:twoCellAnchor>
    <xdr:from>
      <xdr:col>5</xdr:col>
      <xdr:colOff>846667</xdr:colOff>
      <xdr:row>1</xdr:row>
      <xdr:rowOff>128137</xdr:rowOff>
    </xdr:from>
    <xdr:to>
      <xdr:col>6</xdr:col>
      <xdr:colOff>138287</xdr:colOff>
      <xdr:row>1</xdr:row>
      <xdr:rowOff>351090</xdr:rowOff>
    </xdr:to>
    <xdr:pic macro="[0]!BtnRefreshFacturesAgence">
      <xdr:nvPicPr>
        <xdr:cNvPr id="16" name="Image 15">
          <a:extLst>
            <a:ext uri="{FF2B5EF4-FFF2-40B4-BE49-F238E27FC236}">
              <a16:creationId xmlns:a16="http://schemas.microsoft.com/office/drawing/2014/main" id="{08BAD1AA-3479-49BA-BBC1-43EE73B2B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5101167" y="128137"/>
          <a:ext cx="222953" cy="22295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1135944</xdr:colOff>
      <xdr:row>0</xdr:row>
      <xdr:rowOff>0</xdr:rowOff>
    </xdr:from>
    <xdr:to>
      <xdr:col>6</xdr:col>
      <xdr:colOff>1590325</xdr:colOff>
      <xdr:row>1</xdr:row>
      <xdr:rowOff>397581</xdr:rowOff>
    </xdr:to>
    <xdr:pic macro="[0]!BtnGoHome">
      <xdr:nvPicPr>
        <xdr:cNvPr id="19" name="Graphique 18" descr="Accueil">
          <a:extLst>
            <a:ext uri="{FF2B5EF4-FFF2-40B4-BE49-F238E27FC236}">
              <a16:creationId xmlns:a16="http://schemas.microsoft.com/office/drawing/2014/main" id="{413DFCB0-CE45-4F1F-8343-659D236AE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flipH="1">
          <a:off x="6646333" y="0"/>
          <a:ext cx="454381" cy="397581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230313</xdr:colOff>
      <xdr:row>1</xdr:row>
      <xdr:rowOff>49380</xdr:rowOff>
    </xdr:from>
    <xdr:to>
      <xdr:col>5</xdr:col>
      <xdr:colOff>286685</xdr:colOff>
      <xdr:row>1</xdr:row>
      <xdr:rowOff>381698</xdr:rowOff>
    </xdr:to>
    <xdr:sp macro="[0]!BtnDeleteFactureNegoc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805E940A-3D43-4366-9F5B-4D3EFC298CAD}"/>
            </a:ext>
          </a:extLst>
        </xdr:cNvPr>
        <xdr:cNvSpPr/>
      </xdr:nvSpPr>
      <xdr:spPr>
        <a:xfrm>
          <a:off x="2572757" y="49380"/>
          <a:ext cx="1157039" cy="332318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Supprimer</a:t>
          </a:r>
        </a:p>
      </xdr:txBody>
    </xdr:sp>
    <xdr:clientData/>
  </xdr:twoCellAnchor>
  <xdr:twoCellAnchor editAs="absolute">
    <xdr:from>
      <xdr:col>4</xdr:col>
      <xdr:colOff>308260</xdr:colOff>
      <xdr:row>1</xdr:row>
      <xdr:rowOff>107538</xdr:rowOff>
    </xdr:from>
    <xdr:to>
      <xdr:col>4</xdr:col>
      <xdr:colOff>525205</xdr:colOff>
      <xdr:row>1</xdr:row>
      <xdr:rowOff>323539</xdr:rowOff>
    </xdr:to>
    <xdr:pic macro="[0]!BtnDeleteFactureNegoce">
      <xdr:nvPicPr>
        <xdr:cNvPr id="4" name="Image 3">
          <a:extLst>
            <a:ext uri="{FF2B5EF4-FFF2-40B4-BE49-F238E27FC236}">
              <a16:creationId xmlns:a16="http://schemas.microsoft.com/office/drawing/2014/main" id="{64697977-D4C5-4D04-AA7B-C17DF9431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0704" y="107538"/>
          <a:ext cx="216945" cy="216001"/>
        </a:xfrm>
        <a:prstGeom prst="rect">
          <a:avLst/>
        </a:prstGeom>
      </xdr:spPr>
    </xdr:pic>
    <xdr:clientData/>
  </xdr:twoCellAnchor>
  <xdr:twoCellAnchor editAs="absolute">
    <xdr:from>
      <xdr:col>3</xdr:col>
      <xdr:colOff>63968</xdr:colOff>
      <xdr:row>1</xdr:row>
      <xdr:rowOff>50010</xdr:rowOff>
    </xdr:from>
    <xdr:to>
      <xdr:col>4</xdr:col>
      <xdr:colOff>155690</xdr:colOff>
      <xdr:row>1</xdr:row>
      <xdr:rowOff>381067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8076FF0-2938-4509-8520-5B25AEC12AAC}"/>
            </a:ext>
          </a:extLst>
        </xdr:cNvPr>
        <xdr:cNvGrpSpPr/>
      </xdr:nvGrpSpPr>
      <xdr:grpSpPr>
        <a:xfrm>
          <a:off x="1333968" y="50010"/>
          <a:ext cx="1107722" cy="331057"/>
          <a:chOff x="1523999" y="184074"/>
          <a:chExt cx="1135945" cy="331057"/>
        </a:xfrm>
      </xdr:grpSpPr>
      <xdr:sp macro="[0]!BtnEditFactureNegoce" textlink="">
        <xdr:nvSpPr>
          <xdr:cNvPr id="6" name="Rectangle : coins arrondis 5">
            <a:extLst>
              <a:ext uri="{FF2B5EF4-FFF2-40B4-BE49-F238E27FC236}">
                <a16:creationId xmlns:a16="http://schemas.microsoft.com/office/drawing/2014/main" id="{46598FBF-D777-4D37-9723-35C010E99892}"/>
              </a:ext>
            </a:extLst>
          </xdr:cNvPr>
          <xdr:cNvSpPr/>
        </xdr:nvSpPr>
        <xdr:spPr>
          <a:xfrm>
            <a:off x="1523999" y="184074"/>
            <a:ext cx="1135945" cy="331057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Modifier</a:t>
            </a:r>
          </a:p>
        </xdr:txBody>
      </xdr:sp>
      <xdr:pic macro="[0]!BtnEditFactureNegoce">
        <xdr:nvPicPr>
          <xdr:cNvPr id="7" name="Image 6">
            <a:extLst>
              <a:ext uri="{FF2B5EF4-FFF2-40B4-BE49-F238E27FC236}">
                <a16:creationId xmlns:a16="http://schemas.microsoft.com/office/drawing/2014/main" id="{ED3077A2-0A09-4F00-A893-6EB2E79CA4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1609" y="222880"/>
            <a:ext cx="228600" cy="2286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361308</xdr:colOff>
      <xdr:row>1</xdr:row>
      <xdr:rowOff>61098</xdr:rowOff>
    </xdr:from>
    <xdr:to>
      <xdr:col>6</xdr:col>
      <xdr:colOff>488410</xdr:colOff>
      <xdr:row>1</xdr:row>
      <xdr:rowOff>384091</xdr:rowOff>
    </xdr:to>
    <xdr:sp macro="[0]!BtnNoFilterFactureNegoc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86C2E554-5BC3-4E82-9433-F40A254734BF}"/>
            </a:ext>
          </a:extLst>
        </xdr:cNvPr>
        <xdr:cNvSpPr/>
      </xdr:nvSpPr>
      <xdr:spPr>
        <a:xfrm>
          <a:off x="3797364" y="61098"/>
          <a:ext cx="1164268" cy="322993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Enlèver</a:t>
          </a:r>
          <a:r>
            <a:rPr lang="fr-FR" sz="10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filtre</a:t>
          </a:r>
          <a:endParaRPr lang="fr-FR" sz="10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421134</xdr:colOff>
      <xdr:row>1</xdr:row>
      <xdr:rowOff>103299</xdr:rowOff>
    </xdr:from>
    <xdr:to>
      <xdr:col>5</xdr:col>
      <xdr:colOff>686070</xdr:colOff>
      <xdr:row>1</xdr:row>
      <xdr:rowOff>321342</xdr:rowOff>
    </xdr:to>
    <xdr:pic macro="[0]!BtnNoFilterFactureNegoce">
      <xdr:nvPicPr>
        <xdr:cNvPr id="10" name="Image 9">
          <a:extLst>
            <a:ext uri="{FF2B5EF4-FFF2-40B4-BE49-F238E27FC236}">
              <a16:creationId xmlns:a16="http://schemas.microsoft.com/office/drawing/2014/main" id="{0A0E91B4-EA6C-41DB-A537-6CE575E9A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190" y="103299"/>
          <a:ext cx="264936" cy="218043"/>
        </a:xfrm>
        <a:prstGeom prst="rect">
          <a:avLst/>
        </a:prstGeom>
      </xdr:spPr>
    </xdr:pic>
    <xdr:clientData/>
  </xdr:twoCellAnchor>
  <xdr:twoCellAnchor editAs="absolute">
    <xdr:from>
      <xdr:col>5</xdr:col>
      <xdr:colOff>452490</xdr:colOff>
      <xdr:row>1</xdr:row>
      <xdr:rowOff>180669</xdr:rowOff>
    </xdr:from>
    <xdr:to>
      <xdr:col>5</xdr:col>
      <xdr:colOff>554888</xdr:colOff>
      <xdr:row>1</xdr:row>
      <xdr:rowOff>283360</xdr:rowOff>
    </xdr:to>
    <xdr:pic macro="[0]!BtnNoFilterFactureNegoce">
      <xdr:nvPicPr>
        <xdr:cNvPr id="11" name="Image 10">
          <a:extLst>
            <a:ext uri="{FF2B5EF4-FFF2-40B4-BE49-F238E27FC236}">
              <a16:creationId xmlns:a16="http://schemas.microsoft.com/office/drawing/2014/main" id="{DEE5EA88-4E9D-4C03-B283-DF1DD5A54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8546" y="180669"/>
          <a:ext cx="102398" cy="102691"/>
        </a:xfrm>
        <a:prstGeom prst="rect">
          <a:avLst/>
        </a:prstGeom>
      </xdr:spPr>
    </xdr:pic>
    <xdr:clientData/>
  </xdr:twoCellAnchor>
  <xdr:twoCellAnchor editAs="absolute">
    <xdr:from>
      <xdr:col>2</xdr:col>
      <xdr:colOff>31750</xdr:colOff>
      <xdr:row>1</xdr:row>
      <xdr:rowOff>49380</xdr:rowOff>
    </xdr:from>
    <xdr:to>
      <xdr:col>2</xdr:col>
      <xdr:colOff>1141164</xdr:colOff>
      <xdr:row>1</xdr:row>
      <xdr:rowOff>381697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9FA1B120-1375-449D-9DC3-C77DE1611875}"/>
            </a:ext>
          </a:extLst>
        </xdr:cNvPr>
        <xdr:cNvGrpSpPr/>
      </xdr:nvGrpSpPr>
      <xdr:grpSpPr>
        <a:xfrm>
          <a:off x="124883" y="49380"/>
          <a:ext cx="1109414" cy="332317"/>
          <a:chOff x="303389" y="183444"/>
          <a:chExt cx="1157039" cy="332317"/>
        </a:xfrm>
      </xdr:grpSpPr>
      <xdr:sp macro="[0]!BtnAddFactureNegoce" textlink="">
        <xdr:nvSpPr>
          <xdr:cNvPr id="13" name="Rectangle : coins arrondis 12">
            <a:extLst>
              <a:ext uri="{FF2B5EF4-FFF2-40B4-BE49-F238E27FC236}">
                <a16:creationId xmlns:a16="http://schemas.microsoft.com/office/drawing/2014/main" id="{280AD33D-1C3D-4BCE-BE06-8FF97781F9A9}"/>
              </a:ext>
            </a:extLst>
          </xdr:cNvPr>
          <xdr:cNvSpPr/>
        </xdr:nvSpPr>
        <xdr:spPr>
          <a:xfrm>
            <a:off x="303389" y="183444"/>
            <a:ext cx="1157039" cy="332317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Ajouter</a:t>
            </a:r>
          </a:p>
        </xdr:txBody>
      </xdr:sp>
      <xdr:pic macro="[0]!BtnAddFactureNegoce">
        <xdr:nvPicPr>
          <xdr:cNvPr id="14" name="Image 13">
            <a:extLst>
              <a:ext uri="{FF2B5EF4-FFF2-40B4-BE49-F238E27FC236}">
                <a16:creationId xmlns:a16="http://schemas.microsoft.com/office/drawing/2014/main" id="{5447F094-ABDA-48B7-9C0A-5D07BF5BA0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 flipH="1">
            <a:off x="345722" y="235657"/>
            <a:ext cx="213074" cy="21307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563034</xdr:colOff>
      <xdr:row>1</xdr:row>
      <xdr:rowOff>61098</xdr:rowOff>
    </xdr:from>
    <xdr:to>
      <xdr:col>7</xdr:col>
      <xdr:colOff>966008</xdr:colOff>
      <xdr:row>1</xdr:row>
      <xdr:rowOff>384091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9C3A3B31-9880-478F-9955-67C9519F7FFF}"/>
            </a:ext>
          </a:extLst>
        </xdr:cNvPr>
        <xdr:cNvGrpSpPr/>
      </xdr:nvGrpSpPr>
      <xdr:grpSpPr>
        <a:xfrm>
          <a:off x="4948767" y="61098"/>
          <a:ext cx="1198841" cy="322993"/>
          <a:chOff x="5043312" y="61098"/>
          <a:chExt cx="1164974" cy="322993"/>
        </a:xfrm>
      </xdr:grpSpPr>
      <xdr:sp macro="[0]!BtnRefreshFacturesNegoce" textlink="">
        <xdr:nvSpPr>
          <xdr:cNvPr id="16" name="Rectangle : coins arrondis 15">
            <a:extLst>
              <a:ext uri="{FF2B5EF4-FFF2-40B4-BE49-F238E27FC236}">
                <a16:creationId xmlns:a16="http://schemas.microsoft.com/office/drawing/2014/main" id="{3F7F864A-4D40-4C4B-8114-C6DAAE60D85A}"/>
              </a:ext>
            </a:extLst>
          </xdr:cNvPr>
          <xdr:cNvSpPr/>
        </xdr:nvSpPr>
        <xdr:spPr>
          <a:xfrm>
            <a:off x="5043312" y="61098"/>
            <a:ext cx="1164974" cy="322993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Actualiser</a:t>
            </a:r>
          </a:p>
        </xdr:txBody>
      </xdr:sp>
      <xdr:pic macro="[0]!BtnRefreshFacturesNegoce">
        <xdr:nvPicPr>
          <xdr:cNvPr id="17" name="Image 16">
            <a:extLst>
              <a:ext uri="{FF2B5EF4-FFF2-40B4-BE49-F238E27FC236}">
                <a16:creationId xmlns:a16="http://schemas.microsoft.com/office/drawing/2014/main" id="{23F6F21E-A51E-48A8-A935-1872652B4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8"/>
              </a:ext>
            </a:extLst>
          </a:blip>
          <a:stretch>
            <a:fillRect/>
          </a:stretch>
        </xdr:blipFill>
        <xdr:spPr>
          <a:xfrm>
            <a:off x="5071604" y="110486"/>
            <a:ext cx="223494" cy="222954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81837</xdr:colOff>
      <xdr:row>0</xdr:row>
      <xdr:rowOff>0</xdr:rowOff>
    </xdr:from>
    <xdr:to>
      <xdr:col>8</xdr:col>
      <xdr:colOff>536218</xdr:colOff>
      <xdr:row>1</xdr:row>
      <xdr:rowOff>397581</xdr:rowOff>
    </xdr:to>
    <xdr:pic macro="[0]!BtnGoHome">
      <xdr:nvPicPr>
        <xdr:cNvPr id="5" name="Graphique 4" descr="Accueil">
          <a:extLst>
            <a:ext uri="{FF2B5EF4-FFF2-40B4-BE49-F238E27FC236}">
              <a16:creationId xmlns:a16="http://schemas.microsoft.com/office/drawing/2014/main" id="{4A8024FF-7B74-4703-A1E3-F4F081CC2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flipH="1">
          <a:off x="6311893" y="0"/>
          <a:ext cx="454381" cy="3975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5</xdr:row>
      <xdr:rowOff>55563</xdr:rowOff>
    </xdr:from>
    <xdr:to>
      <xdr:col>11</xdr:col>
      <xdr:colOff>228599</xdr:colOff>
      <xdr:row>10</xdr:row>
      <xdr:rowOff>39688</xdr:rowOff>
    </xdr:to>
    <xdr:sp macro="[0]!BtnLancerRapportNegoc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18479F2-259E-438D-884B-4415FF51E569}"/>
            </a:ext>
          </a:extLst>
        </xdr:cNvPr>
        <xdr:cNvSpPr/>
      </xdr:nvSpPr>
      <xdr:spPr>
        <a:xfrm>
          <a:off x="8183563" y="484188"/>
          <a:ext cx="1768474" cy="376238"/>
        </a:xfrm>
        <a:prstGeom prst="roundRect">
          <a:avLst/>
        </a:prstGeom>
        <a:solidFill>
          <a:schemeClr val="bg1"/>
        </a:solidFill>
        <a:ln w="1905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100">
              <a:solidFill>
                <a:schemeClr val="tx1"/>
              </a:solidFill>
            </a:rPr>
            <a:t>Paramètrer</a:t>
          </a:r>
          <a:r>
            <a:rPr lang="fr-FR" sz="1100" baseline="0">
              <a:solidFill>
                <a:schemeClr val="tx1"/>
              </a:solidFill>
            </a:rPr>
            <a:t> l'analyse</a:t>
          </a:r>
          <a:endParaRPr lang="fr-FR" sz="1100">
            <a:solidFill>
              <a:schemeClr val="tx1"/>
            </a:solidFill>
          </a:endParaRPr>
        </a:p>
      </xdr:txBody>
    </xdr:sp>
    <xdr:clientData fPrintsWithSheet="0"/>
  </xdr:twoCellAnchor>
  <xdr:twoCellAnchor editAs="oneCell">
    <xdr:from>
      <xdr:col>9</xdr:col>
      <xdr:colOff>296490</xdr:colOff>
      <xdr:row>5</xdr:row>
      <xdr:rowOff>70613</xdr:rowOff>
    </xdr:from>
    <xdr:to>
      <xdr:col>9</xdr:col>
      <xdr:colOff>581406</xdr:colOff>
      <xdr:row>10</xdr:row>
      <xdr:rowOff>39688</xdr:rowOff>
    </xdr:to>
    <xdr:pic macro="[0]!BtnLancerRapportNegoce">
      <xdr:nvPicPr>
        <xdr:cNvPr id="4" name="Image 3">
          <a:extLst>
            <a:ext uri="{FF2B5EF4-FFF2-40B4-BE49-F238E27FC236}">
              <a16:creationId xmlns:a16="http://schemas.microsoft.com/office/drawing/2014/main" id="{CEFA329D-4997-4A64-8632-ACEF5BD7D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 flipH="1">
          <a:off x="8241928" y="499238"/>
          <a:ext cx="280154" cy="361188"/>
        </a:xfrm>
        <a:prstGeom prst="rect">
          <a:avLst/>
        </a:prstGeom>
      </xdr:spPr>
    </xdr:pic>
    <xdr:clientData fPrintsWithSheet="0"/>
  </xdr:twoCellAnchor>
  <xdr:oneCellAnchor>
    <xdr:from>
      <xdr:col>11</xdr:col>
      <xdr:colOff>6348</xdr:colOff>
      <xdr:row>89</xdr:row>
      <xdr:rowOff>109140</xdr:rowOff>
    </xdr:from>
    <xdr:ext cx="45719" cy="7558544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313DFB94-7D07-4430-901B-2BA9567E070F}"/>
            </a:ext>
          </a:extLst>
        </xdr:cNvPr>
        <xdr:cNvSpPr txBox="1"/>
      </xdr:nvSpPr>
      <xdr:spPr>
        <a:xfrm flipH="1">
          <a:off x="8966198" y="20625990"/>
          <a:ext cx="45719" cy="7558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900">
              <a:hlinkClick xmlns:r="http://schemas.openxmlformats.org/officeDocument/2006/relationships" r:id="rId2" tooltip="https://fr.m.wikipedia.org/wiki/Fichier:Meuble_h%C3%A9raldique_Engrenage.svg"/>
            </a:rPr>
            <a:t>Cette photo</a:t>
          </a:r>
          <a:r>
            <a:rPr lang="fr-FR" sz="900"/>
            <a:t> par Auteur inconnu est soumise à la licence </a:t>
          </a:r>
          <a:r>
            <a:rPr lang="fr-FR" sz="900">
              <a:hlinkClick xmlns:r="http://schemas.openxmlformats.org/officeDocument/2006/relationships" r:id="rId3" tooltip="https://creativecommons.org/licenses/by-sa/3.0/"/>
            </a:rPr>
            <a:t>CC BY-SA</a:t>
          </a:r>
          <a:endParaRPr lang="fr-FR" sz="900"/>
        </a:p>
      </xdr:txBody>
    </xdr:sp>
    <xdr:clientData/>
  </xdr:oneCellAnchor>
  <xdr:twoCellAnchor editAs="oneCell">
    <xdr:from>
      <xdr:col>11</xdr:col>
      <xdr:colOff>365125</xdr:colOff>
      <xdr:row>5</xdr:row>
      <xdr:rowOff>55563</xdr:rowOff>
    </xdr:from>
    <xdr:to>
      <xdr:col>11</xdr:col>
      <xdr:colOff>819506</xdr:colOff>
      <xdr:row>10</xdr:row>
      <xdr:rowOff>56269</xdr:rowOff>
    </xdr:to>
    <xdr:pic macro="[0]!BtnGoHome">
      <xdr:nvPicPr>
        <xdr:cNvPr id="7" name="Graphique 6" descr="Accueil">
          <a:extLst>
            <a:ext uri="{FF2B5EF4-FFF2-40B4-BE49-F238E27FC236}">
              <a16:creationId xmlns:a16="http://schemas.microsoft.com/office/drawing/2014/main" id="{717F0723-149F-426C-9FA8-2ED97D41B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flipH="1">
          <a:off x="10088563" y="484188"/>
          <a:ext cx="454381" cy="39758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484196</xdr:colOff>
      <xdr:row>1</xdr:row>
      <xdr:rowOff>79374</xdr:rowOff>
    </xdr:from>
    <xdr:to>
      <xdr:col>11</xdr:col>
      <xdr:colOff>741196</xdr:colOff>
      <xdr:row>4</xdr:row>
      <xdr:rowOff>198522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473B08B0-4EAC-4E1C-8699-2C7AAF65EC51}"/>
            </a:ext>
          </a:extLst>
        </xdr:cNvPr>
        <xdr:cNvGrpSpPr/>
      </xdr:nvGrpSpPr>
      <xdr:grpSpPr>
        <a:xfrm>
          <a:off x="9809171" y="203199"/>
          <a:ext cx="1923875" cy="547773"/>
          <a:chOff x="8890008" y="1055687"/>
          <a:chExt cx="1908000" cy="547773"/>
        </a:xfrm>
      </xdr:grpSpPr>
      <xdr:sp macro="[0]!BtnLancerRapportAgence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25DDA42D-0D05-48F6-8591-D871092FBA7E}"/>
              </a:ext>
            </a:extLst>
          </xdr:cNvPr>
          <xdr:cNvSpPr/>
        </xdr:nvSpPr>
        <xdr:spPr>
          <a:xfrm>
            <a:off x="8890008" y="1055687"/>
            <a:ext cx="1908000" cy="547773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>
                <a:solidFill>
                  <a:schemeClr val="tx1"/>
                </a:solidFill>
              </a:rPr>
              <a:t>Paramètrer</a:t>
            </a:r>
            <a:r>
              <a:rPr lang="fr-FR" sz="1100" baseline="0">
                <a:solidFill>
                  <a:schemeClr val="tx1"/>
                </a:solidFill>
              </a:rPr>
              <a:t> l'analyse</a:t>
            </a:r>
            <a:endParaRPr lang="fr-FR" sz="1100">
              <a:solidFill>
                <a:schemeClr val="tx1"/>
              </a:solidFill>
            </a:endParaRPr>
          </a:p>
        </xdr:txBody>
      </xdr:sp>
      <xdr:pic macro="[0]!BtnLancerRapportAgence">
        <xdr:nvPicPr>
          <xdr:cNvPr id="4" name="Image 3">
            <a:extLst>
              <a:ext uri="{FF2B5EF4-FFF2-40B4-BE49-F238E27FC236}">
                <a16:creationId xmlns:a16="http://schemas.microsoft.com/office/drawing/2014/main" id="{023ABA9A-E222-4EEA-A8CF-B1D2E9AB1A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 flipH="1">
            <a:off x="8959365" y="1124412"/>
            <a:ext cx="411331" cy="391948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oneCellAnchor>
    <xdr:from>
      <xdr:col>10</xdr:col>
      <xdr:colOff>0</xdr:colOff>
      <xdr:row>69</xdr:row>
      <xdr:rowOff>109140</xdr:rowOff>
    </xdr:from>
    <xdr:ext cx="45719" cy="7558544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A968ACB0-66AD-4846-9601-DE8AAF51BE9A}"/>
            </a:ext>
          </a:extLst>
        </xdr:cNvPr>
        <xdr:cNvSpPr txBox="1"/>
      </xdr:nvSpPr>
      <xdr:spPr>
        <a:xfrm flipH="1">
          <a:off x="9721848" y="15012590"/>
          <a:ext cx="45719" cy="7558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900">
              <a:hlinkClick xmlns:r="http://schemas.openxmlformats.org/officeDocument/2006/relationships" r:id="rId2" tooltip="https://fr.m.wikipedia.org/wiki/Fichier:Meuble_h%C3%A9raldique_Engrenage.svg"/>
            </a:rPr>
            <a:t>Cette photo</a:t>
          </a:r>
          <a:r>
            <a:rPr lang="fr-FR" sz="900"/>
            <a:t> par Auteur inconnu est soumise à la licence </a:t>
          </a:r>
          <a:r>
            <a:rPr lang="fr-FR" sz="900">
              <a:hlinkClick xmlns:r="http://schemas.openxmlformats.org/officeDocument/2006/relationships" r:id="rId3" tooltip="https://creativecommons.org/licenses/by-sa/3.0/"/>
            </a:rPr>
            <a:t>CC BY-SA</a:t>
          </a:r>
          <a:endParaRPr lang="fr-FR" sz="900"/>
        </a:p>
      </xdr:txBody>
    </xdr:sp>
    <xdr:clientData/>
  </xdr:oneCellAnchor>
  <xdr:twoCellAnchor editAs="oneCell">
    <xdr:from>
      <xdr:col>12</xdr:col>
      <xdr:colOff>95251</xdr:colOff>
      <xdr:row>2</xdr:row>
      <xdr:rowOff>0</xdr:rowOff>
    </xdr:from>
    <xdr:to>
      <xdr:col>12</xdr:col>
      <xdr:colOff>554394</xdr:colOff>
      <xdr:row>4</xdr:row>
      <xdr:rowOff>84843</xdr:rowOff>
    </xdr:to>
    <xdr:pic macro="[0]!BtnGoHome">
      <xdr:nvPicPr>
        <xdr:cNvPr id="6" name="Graphique 5" descr="Accueil">
          <a:extLst>
            <a:ext uri="{FF2B5EF4-FFF2-40B4-BE49-F238E27FC236}">
              <a16:creationId xmlns:a16="http://schemas.microsoft.com/office/drawing/2014/main" id="{06DEF48E-AC84-46F7-9DA1-AF0C8D304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flipH="1">
          <a:off x="10969626" y="230188"/>
          <a:ext cx="454381" cy="39758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101600</xdr:rowOff>
    </xdr:from>
    <xdr:to>
      <xdr:col>2</xdr:col>
      <xdr:colOff>254000</xdr:colOff>
      <xdr:row>2</xdr:row>
      <xdr:rowOff>139700</xdr:rowOff>
    </xdr:to>
    <xdr:sp macro="[0]!BtnRefreshQuery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24F180C-1351-4D9F-B4F1-7813111B392B}"/>
            </a:ext>
          </a:extLst>
        </xdr:cNvPr>
        <xdr:cNvSpPr/>
      </xdr:nvSpPr>
      <xdr:spPr>
        <a:xfrm>
          <a:off x="334433" y="101600"/>
          <a:ext cx="1295400" cy="4191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100" b="1">
              <a:solidFill>
                <a:schemeClr val="tx1"/>
              </a:solidFill>
            </a:rPr>
            <a:t>Actualiser</a:t>
          </a:r>
        </a:p>
      </xdr:txBody>
    </xdr:sp>
    <xdr:clientData/>
  </xdr:twoCellAnchor>
  <xdr:twoCellAnchor>
    <xdr:from>
      <xdr:col>1</xdr:col>
      <xdr:colOff>49123</xdr:colOff>
      <xdr:row>0</xdr:row>
      <xdr:rowOff>134342</xdr:rowOff>
    </xdr:from>
    <xdr:to>
      <xdr:col>1</xdr:col>
      <xdr:colOff>379083</xdr:colOff>
      <xdr:row>2</xdr:row>
      <xdr:rowOff>106958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8F0F82DE-CF90-4EAA-895F-4BAF09FFE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377206" y="134342"/>
          <a:ext cx="329960" cy="353616"/>
        </a:xfrm>
        <a:prstGeom prst="rect">
          <a:avLst/>
        </a:prstGeom>
      </xdr:spPr>
    </xdr:pic>
    <xdr:clientData/>
  </xdr:twoCellAnchor>
  <xdr:twoCellAnchor editAs="absolute">
    <xdr:from>
      <xdr:col>2</xdr:col>
      <xdr:colOff>444501</xdr:colOff>
      <xdr:row>0</xdr:row>
      <xdr:rowOff>70555</xdr:rowOff>
    </xdr:from>
    <xdr:to>
      <xdr:col>2</xdr:col>
      <xdr:colOff>898882</xdr:colOff>
      <xdr:row>2</xdr:row>
      <xdr:rowOff>101247</xdr:rowOff>
    </xdr:to>
    <xdr:pic macro="[0]!BtnGoHome">
      <xdr:nvPicPr>
        <xdr:cNvPr id="5" name="Graphique 4" descr="Accueil">
          <a:extLst>
            <a:ext uri="{FF2B5EF4-FFF2-40B4-BE49-F238E27FC236}">
              <a16:creationId xmlns:a16="http://schemas.microsoft.com/office/drawing/2014/main" id="{7C98C2E2-BCC7-42F5-8AAC-B0E0EC318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flipH="1">
          <a:off x="1890890" y="70555"/>
          <a:ext cx="454381" cy="3975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23607</xdr:colOff>
      <xdr:row>4</xdr:row>
      <xdr:rowOff>27193</xdr:rowOff>
    </xdr:from>
    <xdr:to>
      <xdr:col>2</xdr:col>
      <xdr:colOff>3592307</xdr:colOff>
      <xdr:row>4</xdr:row>
      <xdr:rowOff>2894853</xdr:rowOff>
    </xdr:to>
    <xdr:graphicFrame macro="">
      <xdr:nvGraphicFramePr>
        <xdr:cNvPr id="15" name="Gr_T1_N_2">
          <a:extLst>
            <a:ext uri="{FF2B5EF4-FFF2-40B4-BE49-F238E27FC236}">
              <a16:creationId xmlns:a16="http://schemas.microsoft.com/office/drawing/2014/main" id="{E6968993-52B5-4040-9511-10814C915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21366</xdr:colOff>
      <xdr:row>4</xdr:row>
      <xdr:rowOff>27193</xdr:rowOff>
    </xdr:from>
    <xdr:to>
      <xdr:col>3</xdr:col>
      <xdr:colOff>2553746</xdr:colOff>
      <xdr:row>4</xdr:row>
      <xdr:rowOff>2894853</xdr:rowOff>
    </xdr:to>
    <xdr:graphicFrame macro="">
      <xdr:nvGraphicFramePr>
        <xdr:cNvPr id="19" name="Gr_T1_N_1">
          <a:extLst>
            <a:ext uri="{FF2B5EF4-FFF2-40B4-BE49-F238E27FC236}">
              <a16:creationId xmlns:a16="http://schemas.microsoft.com/office/drawing/2014/main" id="{962C67AE-B4E4-49F8-AB68-BA18B9D26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22711</xdr:colOff>
      <xdr:row>4</xdr:row>
      <xdr:rowOff>27193</xdr:rowOff>
    </xdr:from>
    <xdr:to>
      <xdr:col>4</xdr:col>
      <xdr:colOff>2555091</xdr:colOff>
      <xdr:row>4</xdr:row>
      <xdr:rowOff>2894853</xdr:rowOff>
    </xdr:to>
    <xdr:graphicFrame macro="">
      <xdr:nvGraphicFramePr>
        <xdr:cNvPr id="29" name="Gr_T1_N_0">
          <a:extLst>
            <a:ext uri="{FF2B5EF4-FFF2-40B4-BE49-F238E27FC236}">
              <a16:creationId xmlns:a16="http://schemas.microsoft.com/office/drawing/2014/main" id="{18244433-9313-4952-B053-84E5F8CB5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23607</xdr:colOff>
      <xdr:row>5</xdr:row>
      <xdr:rowOff>23159</xdr:rowOff>
    </xdr:from>
    <xdr:to>
      <xdr:col>2</xdr:col>
      <xdr:colOff>3592307</xdr:colOff>
      <xdr:row>5</xdr:row>
      <xdr:rowOff>2890819</xdr:rowOff>
    </xdr:to>
    <xdr:graphicFrame macro="">
      <xdr:nvGraphicFramePr>
        <xdr:cNvPr id="16" name="Gr_T2_N_2">
          <a:extLst>
            <a:ext uri="{FF2B5EF4-FFF2-40B4-BE49-F238E27FC236}">
              <a16:creationId xmlns:a16="http://schemas.microsoft.com/office/drawing/2014/main" id="{A221A130-1FA1-403E-B340-8AE19B82C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21366</xdr:colOff>
      <xdr:row>5</xdr:row>
      <xdr:rowOff>23159</xdr:rowOff>
    </xdr:from>
    <xdr:to>
      <xdr:col>3</xdr:col>
      <xdr:colOff>2553746</xdr:colOff>
      <xdr:row>5</xdr:row>
      <xdr:rowOff>2890819</xdr:rowOff>
    </xdr:to>
    <xdr:graphicFrame macro="">
      <xdr:nvGraphicFramePr>
        <xdr:cNvPr id="20" name="Gr_T2_N_1">
          <a:extLst>
            <a:ext uri="{FF2B5EF4-FFF2-40B4-BE49-F238E27FC236}">
              <a16:creationId xmlns:a16="http://schemas.microsoft.com/office/drawing/2014/main" id="{B35D8646-3D09-4B4C-B78C-6CC43449A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22711</xdr:colOff>
      <xdr:row>5</xdr:row>
      <xdr:rowOff>23159</xdr:rowOff>
    </xdr:from>
    <xdr:to>
      <xdr:col>4</xdr:col>
      <xdr:colOff>2555091</xdr:colOff>
      <xdr:row>5</xdr:row>
      <xdr:rowOff>2890819</xdr:rowOff>
    </xdr:to>
    <xdr:graphicFrame macro="">
      <xdr:nvGraphicFramePr>
        <xdr:cNvPr id="43" name="Gr_T2_N_0">
          <a:extLst>
            <a:ext uri="{FF2B5EF4-FFF2-40B4-BE49-F238E27FC236}">
              <a16:creationId xmlns:a16="http://schemas.microsoft.com/office/drawing/2014/main" id="{DFFA6DEA-1515-44F1-82FD-63BF05751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23607</xdr:colOff>
      <xdr:row>6</xdr:row>
      <xdr:rowOff>19125</xdr:rowOff>
    </xdr:from>
    <xdr:to>
      <xdr:col>2</xdr:col>
      <xdr:colOff>3592307</xdr:colOff>
      <xdr:row>6</xdr:row>
      <xdr:rowOff>2886785</xdr:rowOff>
    </xdr:to>
    <xdr:graphicFrame macro="">
      <xdr:nvGraphicFramePr>
        <xdr:cNvPr id="17" name="Gr_T3_N_2">
          <a:extLst>
            <a:ext uri="{FF2B5EF4-FFF2-40B4-BE49-F238E27FC236}">
              <a16:creationId xmlns:a16="http://schemas.microsoft.com/office/drawing/2014/main" id="{58B44D1C-A1F4-4040-B8F9-55C17D7B46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21366</xdr:colOff>
      <xdr:row>6</xdr:row>
      <xdr:rowOff>19125</xdr:rowOff>
    </xdr:from>
    <xdr:to>
      <xdr:col>3</xdr:col>
      <xdr:colOff>2553746</xdr:colOff>
      <xdr:row>6</xdr:row>
      <xdr:rowOff>2886785</xdr:rowOff>
    </xdr:to>
    <xdr:graphicFrame macro="">
      <xdr:nvGraphicFramePr>
        <xdr:cNvPr id="27" name="Gr_T3_N_1">
          <a:extLst>
            <a:ext uri="{FF2B5EF4-FFF2-40B4-BE49-F238E27FC236}">
              <a16:creationId xmlns:a16="http://schemas.microsoft.com/office/drawing/2014/main" id="{11221D5D-55AF-4CF0-B5C4-DC5B36FAF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22711</xdr:colOff>
      <xdr:row>6</xdr:row>
      <xdr:rowOff>19125</xdr:rowOff>
    </xdr:from>
    <xdr:to>
      <xdr:col>4</xdr:col>
      <xdr:colOff>2555091</xdr:colOff>
      <xdr:row>6</xdr:row>
      <xdr:rowOff>2886785</xdr:rowOff>
    </xdr:to>
    <xdr:graphicFrame macro="">
      <xdr:nvGraphicFramePr>
        <xdr:cNvPr id="44" name="Gr_T3_N_0">
          <a:extLst>
            <a:ext uri="{FF2B5EF4-FFF2-40B4-BE49-F238E27FC236}">
              <a16:creationId xmlns:a16="http://schemas.microsoft.com/office/drawing/2014/main" id="{713A69E7-84A8-4D53-B907-34F99E8D6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23607</xdr:colOff>
      <xdr:row>12</xdr:row>
      <xdr:rowOff>11953</xdr:rowOff>
    </xdr:from>
    <xdr:to>
      <xdr:col>2</xdr:col>
      <xdr:colOff>3592307</xdr:colOff>
      <xdr:row>12</xdr:row>
      <xdr:rowOff>2879613</xdr:rowOff>
    </xdr:to>
    <xdr:graphicFrame macro="">
      <xdr:nvGraphicFramePr>
        <xdr:cNvPr id="46" name="Gr2_T1_N_2">
          <a:extLst>
            <a:ext uri="{FF2B5EF4-FFF2-40B4-BE49-F238E27FC236}">
              <a16:creationId xmlns:a16="http://schemas.microsoft.com/office/drawing/2014/main" id="{52CFF797-2750-424B-B7ED-AB235C098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21366</xdr:colOff>
      <xdr:row>12</xdr:row>
      <xdr:rowOff>11953</xdr:rowOff>
    </xdr:from>
    <xdr:to>
      <xdr:col>3</xdr:col>
      <xdr:colOff>2553746</xdr:colOff>
      <xdr:row>12</xdr:row>
      <xdr:rowOff>2879613</xdr:rowOff>
    </xdr:to>
    <xdr:graphicFrame macro="">
      <xdr:nvGraphicFramePr>
        <xdr:cNvPr id="50" name="Gr2_T1_N_1">
          <a:extLst>
            <a:ext uri="{FF2B5EF4-FFF2-40B4-BE49-F238E27FC236}">
              <a16:creationId xmlns:a16="http://schemas.microsoft.com/office/drawing/2014/main" id="{4648F24F-F886-4435-B682-3A42862B2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22711</xdr:colOff>
      <xdr:row>12</xdr:row>
      <xdr:rowOff>11953</xdr:rowOff>
    </xdr:from>
    <xdr:to>
      <xdr:col>4</xdr:col>
      <xdr:colOff>2555091</xdr:colOff>
      <xdr:row>12</xdr:row>
      <xdr:rowOff>2879613</xdr:rowOff>
    </xdr:to>
    <xdr:graphicFrame macro="">
      <xdr:nvGraphicFramePr>
        <xdr:cNvPr id="54" name="Gr2_T1_N_0">
          <a:extLst>
            <a:ext uri="{FF2B5EF4-FFF2-40B4-BE49-F238E27FC236}">
              <a16:creationId xmlns:a16="http://schemas.microsoft.com/office/drawing/2014/main" id="{D3DDE9C4-BA12-4034-8156-D99ABC262B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23607</xdr:colOff>
      <xdr:row>13</xdr:row>
      <xdr:rowOff>7920</xdr:rowOff>
    </xdr:from>
    <xdr:to>
      <xdr:col>2</xdr:col>
      <xdr:colOff>3592307</xdr:colOff>
      <xdr:row>13</xdr:row>
      <xdr:rowOff>2875580</xdr:rowOff>
    </xdr:to>
    <xdr:graphicFrame macro="">
      <xdr:nvGraphicFramePr>
        <xdr:cNvPr id="47" name="Gr2_T2_N_2">
          <a:extLst>
            <a:ext uri="{FF2B5EF4-FFF2-40B4-BE49-F238E27FC236}">
              <a16:creationId xmlns:a16="http://schemas.microsoft.com/office/drawing/2014/main" id="{3F1F94DE-9117-400A-A494-874D578927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21366</xdr:colOff>
      <xdr:row>13</xdr:row>
      <xdr:rowOff>7920</xdr:rowOff>
    </xdr:from>
    <xdr:to>
      <xdr:col>3</xdr:col>
      <xdr:colOff>2553746</xdr:colOff>
      <xdr:row>13</xdr:row>
      <xdr:rowOff>2875580</xdr:rowOff>
    </xdr:to>
    <xdr:graphicFrame macro="">
      <xdr:nvGraphicFramePr>
        <xdr:cNvPr id="51" name="Gr2_T2_N_1">
          <a:extLst>
            <a:ext uri="{FF2B5EF4-FFF2-40B4-BE49-F238E27FC236}">
              <a16:creationId xmlns:a16="http://schemas.microsoft.com/office/drawing/2014/main" id="{36FE7EDB-C64F-442F-9D88-42847BB12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22711</xdr:colOff>
      <xdr:row>13</xdr:row>
      <xdr:rowOff>7920</xdr:rowOff>
    </xdr:from>
    <xdr:to>
      <xdr:col>4</xdr:col>
      <xdr:colOff>2555091</xdr:colOff>
      <xdr:row>13</xdr:row>
      <xdr:rowOff>2875580</xdr:rowOff>
    </xdr:to>
    <xdr:graphicFrame macro="">
      <xdr:nvGraphicFramePr>
        <xdr:cNvPr id="55" name="Gr2_T2_N_0">
          <a:extLst>
            <a:ext uri="{FF2B5EF4-FFF2-40B4-BE49-F238E27FC236}">
              <a16:creationId xmlns:a16="http://schemas.microsoft.com/office/drawing/2014/main" id="{082CA1B2-930C-4D6C-95AF-FF3B2FFA11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23607</xdr:colOff>
      <xdr:row>7</xdr:row>
      <xdr:rowOff>15091</xdr:rowOff>
    </xdr:from>
    <xdr:to>
      <xdr:col>2</xdr:col>
      <xdr:colOff>3592307</xdr:colOff>
      <xdr:row>7</xdr:row>
      <xdr:rowOff>2882751</xdr:rowOff>
    </xdr:to>
    <xdr:graphicFrame macro="">
      <xdr:nvGraphicFramePr>
        <xdr:cNvPr id="18" name="Gr_T4_N_2">
          <a:extLst>
            <a:ext uri="{FF2B5EF4-FFF2-40B4-BE49-F238E27FC236}">
              <a16:creationId xmlns:a16="http://schemas.microsoft.com/office/drawing/2014/main" id="{D835114D-DBAE-4C08-B278-A06D1CE85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21366</xdr:colOff>
      <xdr:row>7</xdr:row>
      <xdr:rowOff>15091</xdr:rowOff>
    </xdr:from>
    <xdr:to>
      <xdr:col>3</xdr:col>
      <xdr:colOff>2553746</xdr:colOff>
      <xdr:row>7</xdr:row>
      <xdr:rowOff>2882751</xdr:rowOff>
    </xdr:to>
    <xdr:graphicFrame macro="">
      <xdr:nvGraphicFramePr>
        <xdr:cNvPr id="28" name="Gr_T4_N_1">
          <a:extLst>
            <a:ext uri="{FF2B5EF4-FFF2-40B4-BE49-F238E27FC236}">
              <a16:creationId xmlns:a16="http://schemas.microsoft.com/office/drawing/2014/main" id="{928501E4-A786-4D75-AADA-2B9477855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22711</xdr:colOff>
      <xdr:row>7</xdr:row>
      <xdr:rowOff>15091</xdr:rowOff>
    </xdr:from>
    <xdr:to>
      <xdr:col>4</xdr:col>
      <xdr:colOff>2555091</xdr:colOff>
      <xdr:row>7</xdr:row>
      <xdr:rowOff>2882751</xdr:rowOff>
    </xdr:to>
    <xdr:graphicFrame macro="">
      <xdr:nvGraphicFramePr>
        <xdr:cNvPr id="45" name="Gr_T4_N_0">
          <a:extLst>
            <a:ext uri="{FF2B5EF4-FFF2-40B4-BE49-F238E27FC236}">
              <a16:creationId xmlns:a16="http://schemas.microsoft.com/office/drawing/2014/main" id="{241A80BE-97D9-4440-B570-AB98597A2D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23607</xdr:colOff>
      <xdr:row>14</xdr:row>
      <xdr:rowOff>3885</xdr:rowOff>
    </xdr:from>
    <xdr:to>
      <xdr:col>2</xdr:col>
      <xdr:colOff>3592307</xdr:colOff>
      <xdr:row>14</xdr:row>
      <xdr:rowOff>2871545</xdr:rowOff>
    </xdr:to>
    <xdr:graphicFrame macro="">
      <xdr:nvGraphicFramePr>
        <xdr:cNvPr id="48" name="Gr2_T3_N_2">
          <a:extLst>
            <a:ext uri="{FF2B5EF4-FFF2-40B4-BE49-F238E27FC236}">
              <a16:creationId xmlns:a16="http://schemas.microsoft.com/office/drawing/2014/main" id="{BCC246AE-3EEB-4E0A-9280-06601A0EB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21366</xdr:colOff>
      <xdr:row>14</xdr:row>
      <xdr:rowOff>3885</xdr:rowOff>
    </xdr:from>
    <xdr:to>
      <xdr:col>3</xdr:col>
      <xdr:colOff>2553746</xdr:colOff>
      <xdr:row>14</xdr:row>
      <xdr:rowOff>2871545</xdr:rowOff>
    </xdr:to>
    <xdr:graphicFrame macro="">
      <xdr:nvGraphicFramePr>
        <xdr:cNvPr id="52" name="Gr2_T3_N_1">
          <a:extLst>
            <a:ext uri="{FF2B5EF4-FFF2-40B4-BE49-F238E27FC236}">
              <a16:creationId xmlns:a16="http://schemas.microsoft.com/office/drawing/2014/main" id="{7D62C911-0CEF-415F-94A5-100E01A68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22711</xdr:colOff>
      <xdr:row>14</xdr:row>
      <xdr:rowOff>3885</xdr:rowOff>
    </xdr:from>
    <xdr:to>
      <xdr:col>4</xdr:col>
      <xdr:colOff>2555091</xdr:colOff>
      <xdr:row>14</xdr:row>
      <xdr:rowOff>2871545</xdr:rowOff>
    </xdr:to>
    <xdr:graphicFrame macro="">
      <xdr:nvGraphicFramePr>
        <xdr:cNvPr id="56" name="Gr2_T3_N_0">
          <a:extLst>
            <a:ext uri="{FF2B5EF4-FFF2-40B4-BE49-F238E27FC236}">
              <a16:creationId xmlns:a16="http://schemas.microsoft.com/office/drawing/2014/main" id="{A223E4F1-B5B1-4DA7-BBA9-630089DDA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23607</xdr:colOff>
      <xdr:row>14</xdr:row>
      <xdr:rowOff>2914725</xdr:rowOff>
    </xdr:from>
    <xdr:to>
      <xdr:col>2</xdr:col>
      <xdr:colOff>3592307</xdr:colOff>
      <xdr:row>15</xdr:row>
      <xdr:rowOff>2867511</xdr:rowOff>
    </xdr:to>
    <xdr:graphicFrame macro="">
      <xdr:nvGraphicFramePr>
        <xdr:cNvPr id="49" name="Gr2_T4_N_2">
          <a:extLst>
            <a:ext uri="{FF2B5EF4-FFF2-40B4-BE49-F238E27FC236}">
              <a16:creationId xmlns:a16="http://schemas.microsoft.com/office/drawing/2014/main" id="{BC472C50-72F7-4D86-8B3F-801FCA736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21366</xdr:colOff>
      <xdr:row>14</xdr:row>
      <xdr:rowOff>2914725</xdr:rowOff>
    </xdr:from>
    <xdr:to>
      <xdr:col>3</xdr:col>
      <xdr:colOff>2553746</xdr:colOff>
      <xdr:row>15</xdr:row>
      <xdr:rowOff>2867511</xdr:rowOff>
    </xdr:to>
    <xdr:graphicFrame macro="">
      <xdr:nvGraphicFramePr>
        <xdr:cNvPr id="53" name="Gr2_T4_N_1">
          <a:extLst>
            <a:ext uri="{FF2B5EF4-FFF2-40B4-BE49-F238E27FC236}">
              <a16:creationId xmlns:a16="http://schemas.microsoft.com/office/drawing/2014/main" id="{F99E9EBE-0B34-4CB3-B0EA-87CC40114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22711</xdr:colOff>
      <xdr:row>14</xdr:row>
      <xdr:rowOff>2914725</xdr:rowOff>
    </xdr:from>
    <xdr:to>
      <xdr:col>4</xdr:col>
      <xdr:colOff>2555091</xdr:colOff>
      <xdr:row>15</xdr:row>
      <xdr:rowOff>2867511</xdr:rowOff>
    </xdr:to>
    <xdr:graphicFrame macro="">
      <xdr:nvGraphicFramePr>
        <xdr:cNvPr id="57" name="Gr2_T4_N_0">
          <a:extLst>
            <a:ext uri="{FF2B5EF4-FFF2-40B4-BE49-F238E27FC236}">
              <a16:creationId xmlns:a16="http://schemas.microsoft.com/office/drawing/2014/main" id="{FB05E4EA-02C8-4617-A21A-88AF84F253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43654</xdr:colOff>
      <xdr:row>27</xdr:row>
      <xdr:rowOff>104775</xdr:rowOff>
    </xdr:from>
    <xdr:to>
      <xdr:col>5</xdr:col>
      <xdr:colOff>23811</xdr:colOff>
      <xdr:row>43</xdr:row>
      <xdr:rowOff>746125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9DD7F65-8B6B-4504-BC1D-F6B69B153D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23283</xdr:colOff>
      <xdr:row>50</xdr:row>
      <xdr:rowOff>29635</xdr:rowOff>
    </xdr:from>
    <xdr:to>
      <xdr:col>4</xdr:col>
      <xdr:colOff>2561167</xdr:colOff>
      <xdr:row>50</xdr:row>
      <xdr:rowOff>2899835</xdr:rowOff>
    </xdr:to>
    <xdr:graphicFrame macro="">
      <xdr:nvGraphicFramePr>
        <xdr:cNvPr id="66" name="Gr_ParMarque_T1">
          <a:extLst>
            <a:ext uri="{FF2B5EF4-FFF2-40B4-BE49-F238E27FC236}">
              <a16:creationId xmlns:a16="http://schemas.microsoft.com/office/drawing/2014/main" id="{78384500-159B-4D3E-AEC4-3FC9CA606C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21166</xdr:colOff>
      <xdr:row>51</xdr:row>
      <xdr:rowOff>21169</xdr:rowOff>
    </xdr:from>
    <xdr:to>
      <xdr:col>4</xdr:col>
      <xdr:colOff>2602854</xdr:colOff>
      <xdr:row>51</xdr:row>
      <xdr:rowOff>2901169</xdr:rowOff>
    </xdr:to>
    <xdr:graphicFrame macro="">
      <xdr:nvGraphicFramePr>
        <xdr:cNvPr id="67" name="Graphique 66">
          <a:extLst>
            <a:ext uri="{FF2B5EF4-FFF2-40B4-BE49-F238E27FC236}">
              <a16:creationId xmlns:a16="http://schemas.microsoft.com/office/drawing/2014/main" id="{C9720D23-9CC8-498C-937E-148E03323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23814</xdr:colOff>
      <xdr:row>52</xdr:row>
      <xdr:rowOff>29104</xdr:rowOff>
    </xdr:from>
    <xdr:to>
      <xdr:col>4</xdr:col>
      <xdr:colOff>2605502</xdr:colOff>
      <xdr:row>52</xdr:row>
      <xdr:rowOff>2909104</xdr:rowOff>
    </xdr:to>
    <xdr:graphicFrame macro="">
      <xdr:nvGraphicFramePr>
        <xdr:cNvPr id="68" name="Graphique 67">
          <a:extLst>
            <a:ext uri="{FF2B5EF4-FFF2-40B4-BE49-F238E27FC236}">
              <a16:creationId xmlns:a16="http://schemas.microsoft.com/office/drawing/2014/main" id="{A264C599-199D-42FA-AF6C-2A771BA957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26459</xdr:colOff>
      <xdr:row>53</xdr:row>
      <xdr:rowOff>26459</xdr:rowOff>
    </xdr:from>
    <xdr:to>
      <xdr:col>4</xdr:col>
      <xdr:colOff>2608147</xdr:colOff>
      <xdr:row>53</xdr:row>
      <xdr:rowOff>2906459</xdr:rowOff>
    </xdr:to>
    <xdr:graphicFrame macro="">
      <xdr:nvGraphicFramePr>
        <xdr:cNvPr id="69" name="Graphique 68">
          <a:extLst>
            <a:ext uri="{FF2B5EF4-FFF2-40B4-BE49-F238E27FC236}">
              <a16:creationId xmlns:a16="http://schemas.microsoft.com/office/drawing/2014/main" id="{4B93E7B1-BA29-4836-BB21-BB1DA31655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87312</xdr:colOff>
      <xdr:row>46</xdr:row>
      <xdr:rowOff>7940</xdr:rowOff>
    </xdr:from>
    <xdr:to>
      <xdr:col>5</xdr:col>
      <xdr:colOff>67469</xdr:colOff>
      <xdr:row>46</xdr:row>
      <xdr:rowOff>3111502</xdr:rowOff>
    </xdr:to>
    <xdr:graphicFrame macro="">
      <xdr:nvGraphicFramePr>
        <xdr:cNvPr id="12" name="Gr_Annuel_CA">
          <a:extLst>
            <a:ext uri="{FF2B5EF4-FFF2-40B4-BE49-F238E27FC236}">
              <a16:creationId xmlns:a16="http://schemas.microsoft.com/office/drawing/2014/main" id="{47B48594-937C-4482-A59B-F15E1F31A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</xdr:col>
      <xdr:colOff>182562</xdr:colOff>
      <xdr:row>1</xdr:row>
      <xdr:rowOff>105844</xdr:rowOff>
    </xdr:from>
    <xdr:to>
      <xdr:col>8</xdr:col>
      <xdr:colOff>6878</xdr:colOff>
      <xdr:row>3</xdr:row>
      <xdr:rowOff>66333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3E7E603B-F13F-4620-BA1A-E41D67458876}"/>
            </a:ext>
          </a:extLst>
        </xdr:cNvPr>
        <xdr:cNvGrpSpPr/>
      </xdr:nvGrpSpPr>
      <xdr:grpSpPr>
        <a:xfrm>
          <a:off x="9792727" y="105844"/>
          <a:ext cx="1402104" cy="408724"/>
          <a:chOff x="9950979" y="444508"/>
          <a:chExt cx="1348316" cy="404989"/>
        </a:xfrm>
      </xdr:grpSpPr>
      <xdr:sp macro="[0]!BtnUpdateGraphics" textlink="">
        <xdr:nvSpPr>
          <xdr:cNvPr id="39" name="Rectangle : coins arrondis 38">
            <a:extLst>
              <a:ext uri="{FF2B5EF4-FFF2-40B4-BE49-F238E27FC236}">
                <a16:creationId xmlns:a16="http://schemas.microsoft.com/office/drawing/2014/main" id="{F98640B7-4D2F-417B-9149-4CA7EB8D6E79}"/>
              </a:ext>
            </a:extLst>
          </xdr:cNvPr>
          <xdr:cNvSpPr/>
        </xdr:nvSpPr>
        <xdr:spPr>
          <a:xfrm>
            <a:off x="9950979" y="444508"/>
            <a:ext cx="1348316" cy="40498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Actualiser</a:t>
            </a:r>
          </a:p>
        </xdr:txBody>
      </xdr:sp>
      <xdr:pic macro="[0]!BtnUpdateGraphics">
        <xdr:nvPicPr>
          <xdr:cNvPr id="40" name="Image 39">
            <a:extLst>
              <a:ext uri="{FF2B5EF4-FFF2-40B4-BE49-F238E27FC236}">
                <a16:creationId xmlns:a16="http://schemas.microsoft.com/office/drawing/2014/main" id="{0941ACFA-37BB-4D78-B12E-178263F511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2"/>
              </a:ext>
            </a:extLst>
          </a:blip>
          <a:stretch>
            <a:fillRect/>
          </a:stretch>
        </xdr:blipFill>
        <xdr:spPr>
          <a:xfrm>
            <a:off x="10006542" y="476258"/>
            <a:ext cx="329960" cy="33950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190500</xdr:colOff>
      <xdr:row>3</xdr:row>
      <xdr:rowOff>201090</xdr:rowOff>
    </xdr:from>
    <xdr:to>
      <xdr:col>8</xdr:col>
      <xdr:colOff>14816</xdr:colOff>
      <xdr:row>4</xdr:row>
      <xdr:rowOff>352079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7EA8F71-D24F-4937-A083-EB1895720D5C}"/>
            </a:ext>
          </a:extLst>
        </xdr:cNvPr>
        <xdr:cNvGrpSpPr/>
      </xdr:nvGrpSpPr>
      <xdr:grpSpPr>
        <a:xfrm>
          <a:off x="9800665" y="649325"/>
          <a:ext cx="1402104" cy="402001"/>
          <a:chOff x="9958917" y="984254"/>
          <a:chExt cx="1348316" cy="404989"/>
        </a:xfrm>
      </xdr:grpSpPr>
      <xdr:sp macro="[0]!BtnImprimerPDF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68A422D3-F9AA-4350-B5A0-AE9D22A7D38C}"/>
              </a:ext>
            </a:extLst>
          </xdr:cNvPr>
          <xdr:cNvSpPr/>
        </xdr:nvSpPr>
        <xdr:spPr>
          <a:xfrm>
            <a:off x="9958917" y="984254"/>
            <a:ext cx="1348316" cy="40498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Imprimer</a:t>
            </a:r>
          </a:p>
        </xdr:txBody>
      </xdr:sp>
      <xdr:pic macro="[0]!BtnImprimerPDF">
        <xdr:nvPicPr>
          <xdr:cNvPr id="42" name="Image 41">
            <a:extLst>
              <a:ext uri="{FF2B5EF4-FFF2-40B4-BE49-F238E27FC236}">
                <a16:creationId xmlns:a16="http://schemas.microsoft.com/office/drawing/2014/main" id="{91364632-BEB3-4C17-ADC5-D65D4168E7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65614" y="1047753"/>
            <a:ext cx="218740" cy="2825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5</xdr:row>
      <xdr:rowOff>25400</xdr:rowOff>
    </xdr:from>
    <xdr:to>
      <xdr:col>2</xdr:col>
      <xdr:colOff>8387080</xdr:colOff>
      <xdr:row>5</xdr:row>
      <xdr:rowOff>2893060</xdr:rowOff>
    </xdr:to>
    <xdr:graphicFrame macro="">
      <xdr:nvGraphicFramePr>
        <xdr:cNvPr id="3" name="Gr_Neg_T1">
          <a:extLst>
            <a:ext uri="{FF2B5EF4-FFF2-40B4-BE49-F238E27FC236}">
              <a16:creationId xmlns:a16="http://schemas.microsoft.com/office/drawing/2014/main" id="{089EBA60-5119-4FBA-A24A-E766A2D32C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25400</xdr:colOff>
      <xdr:row>6</xdr:row>
      <xdr:rowOff>25400</xdr:rowOff>
    </xdr:from>
    <xdr:to>
      <xdr:col>2</xdr:col>
      <xdr:colOff>8387080</xdr:colOff>
      <xdr:row>6</xdr:row>
      <xdr:rowOff>2893060</xdr:rowOff>
    </xdr:to>
    <xdr:graphicFrame macro="">
      <xdr:nvGraphicFramePr>
        <xdr:cNvPr id="4" name="Gr_Neg_T2">
          <a:extLst>
            <a:ext uri="{FF2B5EF4-FFF2-40B4-BE49-F238E27FC236}">
              <a16:creationId xmlns:a16="http://schemas.microsoft.com/office/drawing/2014/main" id="{DA451280-D66E-40B0-A83B-20C30E2F0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25400</xdr:colOff>
      <xdr:row>7</xdr:row>
      <xdr:rowOff>25400</xdr:rowOff>
    </xdr:from>
    <xdr:to>
      <xdr:col>2</xdr:col>
      <xdr:colOff>8387080</xdr:colOff>
      <xdr:row>7</xdr:row>
      <xdr:rowOff>2893060</xdr:rowOff>
    </xdr:to>
    <xdr:graphicFrame macro="">
      <xdr:nvGraphicFramePr>
        <xdr:cNvPr id="5" name="Gr_Neg_T3">
          <a:extLst>
            <a:ext uri="{FF2B5EF4-FFF2-40B4-BE49-F238E27FC236}">
              <a16:creationId xmlns:a16="http://schemas.microsoft.com/office/drawing/2014/main" id="{712429B8-E48D-400B-A5C9-5EFC394A1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25400</xdr:colOff>
      <xdr:row>8</xdr:row>
      <xdr:rowOff>25400</xdr:rowOff>
    </xdr:from>
    <xdr:to>
      <xdr:col>2</xdr:col>
      <xdr:colOff>8387080</xdr:colOff>
      <xdr:row>8</xdr:row>
      <xdr:rowOff>2893060</xdr:rowOff>
    </xdr:to>
    <xdr:graphicFrame macro="">
      <xdr:nvGraphicFramePr>
        <xdr:cNvPr id="6" name="Gr_Neg_T4">
          <a:extLst>
            <a:ext uri="{FF2B5EF4-FFF2-40B4-BE49-F238E27FC236}">
              <a16:creationId xmlns:a16="http://schemas.microsoft.com/office/drawing/2014/main" id="{EDB697C6-9E7C-46E2-968C-9D15A69A1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90714</xdr:colOff>
      <xdr:row>12</xdr:row>
      <xdr:rowOff>172357</xdr:rowOff>
    </xdr:from>
    <xdr:to>
      <xdr:col>2</xdr:col>
      <xdr:colOff>8519584</xdr:colOff>
      <xdr:row>28</xdr:row>
      <xdr:rowOff>74385</xdr:rowOff>
    </xdr:to>
    <xdr:graphicFrame macro="">
      <xdr:nvGraphicFramePr>
        <xdr:cNvPr id="2" name="Gr_CA_Negoce">
          <a:extLst>
            <a:ext uri="{FF2B5EF4-FFF2-40B4-BE49-F238E27FC236}">
              <a16:creationId xmlns:a16="http://schemas.microsoft.com/office/drawing/2014/main" id="{E7A6298A-0E85-4DDB-A95F-4348FE308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18627</xdr:colOff>
      <xdr:row>5</xdr:row>
      <xdr:rowOff>13547</xdr:rowOff>
    </xdr:from>
    <xdr:to>
      <xdr:col>2</xdr:col>
      <xdr:colOff>9180407</xdr:colOff>
      <xdr:row>5</xdr:row>
      <xdr:rowOff>2881207</xdr:rowOff>
    </xdr:to>
    <xdr:graphicFrame macro="">
      <xdr:nvGraphicFramePr>
        <xdr:cNvPr id="4" name="Gr_TOT_T1">
          <a:extLst>
            <a:ext uri="{FF2B5EF4-FFF2-40B4-BE49-F238E27FC236}">
              <a16:creationId xmlns:a16="http://schemas.microsoft.com/office/drawing/2014/main" id="{5DB988C7-C4AD-4133-9D4F-6A6DE305D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18627</xdr:colOff>
      <xdr:row>6</xdr:row>
      <xdr:rowOff>11007</xdr:rowOff>
    </xdr:from>
    <xdr:to>
      <xdr:col>2</xdr:col>
      <xdr:colOff>9180407</xdr:colOff>
      <xdr:row>6</xdr:row>
      <xdr:rowOff>2878667</xdr:rowOff>
    </xdr:to>
    <xdr:graphicFrame macro="">
      <xdr:nvGraphicFramePr>
        <xdr:cNvPr id="5" name="Gr_TOT_T2">
          <a:extLst>
            <a:ext uri="{FF2B5EF4-FFF2-40B4-BE49-F238E27FC236}">
              <a16:creationId xmlns:a16="http://schemas.microsoft.com/office/drawing/2014/main" id="{E54F3ED0-5550-4EA5-A41F-A368BBDBE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18627</xdr:colOff>
      <xdr:row>7</xdr:row>
      <xdr:rowOff>8467</xdr:rowOff>
    </xdr:from>
    <xdr:to>
      <xdr:col>2</xdr:col>
      <xdr:colOff>9180407</xdr:colOff>
      <xdr:row>7</xdr:row>
      <xdr:rowOff>2876127</xdr:rowOff>
    </xdr:to>
    <xdr:graphicFrame macro="">
      <xdr:nvGraphicFramePr>
        <xdr:cNvPr id="6" name="Gr_TOT_T3">
          <a:extLst>
            <a:ext uri="{FF2B5EF4-FFF2-40B4-BE49-F238E27FC236}">
              <a16:creationId xmlns:a16="http://schemas.microsoft.com/office/drawing/2014/main" id="{D82292A4-D788-46AB-85ED-4A5A1CA40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18627</xdr:colOff>
      <xdr:row>8</xdr:row>
      <xdr:rowOff>5927</xdr:rowOff>
    </xdr:from>
    <xdr:to>
      <xdr:col>2</xdr:col>
      <xdr:colOff>9180407</xdr:colOff>
      <xdr:row>8</xdr:row>
      <xdr:rowOff>2873587</xdr:rowOff>
    </xdr:to>
    <xdr:graphicFrame macro="">
      <xdr:nvGraphicFramePr>
        <xdr:cNvPr id="10" name="Gr_TOT_T4">
          <a:extLst>
            <a:ext uri="{FF2B5EF4-FFF2-40B4-BE49-F238E27FC236}">
              <a16:creationId xmlns:a16="http://schemas.microsoft.com/office/drawing/2014/main" id="{56A90DB0-FA34-4001-BDC6-B91AC16EB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49892</xdr:colOff>
      <xdr:row>13</xdr:row>
      <xdr:rowOff>16328</xdr:rowOff>
    </xdr:from>
    <xdr:to>
      <xdr:col>3</xdr:col>
      <xdr:colOff>0</xdr:colOff>
      <xdr:row>28</xdr:row>
      <xdr:rowOff>38100</xdr:rowOff>
    </xdr:to>
    <xdr:graphicFrame macro="">
      <xdr:nvGraphicFramePr>
        <xdr:cNvPr id="3" name="Gr_CA_Global">
          <a:extLst>
            <a:ext uri="{FF2B5EF4-FFF2-40B4-BE49-F238E27FC236}">
              <a16:creationId xmlns:a16="http://schemas.microsoft.com/office/drawing/2014/main" id="{80D50D5C-D48E-4675-9279-357EC7445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Home">
    <tabColor theme="1"/>
  </sheetPr>
  <dimension ref="C2:N29"/>
  <sheetViews>
    <sheetView showGridLines="0" showRowColHeaders="0" zoomScale="80" zoomScaleNormal="80" workbookViewId="0">
      <selection activeCell="M15" sqref="M15"/>
    </sheetView>
  </sheetViews>
  <sheetFormatPr baseColWidth="10" defaultColWidth="8.77734375" defaultRowHeight="14.4" x14ac:dyDescent="0.3"/>
  <cols>
    <col min="7" max="7" width="0.77734375" customWidth="1"/>
    <col min="11" max="11" width="9.88671875" customWidth="1"/>
    <col min="12" max="12" width="0.77734375" customWidth="1"/>
  </cols>
  <sheetData>
    <row r="2" spans="3:14" x14ac:dyDescent="0.3">
      <c r="N2" s="32" t="str">
        <f>IF(RngCnx=1,"Connecté","Non connecté")</f>
        <v>Connecté</v>
      </c>
    </row>
    <row r="8" spans="3:14" x14ac:dyDescent="0.3">
      <c r="G8" s="1"/>
    </row>
    <row r="9" spans="3:14" x14ac:dyDescent="0.3">
      <c r="G9" s="1"/>
    </row>
    <row r="10" spans="3:14" x14ac:dyDescent="0.3">
      <c r="G10" s="1"/>
    </row>
    <row r="11" spans="3:14" x14ac:dyDescent="0.3">
      <c r="G11" s="1"/>
    </row>
    <row r="12" spans="3:14" x14ac:dyDescent="0.3">
      <c r="G12" s="1"/>
    </row>
    <row r="13" spans="3:14" x14ac:dyDescent="0.3">
      <c r="G13" s="1"/>
    </row>
    <row r="14" spans="3:14" x14ac:dyDescent="0.3">
      <c r="G14" s="1"/>
    </row>
    <row r="15" spans="3:14" x14ac:dyDescent="0.3">
      <c r="G15" s="1"/>
    </row>
    <row r="16" spans="3:14" ht="3" customHeight="1" x14ac:dyDescent="0.3">
      <c r="C16" s="1"/>
      <c r="D16" s="1"/>
      <c r="E16" s="1"/>
      <c r="F16" s="1"/>
      <c r="G16" s="1"/>
      <c r="H16" s="1"/>
      <c r="I16" s="1"/>
      <c r="J16" s="1"/>
      <c r="K16" s="1"/>
    </row>
    <row r="17" spans="3:9" x14ac:dyDescent="0.3">
      <c r="G17" s="1"/>
    </row>
    <row r="18" spans="3:9" x14ac:dyDescent="0.3">
      <c r="G18" s="1"/>
    </row>
    <row r="19" spans="3:9" x14ac:dyDescent="0.3">
      <c r="G19" s="1"/>
    </row>
    <row r="20" spans="3:9" x14ac:dyDescent="0.3">
      <c r="G20" s="1"/>
    </row>
    <row r="21" spans="3:9" x14ac:dyDescent="0.3">
      <c r="G21" s="1"/>
    </row>
    <row r="22" spans="3:9" x14ac:dyDescent="0.3">
      <c r="G22" s="1"/>
    </row>
    <row r="23" spans="3:9" x14ac:dyDescent="0.3">
      <c r="G23" s="1"/>
    </row>
    <row r="24" spans="3:9" x14ac:dyDescent="0.3">
      <c r="G24" s="1"/>
    </row>
    <row r="25" spans="3:9" x14ac:dyDescent="0.3">
      <c r="G25" s="1"/>
    </row>
    <row r="29" spans="3:9" x14ac:dyDescent="0.3">
      <c r="C29" s="136" t="s">
        <v>1261</v>
      </c>
      <c r="I29" t="s">
        <v>1803</v>
      </c>
    </row>
  </sheetData>
  <conditionalFormatting sqref="N2">
    <cfRule type="expression" dxfId="8" priority="1">
      <formula>($N$2="Connecté")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E3E34-7A8E-4254-9294-084C7F0EC3D7}">
  <sheetPr codeName="F_Admin">
    <tabColor rgb="FFFFFF00"/>
  </sheetPr>
  <dimension ref="A1:U113"/>
  <sheetViews>
    <sheetView showGridLines="0" zoomScale="80" zoomScaleNormal="80" workbookViewId="0">
      <selection activeCell="E8" sqref="E8"/>
    </sheetView>
  </sheetViews>
  <sheetFormatPr baseColWidth="10" defaultRowHeight="14.4" x14ac:dyDescent="0.3"/>
  <cols>
    <col min="1" max="1" width="3.6640625" customWidth="1"/>
    <col min="2" max="2" width="24.33203125" customWidth="1"/>
    <col min="3" max="3" width="27.33203125" customWidth="1"/>
    <col min="4" max="4" width="25.77734375" customWidth="1"/>
    <col min="5" max="5" width="37.109375" customWidth="1"/>
    <col min="6" max="6" width="21.6640625" customWidth="1"/>
    <col min="7" max="7" width="44.21875" customWidth="1"/>
    <col min="8" max="8" width="19.77734375" customWidth="1"/>
    <col min="9" max="9" width="21.77734375" customWidth="1"/>
    <col min="10" max="10" width="27.77734375" customWidth="1"/>
    <col min="11" max="11" width="57.6640625" bestFit="1" customWidth="1"/>
    <col min="12" max="12" width="26.33203125" customWidth="1"/>
    <col min="13" max="13" width="21.77734375" customWidth="1"/>
    <col min="14" max="14" width="19.109375" customWidth="1"/>
    <col min="15" max="15" width="21.77734375" customWidth="1"/>
  </cols>
  <sheetData>
    <row r="1" spans="1:15" s="2" customFormat="1" ht="23.4" x14ac:dyDescent="0.45">
      <c r="B1" s="3" t="s">
        <v>0</v>
      </c>
      <c r="C1" s="4"/>
      <c r="D1" s="4"/>
      <c r="E1" s="4"/>
      <c r="F1" s="4"/>
      <c r="G1" s="4"/>
      <c r="H1" s="4"/>
      <c r="I1" s="4"/>
    </row>
    <row r="4" spans="1:15" ht="15" thickBot="1" x14ac:dyDescent="0.35">
      <c r="A4" s="5">
        <v>0</v>
      </c>
      <c r="B4" s="6" t="s">
        <v>888</v>
      </c>
      <c r="C4" s="7"/>
      <c r="D4" s="7"/>
      <c r="E4" s="7"/>
      <c r="F4" s="7"/>
      <c r="G4" s="7"/>
      <c r="H4" s="7"/>
      <c r="I4" s="7"/>
      <c r="J4" s="8"/>
      <c r="K4" s="8"/>
      <c r="L4" s="8"/>
      <c r="M4" s="8"/>
    </row>
    <row r="5" spans="1:15" ht="53.55" customHeight="1" x14ac:dyDescent="0.3">
      <c r="C5" t="s">
        <v>1403</v>
      </c>
    </row>
    <row r="6" spans="1:15" ht="39.6" customHeight="1" x14ac:dyDescent="0.3">
      <c r="B6" s="169" t="s">
        <v>1819</v>
      </c>
      <c r="C6" s="170"/>
      <c r="D6" s="170"/>
      <c r="E6" s="170"/>
      <c r="F6" s="170"/>
      <c r="G6" s="170"/>
      <c r="H6" s="170"/>
      <c r="I6" s="170"/>
      <c r="J6" s="171"/>
    </row>
    <row r="8" spans="1:15" x14ac:dyDescent="0.3">
      <c r="B8" t="s">
        <v>1818</v>
      </c>
    </row>
    <row r="9" spans="1:15" ht="15" thickBot="1" x14ac:dyDescent="0.35">
      <c r="A9" s="5">
        <v>1</v>
      </c>
      <c r="B9" s="6" t="s">
        <v>1</v>
      </c>
      <c r="C9" s="7"/>
      <c r="D9" s="7"/>
      <c r="E9" s="7"/>
      <c r="F9" s="7"/>
      <c r="G9" s="7"/>
      <c r="H9" s="7"/>
      <c r="I9" s="7"/>
      <c r="J9" s="8"/>
      <c r="K9" s="8"/>
      <c r="L9" s="8"/>
      <c r="M9" s="8"/>
    </row>
    <row r="11" spans="1:15" s="9" customFormat="1" ht="29.55" customHeight="1" x14ac:dyDescent="0.3">
      <c r="B11" s="10" t="s">
        <v>2</v>
      </c>
      <c r="C11" s="10" t="s">
        <v>3</v>
      </c>
      <c r="D11" s="10" t="s">
        <v>4</v>
      </c>
      <c r="E11" s="10" t="s">
        <v>5</v>
      </c>
      <c r="F11" s="10" t="s">
        <v>6</v>
      </c>
      <c r="G11" s="10" t="s">
        <v>7</v>
      </c>
      <c r="H11" s="10" t="s">
        <v>8</v>
      </c>
      <c r="I11" s="10" t="s">
        <v>9</v>
      </c>
      <c r="J11" s="10" t="s">
        <v>10</v>
      </c>
      <c r="K11" s="10" t="s">
        <v>11</v>
      </c>
      <c r="L11" s="10" t="s">
        <v>12</v>
      </c>
      <c r="M11" s="10" t="s">
        <v>13</v>
      </c>
      <c r="N11" s="10" t="s">
        <v>90</v>
      </c>
      <c r="O11" s="10" t="s">
        <v>91</v>
      </c>
    </row>
    <row r="12" spans="1:15" x14ac:dyDescent="0.3">
      <c r="B12" s="11">
        <v>1</v>
      </c>
      <c r="C12" s="123" t="s">
        <v>92</v>
      </c>
      <c r="D12" s="11" t="s">
        <v>103</v>
      </c>
      <c r="E12" s="11" t="s">
        <v>104</v>
      </c>
      <c r="F12" s="11" t="s">
        <v>14</v>
      </c>
      <c r="G12" s="11" t="s">
        <v>93</v>
      </c>
      <c r="H12" s="11" t="s">
        <v>223</v>
      </c>
      <c r="I12" s="11">
        <v>1</v>
      </c>
      <c r="J12" s="11" t="s">
        <v>16</v>
      </c>
      <c r="K12" s="11"/>
      <c r="L12" s="11"/>
      <c r="M12" s="11"/>
      <c r="N12" s="11"/>
      <c r="O12" s="11"/>
    </row>
    <row r="13" spans="1:15" x14ac:dyDescent="0.3">
      <c r="B13" s="11">
        <v>2</v>
      </c>
      <c r="C13" s="123" t="s">
        <v>92</v>
      </c>
      <c r="D13" s="11" t="s">
        <v>103</v>
      </c>
      <c r="E13" s="11" t="s">
        <v>105</v>
      </c>
      <c r="F13" s="11" t="s">
        <v>14</v>
      </c>
      <c r="G13" s="11" t="s">
        <v>154</v>
      </c>
      <c r="H13" s="11" t="s">
        <v>223</v>
      </c>
      <c r="I13" s="11">
        <v>2</v>
      </c>
      <c r="J13" s="11" t="s">
        <v>16</v>
      </c>
      <c r="K13" s="11" t="s">
        <v>115</v>
      </c>
      <c r="L13" s="11"/>
      <c r="M13" s="11"/>
      <c r="N13" s="11" t="s">
        <v>16</v>
      </c>
      <c r="O13" s="11">
        <v>14</v>
      </c>
    </row>
    <row r="14" spans="1:15" x14ac:dyDescent="0.3">
      <c r="B14" s="11">
        <v>3</v>
      </c>
      <c r="C14" s="123" t="s">
        <v>92</v>
      </c>
      <c r="D14" s="11" t="s">
        <v>103</v>
      </c>
      <c r="E14" s="11" t="s">
        <v>106</v>
      </c>
      <c r="F14" s="11" t="s">
        <v>17</v>
      </c>
      <c r="G14" s="11" t="s">
        <v>94</v>
      </c>
      <c r="H14" s="11" t="s">
        <v>223</v>
      </c>
      <c r="I14" s="11">
        <v>3</v>
      </c>
      <c r="J14" s="11" t="s">
        <v>16</v>
      </c>
      <c r="K14" s="11" t="s">
        <v>116</v>
      </c>
      <c r="L14" s="11"/>
      <c r="M14" s="11"/>
      <c r="N14" s="11"/>
      <c r="O14" s="11"/>
    </row>
    <row r="15" spans="1:15" x14ac:dyDescent="0.3">
      <c r="B15" s="11">
        <v>4</v>
      </c>
      <c r="C15" s="123" t="s">
        <v>92</v>
      </c>
      <c r="D15" s="11" t="s">
        <v>103</v>
      </c>
      <c r="E15" s="11" t="s">
        <v>107</v>
      </c>
      <c r="F15" s="11" t="s">
        <v>14</v>
      </c>
      <c r="G15" s="11" t="s">
        <v>95</v>
      </c>
      <c r="H15" s="11" t="s">
        <v>223</v>
      </c>
      <c r="I15" s="11">
        <v>4</v>
      </c>
      <c r="J15" s="11" t="s">
        <v>16</v>
      </c>
      <c r="K15" s="11" t="s">
        <v>118</v>
      </c>
      <c r="L15" s="11"/>
      <c r="M15" s="11"/>
      <c r="N15" s="11"/>
      <c r="O15" s="11"/>
    </row>
    <row r="16" spans="1:15" x14ac:dyDescent="0.3">
      <c r="B16" s="11">
        <v>5</v>
      </c>
      <c r="C16" s="123" t="s">
        <v>92</v>
      </c>
      <c r="D16" s="11" t="s">
        <v>103</v>
      </c>
      <c r="E16" s="11" t="s">
        <v>108</v>
      </c>
      <c r="F16" s="11" t="s">
        <v>14</v>
      </c>
      <c r="G16" s="11" t="s">
        <v>96</v>
      </c>
      <c r="H16" s="11" t="s">
        <v>223</v>
      </c>
      <c r="I16" s="11">
        <v>5</v>
      </c>
      <c r="J16" s="11"/>
      <c r="K16" s="11"/>
      <c r="L16" s="11"/>
      <c r="M16" s="11"/>
      <c r="N16" s="11"/>
      <c r="O16" s="11"/>
    </row>
    <row r="17" spans="2:15" x14ac:dyDescent="0.3">
      <c r="B17" s="11">
        <v>6</v>
      </c>
      <c r="C17" s="123" t="s">
        <v>92</v>
      </c>
      <c r="D17" s="11" t="s">
        <v>103</v>
      </c>
      <c r="E17" s="11" t="s">
        <v>109</v>
      </c>
      <c r="F17" s="11" t="s">
        <v>17</v>
      </c>
      <c r="G17" s="11" t="s">
        <v>97</v>
      </c>
      <c r="H17" s="11" t="s">
        <v>223</v>
      </c>
      <c r="I17" s="11">
        <v>6</v>
      </c>
      <c r="J17" s="11" t="s">
        <v>16</v>
      </c>
      <c r="K17" s="11" t="s">
        <v>117</v>
      </c>
      <c r="L17" s="11" t="s">
        <v>125</v>
      </c>
      <c r="M17" s="11"/>
      <c r="N17" s="11"/>
      <c r="O17" s="11"/>
    </row>
    <row r="18" spans="2:15" x14ac:dyDescent="0.3">
      <c r="B18" s="11">
        <v>7</v>
      </c>
      <c r="C18" s="123" t="s">
        <v>92</v>
      </c>
      <c r="D18" s="11" t="s">
        <v>103</v>
      </c>
      <c r="E18" s="11" t="s">
        <v>110</v>
      </c>
      <c r="F18" s="11" t="s">
        <v>17</v>
      </c>
      <c r="G18" s="11" t="s">
        <v>98</v>
      </c>
      <c r="H18" s="11" t="s">
        <v>223</v>
      </c>
      <c r="I18" s="11">
        <v>7</v>
      </c>
      <c r="J18" s="11"/>
      <c r="K18" s="11" t="s">
        <v>119</v>
      </c>
      <c r="L18" s="11" t="s">
        <v>126</v>
      </c>
      <c r="M18" s="11"/>
      <c r="N18" s="11"/>
      <c r="O18" s="11"/>
    </row>
    <row r="19" spans="2:15" x14ac:dyDescent="0.3">
      <c r="B19" s="11">
        <v>8</v>
      </c>
      <c r="C19" s="123" t="s">
        <v>92</v>
      </c>
      <c r="D19" s="11" t="s">
        <v>103</v>
      </c>
      <c r="E19" s="11" t="s">
        <v>111</v>
      </c>
      <c r="F19" s="11" t="s">
        <v>17</v>
      </c>
      <c r="G19" s="11" t="s">
        <v>99</v>
      </c>
      <c r="H19" s="11" t="s">
        <v>223</v>
      </c>
      <c r="I19" s="11">
        <v>8</v>
      </c>
      <c r="J19" s="11" t="s">
        <v>16</v>
      </c>
      <c r="K19" s="11" t="s">
        <v>120</v>
      </c>
      <c r="L19" s="11" t="s">
        <v>195</v>
      </c>
      <c r="M19" s="11"/>
      <c r="N19" s="11"/>
      <c r="O19" s="11"/>
    </row>
    <row r="20" spans="2:15" x14ac:dyDescent="0.3">
      <c r="B20" s="11">
        <v>9</v>
      </c>
      <c r="C20" s="123" t="s">
        <v>92</v>
      </c>
      <c r="D20" s="11" t="s">
        <v>103</v>
      </c>
      <c r="E20" s="11" t="s">
        <v>112</v>
      </c>
      <c r="F20" s="11" t="s">
        <v>14</v>
      </c>
      <c r="G20" s="11" t="s">
        <v>100</v>
      </c>
      <c r="H20" s="11" t="s">
        <v>223</v>
      </c>
      <c r="I20" s="11">
        <v>9</v>
      </c>
      <c r="J20" s="11" t="s">
        <v>16</v>
      </c>
      <c r="K20" s="11" t="s">
        <v>121</v>
      </c>
      <c r="L20" s="11"/>
      <c r="M20" s="11"/>
      <c r="N20" s="11"/>
      <c r="O20" s="11"/>
    </row>
    <row r="21" spans="2:15" x14ac:dyDescent="0.3">
      <c r="B21" s="11">
        <v>10</v>
      </c>
      <c r="C21" s="123" t="s">
        <v>92</v>
      </c>
      <c r="D21" s="11" t="s">
        <v>103</v>
      </c>
      <c r="E21" s="11" t="s">
        <v>113</v>
      </c>
      <c r="F21" s="11" t="s">
        <v>14</v>
      </c>
      <c r="G21" s="11" t="s">
        <v>101</v>
      </c>
      <c r="H21" s="11" t="s">
        <v>223</v>
      </c>
      <c r="I21" s="11">
        <v>10</v>
      </c>
      <c r="J21" s="11"/>
      <c r="K21" s="11"/>
      <c r="L21" s="11"/>
      <c r="M21" s="11"/>
      <c r="N21" s="11"/>
      <c r="O21" s="11"/>
    </row>
    <row r="22" spans="2:15" x14ac:dyDescent="0.3">
      <c r="B22" s="11">
        <v>11</v>
      </c>
      <c r="C22" s="123" t="s">
        <v>92</v>
      </c>
      <c r="D22" s="11" t="s">
        <v>103</v>
      </c>
      <c r="E22" s="11" t="s">
        <v>114</v>
      </c>
      <c r="F22" s="11" t="s">
        <v>14</v>
      </c>
      <c r="G22" s="11" t="s">
        <v>102</v>
      </c>
      <c r="H22" s="11" t="s">
        <v>223</v>
      </c>
      <c r="I22" s="11">
        <v>11</v>
      </c>
      <c r="J22" s="11" t="s">
        <v>16</v>
      </c>
      <c r="K22" s="11" t="s">
        <v>131</v>
      </c>
      <c r="L22" s="11"/>
      <c r="M22" s="11"/>
      <c r="N22" s="11"/>
      <c r="O22" s="11"/>
    </row>
    <row r="23" spans="2:15" x14ac:dyDescent="0.3">
      <c r="B23" s="11">
        <v>12</v>
      </c>
      <c r="C23" s="123" t="s">
        <v>144</v>
      </c>
      <c r="D23" s="11" t="s">
        <v>145</v>
      </c>
      <c r="E23" s="11" t="s">
        <v>104</v>
      </c>
      <c r="F23" s="11" t="s">
        <v>14</v>
      </c>
      <c r="G23" s="11" t="s">
        <v>93</v>
      </c>
      <c r="H23" s="11" t="s">
        <v>223</v>
      </c>
      <c r="I23" s="11">
        <v>1</v>
      </c>
      <c r="J23" s="11" t="s">
        <v>16</v>
      </c>
      <c r="K23" s="11"/>
      <c r="L23" s="11"/>
      <c r="M23" s="11"/>
      <c r="N23" s="11"/>
      <c r="O23" s="11"/>
    </row>
    <row r="24" spans="2:15" x14ac:dyDescent="0.3">
      <c r="B24" s="11">
        <v>13</v>
      </c>
      <c r="C24" s="123" t="s">
        <v>144</v>
      </c>
      <c r="D24" s="11" t="s">
        <v>145</v>
      </c>
      <c r="E24" s="11" t="s">
        <v>105</v>
      </c>
      <c r="F24" s="11" t="s">
        <v>14</v>
      </c>
      <c r="G24" s="11" t="s">
        <v>154</v>
      </c>
      <c r="H24" s="11" t="s">
        <v>222</v>
      </c>
      <c r="I24" s="11">
        <v>4</v>
      </c>
      <c r="J24" s="11" t="s">
        <v>16</v>
      </c>
      <c r="K24" s="11" t="s">
        <v>115</v>
      </c>
      <c r="L24" s="11"/>
      <c r="M24" s="11"/>
      <c r="N24" s="11" t="s">
        <v>16</v>
      </c>
      <c r="O24" s="11">
        <v>14</v>
      </c>
    </row>
    <row r="25" spans="2:15" x14ac:dyDescent="0.3">
      <c r="B25" s="11">
        <v>14</v>
      </c>
      <c r="C25" s="123" t="s">
        <v>144</v>
      </c>
      <c r="D25" s="11" t="s">
        <v>145</v>
      </c>
      <c r="E25" s="11" t="s">
        <v>107</v>
      </c>
      <c r="F25" s="11" t="s">
        <v>14</v>
      </c>
      <c r="G25" s="11" t="s">
        <v>95</v>
      </c>
      <c r="H25" s="11" t="s">
        <v>222</v>
      </c>
      <c r="I25" s="11">
        <v>2</v>
      </c>
      <c r="J25" s="11" t="s">
        <v>16</v>
      </c>
      <c r="K25" s="11" t="s">
        <v>118</v>
      </c>
      <c r="L25" s="11"/>
      <c r="M25" s="11"/>
      <c r="N25" s="11"/>
      <c r="O25" s="11"/>
    </row>
    <row r="26" spans="2:15" x14ac:dyDescent="0.3">
      <c r="B26" s="11">
        <v>15</v>
      </c>
      <c r="C26" s="123" t="s">
        <v>144</v>
      </c>
      <c r="D26" s="11" t="s">
        <v>145</v>
      </c>
      <c r="E26" s="11" t="s">
        <v>108</v>
      </c>
      <c r="F26" s="11" t="s">
        <v>14</v>
      </c>
      <c r="G26" s="11" t="s">
        <v>96</v>
      </c>
      <c r="H26" s="11" t="s">
        <v>222</v>
      </c>
      <c r="I26" s="11">
        <v>3</v>
      </c>
      <c r="J26" s="11"/>
      <c r="K26" s="11"/>
      <c r="L26" s="11"/>
      <c r="M26" s="11"/>
      <c r="N26" s="11"/>
      <c r="O26" s="11"/>
    </row>
    <row r="27" spans="2:15" x14ac:dyDescent="0.3">
      <c r="B27" s="11">
        <v>16</v>
      </c>
      <c r="C27" s="123" t="s">
        <v>144</v>
      </c>
      <c r="D27" s="11" t="s">
        <v>145</v>
      </c>
      <c r="E27" s="11" t="s">
        <v>112</v>
      </c>
      <c r="F27" s="11" t="s">
        <v>14</v>
      </c>
      <c r="G27" s="11" t="s">
        <v>100</v>
      </c>
      <c r="H27" s="11" t="s">
        <v>222</v>
      </c>
      <c r="I27" s="11">
        <v>6</v>
      </c>
      <c r="J27" s="11"/>
      <c r="K27" s="11"/>
      <c r="L27" s="11"/>
      <c r="M27" s="11"/>
      <c r="N27" s="11"/>
      <c r="O27" s="11"/>
    </row>
    <row r="28" spans="2:15" x14ac:dyDescent="0.3">
      <c r="B28" s="11">
        <v>17</v>
      </c>
      <c r="C28" s="123" t="s">
        <v>144</v>
      </c>
      <c r="D28" s="11" t="s">
        <v>145</v>
      </c>
      <c r="E28" s="11" t="s">
        <v>146</v>
      </c>
      <c r="F28" s="11" t="s">
        <v>14</v>
      </c>
      <c r="G28" s="11" t="s">
        <v>155</v>
      </c>
      <c r="H28" s="11" t="s">
        <v>222</v>
      </c>
      <c r="I28" s="11">
        <v>5</v>
      </c>
      <c r="J28" s="11" t="s">
        <v>16</v>
      </c>
      <c r="K28" s="11"/>
      <c r="L28" s="11"/>
      <c r="M28" s="11"/>
      <c r="N28" s="11"/>
      <c r="O28" s="11"/>
    </row>
    <row r="29" spans="2:15" x14ac:dyDescent="0.3">
      <c r="B29" s="11">
        <v>18</v>
      </c>
      <c r="C29" s="123" t="s">
        <v>144</v>
      </c>
      <c r="D29" s="11" t="s">
        <v>145</v>
      </c>
      <c r="E29" s="11" t="s">
        <v>147</v>
      </c>
      <c r="F29" s="11" t="s">
        <v>14</v>
      </c>
      <c r="G29" s="11" t="s">
        <v>148</v>
      </c>
      <c r="H29" s="11" t="s">
        <v>222</v>
      </c>
      <c r="I29" s="11">
        <v>7</v>
      </c>
      <c r="J29" s="11"/>
      <c r="K29" s="11"/>
      <c r="L29" s="11"/>
      <c r="M29" s="11"/>
      <c r="N29" s="11"/>
      <c r="O29" s="11"/>
    </row>
    <row r="30" spans="2:15" x14ac:dyDescent="0.3">
      <c r="B30" s="11">
        <v>19</v>
      </c>
      <c r="C30" s="123" t="s">
        <v>144</v>
      </c>
      <c r="D30" s="11" t="s">
        <v>145</v>
      </c>
      <c r="E30" s="11" t="s">
        <v>110</v>
      </c>
      <c r="F30" s="11" t="s">
        <v>17</v>
      </c>
      <c r="G30" s="11" t="s">
        <v>149</v>
      </c>
      <c r="H30" s="11" t="s">
        <v>222</v>
      </c>
      <c r="I30" s="11">
        <v>8</v>
      </c>
      <c r="J30" s="11" t="s">
        <v>16</v>
      </c>
      <c r="K30" s="11" t="s">
        <v>156</v>
      </c>
      <c r="L30" s="11" t="s">
        <v>126</v>
      </c>
      <c r="M30" s="11"/>
      <c r="N30" s="11"/>
      <c r="O30" s="11"/>
    </row>
    <row r="31" spans="2:15" x14ac:dyDescent="0.3">
      <c r="B31" s="11">
        <v>20</v>
      </c>
      <c r="C31" s="123" t="s">
        <v>144</v>
      </c>
      <c r="D31" s="11" t="s">
        <v>145</v>
      </c>
      <c r="E31" s="11" t="s">
        <v>150</v>
      </c>
      <c r="F31" s="11" t="s">
        <v>14</v>
      </c>
      <c r="G31" s="11" t="s">
        <v>151</v>
      </c>
      <c r="H31" s="11" t="s">
        <v>222</v>
      </c>
      <c r="I31" s="11">
        <v>9</v>
      </c>
      <c r="J31" s="11"/>
      <c r="K31" s="11"/>
      <c r="L31" s="11"/>
      <c r="M31" s="11"/>
      <c r="N31" s="11"/>
      <c r="O31" s="11"/>
    </row>
    <row r="32" spans="2:15" x14ac:dyDescent="0.3">
      <c r="B32" s="11">
        <v>21</v>
      </c>
      <c r="C32" s="123" t="s">
        <v>144</v>
      </c>
      <c r="D32" s="11" t="s">
        <v>145</v>
      </c>
      <c r="E32" s="11" t="s">
        <v>152</v>
      </c>
      <c r="F32" s="11" t="s">
        <v>14</v>
      </c>
      <c r="G32" s="11" t="s">
        <v>100</v>
      </c>
      <c r="H32" s="11" t="s">
        <v>222</v>
      </c>
      <c r="I32" s="11">
        <v>10</v>
      </c>
      <c r="J32" s="11" t="s">
        <v>16</v>
      </c>
      <c r="K32" s="11" t="s">
        <v>157</v>
      </c>
      <c r="L32" s="11"/>
      <c r="M32" s="11"/>
      <c r="N32" s="11"/>
      <c r="O32" s="11"/>
    </row>
    <row r="33" spans="1:15" x14ac:dyDescent="0.3">
      <c r="B33" s="11">
        <v>22</v>
      </c>
      <c r="C33" s="123" t="s">
        <v>144</v>
      </c>
      <c r="D33" s="11" t="s">
        <v>145</v>
      </c>
      <c r="E33" s="11" t="s">
        <v>153</v>
      </c>
      <c r="F33" s="11" t="s">
        <v>14</v>
      </c>
      <c r="G33" s="11" t="s">
        <v>154</v>
      </c>
      <c r="H33" s="11" t="s">
        <v>222</v>
      </c>
      <c r="I33" s="11">
        <v>11</v>
      </c>
      <c r="J33" s="11"/>
      <c r="K33" s="11"/>
      <c r="L33" s="11"/>
      <c r="M33" s="11"/>
      <c r="N33" s="11"/>
      <c r="O33" s="11"/>
    </row>
    <row r="34" spans="1:15" x14ac:dyDescent="0.3">
      <c r="B34" s="11">
        <v>23</v>
      </c>
      <c r="C34" s="123" t="s">
        <v>144</v>
      </c>
      <c r="D34" s="11" t="s">
        <v>145</v>
      </c>
      <c r="E34" s="11" t="s">
        <v>178</v>
      </c>
      <c r="F34" s="11" t="s">
        <v>14</v>
      </c>
      <c r="G34" s="11" t="s">
        <v>181</v>
      </c>
      <c r="H34" s="11" t="s">
        <v>222</v>
      </c>
      <c r="I34" s="11">
        <v>12</v>
      </c>
      <c r="J34" s="11"/>
      <c r="K34" s="11"/>
      <c r="L34" s="11"/>
      <c r="M34" s="11"/>
      <c r="N34" s="11"/>
      <c r="O34" s="11"/>
    </row>
    <row r="35" spans="1:15" x14ac:dyDescent="0.3">
      <c r="B35" s="11">
        <v>24</v>
      </c>
      <c r="C35" s="123" t="s">
        <v>144</v>
      </c>
      <c r="D35" s="11" t="s">
        <v>145</v>
      </c>
      <c r="E35" s="11" t="s">
        <v>177</v>
      </c>
      <c r="F35" s="11" t="s">
        <v>14</v>
      </c>
      <c r="G35" s="11" t="s">
        <v>182</v>
      </c>
      <c r="H35" s="11" t="s">
        <v>222</v>
      </c>
      <c r="I35" s="11">
        <v>13</v>
      </c>
      <c r="J35" s="11"/>
      <c r="K35" s="11"/>
      <c r="L35" s="11"/>
      <c r="M35" s="11"/>
      <c r="N35" s="11"/>
      <c r="O35" s="11"/>
    </row>
    <row r="36" spans="1:15" x14ac:dyDescent="0.3">
      <c r="B36" s="11">
        <v>25</v>
      </c>
      <c r="C36" s="123" t="s">
        <v>144</v>
      </c>
      <c r="D36" s="11" t="s">
        <v>145</v>
      </c>
      <c r="E36" s="11" t="s">
        <v>179</v>
      </c>
      <c r="F36" s="11" t="s">
        <v>14</v>
      </c>
      <c r="G36" s="11" t="s">
        <v>183</v>
      </c>
      <c r="H36" s="11" t="s">
        <v>222</v>
      </c>
      <c r="I36" s="11">
        <v>14</v>
      </c>
      <c r="J36" s="11"/>
      <c r="K36" s="11"/>
      <c r="L36" s="11"/>
      <c r="M36" s="11"/>
      <c r="N36" s="11"/>
      <c r="O36" s="11"/>
    </row>
    <row r="37" spans="1:15" x14ac:dyDescent="0.3">
      <c r="B37" s="11">
        <v>26</v>
      </c>
      <c r="C37" s="123" t="s">
        <v>144</v>
      </c>
      <c r="D37" s="11" t="s">
        <v>145</v>
      </c>
      <c r="E37" s="11" t="s">
        <v>180</v>
      </c>
      <c r="F37" s="11" t="s">
        <v>14</v>
      </c>
      <c r="G37" s="11" t="s">
        <v>184</v>
      </c>
      <c r="H37" s="11" t="s">
        <v>222</v>
      </c>
      <c r="I37" s="11">
        <v>15</v>
      </c>
      <c r="J37" s="11"/>
      <c r="K37" s="11"/>
      <c r="L37" s="11"/>
      <c r="M37" s="11"/>
      <c r="N37" s="11"/>
      <c r="O37" s="11"/>
    </row>
    <row r="38" spans="1:15" x14ac:dyDescent="0.3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 x14ac:dyDescent="0.3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3" spans="1:15" ht="15" thickBot="1" x14ac:dyDescent="0.35">
      <c r="A43" s="5">
        <v>2</v>
      </c>
      <c r="B43" s="6" t="s">
        <v>19</v>
      </c>
      <c r="C43" s="7"/>
      <c r="D43" s="7"/>
      <c r="E43" s="7"/>
      <c r="F43" s="7"/>
      <c r="G43" s="7"/>
      <c r="H43" s="7"/>
      <c r="I43" s="7"/>
      <c r="J43" s="8"/>
      <c r="K43" s="8"/>
      <c r="L43" s="8"/>
      <c r="M43" s="8"/>
    </row>
    <row r="44" spans="1:15" ht="15" thickBot="1" x14ac:dyDescent="0.35"/>
    <row r="45" spans="1:15" x14ac:dyDescent="0.3">
      <c r="B45" s="12" t="s">
        <v>2</v>
      </c>
      <c r="C45" s="13" t="s">
        <v>20</v>
      </c>
      <c r="D45" s="14"/>
      <c r="E45" s="14"/>
      <c r="F45" s="15"/>
    </row>
    <row r="46" spans="1:15" x14ac:dyDescent="0.3">
      <c r="B46" s="128">
        <v>1</v>
      </c>
      <c r="C46" s="16" t="s">
        <v>21</v>
      </c>
      <c r="D46" s="17"/>
      <c r="E46" s="17"/>
      <c r="F46" s="18"/>
    </row>
    <row r="47" spans="1:15" x14ac:dyDescent="0.3">
      <c r="B47" s="129">
        <v>2</v>
      </c>
      <c r="C47" s="20" t="s">
        <v>88</v>
      </c>
      <c r="D47" s="17"/>
      <c r="E47" s="17"/>
      <c r="F47" s="18"/>
    </row>
    <row r="48" spans="1:15" x14ac:dyDescent="0.3">
      <c r="B48" s="129">
        <v>3</v>
      </c>
      <c r="C48" s="20" t="s">
        <v>89</v>
      </c>
      <c r="D48" s="17"/>
      <c r="E48" s="17"/>
      <c r="F48" s="18"/>
    </row>
    <row r="49" spans="2:6" x14ac:dyDescent="0.3">
      <c r="B49" s="129">
        <v>4</v>
      </c>
      <c r="C49" s="20" t="s">
        <v>127</v>
      </c>
      <c r="D49" s="17"/>
      <c r="E49" s="17"/>
      <c r="F49" s="18"/>
    </row>
    <row r="50" spans="2:6" x14ac:dyDescent="0.3">
      <c r="B50" s="129">
        <v>5</v>
      </c>
      <c r="C50" s="20" t="s">
        <v>128</v>
      </c>
      <c r="D50" s="17"/>
      <c r="E50" s="17"/>
      <c r="F50" s="18"/>
    </row>
    <row r="51" spans="2:6" x14ac:dyDescent="0.3">
      <c r="B51" s="129">
        <v>6</v>
      </c>
      <c r="C51" s="20" t="s">
        <v>129</v>
      </c>
      <c r="D51" s="17"/>
      <c r="E51" s="17"/>
      <c r="F51" s="18"/>
    </row>
    <row r="52" spans="2:6" x14ac:dyDescent="0.3">
      <c r="B52" s="129">
        <v>7</v>
      </c>
      <c r="C52" s="20" t="s">
        <v>130</v>
      </c>
      <c r="D52" s="17"/>
      <c r="E52" s="17"/>
      <c r="F52" s="18"/>
    </row>
    <row r="53" spans="2:6" x14ac:dyDescent="0.3">
      <c r="B53" s="129">
        <v>8</v>
      </c>
      <c r="C53" s="20" t="s">
        <v>158</v>
      </c>
      <c r="D53" s="17"/>
      <c r="E53" s="17"/>
      <c r="F53" s="18"/>
    </row>
    <row r="54" spans="2:6" x14ac:dyDescent="0.3">
      <c r="B54" s="129">
        <v>9</v>
      </c>
      <c r="C54" s="20" t="s">
        <v>159</v>
      </c>
      <c r="D54" s="17"/>
      <c r="E54" s="17"/>
      <c r="F54" s="18"/>
    </row>
    <row r="55" spans="2:6" x14ac:dyDescent="0.3">
      <c r="B55" s="129">
        <v>10</v>
      </c>
      <c r="C55" s="20" t="s">
        <v>160</v>
      </c>
      <c r="D55" s="17"/>
      <c r="E55" s="17"/>
      <c r="F55" s="18"/>
    </row>
    <row r="56" spans="2:6" x14ac:dyDescent="0.3">
      <c r="B56" s="129">
        <v>11</v>
      </c>
      <c r="C56" s="20" t="s">
        <v>193</v>
      </c>
      <c r="D56" s="17"/>
      <c r="E56" s="17"/>
      <c r="F56" s="18"/>
    </row>
    <row r="57" spans="2:6" x14ac:dyDescent="0.3">
      <c r="B57" s="129">
        <v>12</v>
      </c>
      <c r="C57" s="20" t="s">
        <v>194</v>
      </c>
      <c r="D57" s="17"/>
      <c r="E57" s="17"/>
      <c r="F57" s="18"/>
    </row>
    <row r="58" spans="2:6" x14ac:dyDescent="0.3">
      <c r="B58" s="129">
        <v>13</v>
      </c>
      <c r="C58" s="20" t="s">
        <v>220</v>
      </c>
      <c r="D58" s="17"/>
      <c r="E58" s="17"/>
      <c r="F58" s="18"/>
    </row>
    <row r="59" spans="2:6" x14ac:dyDescent="0.3">
      <c r="B59" s="129">
        <v>14</v>
      </c>
      <c r="C59" s="20" t="s">
        <v>221</v>
      </c>
      <c r="D59" s="17"/>
      <c r="E59" s="17"/>
      <c r="F59" s="18"/>
    </row>
    <row r="60" spans="2:6" x14ac:dyDescent="0.3">
      <c r="B60" s="129">
        <v>15</v>
      </c>
      <c r="C60" s="20" t="s">
        <v>225</v>
      </c>
      <c r="D60" s="17"/>
      <c r="E60" s="17"/>
      <c r="F60" s="18"/>
    </row>
    <row r="61" spans="2:6" x14ac:dyDescent="0.3">
      <c r="B61" s="129">
        <v>16</v>
      </c>
      <c r="C61" s="20" t="s">
        <v>226</v>
      </c>
      <c r="D61" s="17"/>
      <c r="E61" s="17"/>
      <c r="F61" s="18"/>
    </row>
    <row r="62" spans="2:6" x14ac:dyDescent="0.3">
      <c r="B62" s="129">
        <v>17</v>
      </c>
      <c r="C62" s="20" t="s">
        <v>227</v>
      </c>
      <c r="D62" s="17"/>
      <c r="E62" s="17"/>
      <c r="F62" s="18"/>
    </row>
    <row r="63" spans="2:6" x14ac:dyDescent="0.3">
      <c r="B63" s="129">
        <v>18</v>
      </c>
      <c r="C63" s="20" t="s">
        <v>274</v>
      </c>
      <c r="D63" s="17"/>
      <c r="E63" s="17"/>
      <c r="F63" s="18"/>
    </row>
    <row r="64" spans="2:6" x14ac:dyDescent="0.3">
      <c r="B64" s="19">
        <v>19</v>
      </c>
      <c r="C64" s="20" t="s">
        <v>1218</v>
      </c>
      <c r="D64" s="17"/>
      <c r="E64" s="17"/>
      <c r="F64" s="18"/>
    </row>
    <row r="65" spans="1:21" x14ac:dyDescent="0.3">
      <c r="B65" s="19">
        <v>20</v>
      </c>
      <c r="C65" s="20" t="s">
        <v>1259</v>
      </c>
      <c r="D65" s="17"/>
      <c r="E65" s="17"/>
      <c r="F65" s="18"/>
    </row>
    <row r="66" spans="1:21" x14ac:dyDescent="0.3">
      <c r="B66" s="19">
        <v>21</v>
      </c>
      <c r="C66" s="20" t="s">
        <v>1260</v>
      </c>
      <c r="D66" s="17"/>
      <c r="E66" s="17"/>
      <c r="F66" s="18"/>
    </row>
    <row r="67" spans="1:21" x14ac:dyDescent="0.3">
      <c r="B67" s="19"/>
      <c r="C67" s="20"/>
      <c r="D67" s="17"/>
      <c r="E67" s="17"/>
      <c r="F67" s="18"/>
    </row>
    <row r="68" spans="1:21" x14ac:dyDescent="0.3">
      <c r="B68" s="19"/>
      <c r="C68" s="20"/>
      <c r="D68" s="17"/>
      <c r="E68" s="17"/>
      <c r="F68" s="18"/>
    </row>
    <row r="69" spans="1:21" x14ac:dyDescent="0.3">
      <c r="B69" s="19"/>
      <c r="C69" s="20"/>
      <c r="D69" s="17"/>
      <c r="E69" s="17"/>
      <c r="F69" s="18"/>
    </row>
    <row r="70" spans="1:21" ht="15" thickBot="1" x14ac:dyDescent="0.35">
      <c r="B70" s="21"/>
      <c r="C70" s="8"/>
      <c r="D70" s="8"/>
      <c r="E70" s="8"/>
      <c r="F70" s="22"/>
    </row>
    <row r="72" spans="1:21" ht="15" thickBot="1" x14ac:dyDescent="0.35">
      <c r="A72" s="5">
        <v>3</v>
      </c>
      <c r="B72" s="6" t="s">
        <v>22</v>
      </c>
      <c r="C72" s="7"/>
      <c r="D72" s="7"/>
      <c r="E72" s="7"/>
      <c r="F72" s="7"/>
      <c r="G72" s="7"/>
      <c r="H72" s="7"/>
      <c r="I72" s="7"/>
      <c r="J72" s="8"/>
      <c r="K72" s="8"/>
      <c r="L72" s="8"/>
      <c r="M72" s="8"/>
    </row>
    <row r="73" spans="1:21" ht="15" thickBot="1" x14ac:dyDescent="0.35"/>
    <row r="74" spans="1:21" ht="15" thickBot="1" x14ac:dyDescent="0.35">
      <c r="B74" s="23" t="s">
        <v>87</v>
      </c>
    </row>
    <row r="76" spans="1:21" ht="15" thickBot="1" x14ac:dyDescent="0.35">
      <c r="A76" s="5">
        <v>4</v>
      </c>
      <c r="B76" s="6" t="s">
        <v>23</v>
      </c>
      <c r="C76" s="7"/>
      <c r="D76" s="7"/>
      <c r="E76" s="7"/>
      <c r="F76" s="7"/>
      <c r="G76" s="7"/>
      <c r="H76" s="7"/>
      <c r="I76" s="7"/>
      <c r="J76" s="8"/>
      <c r="K76" s="8"/>
      <c r="L76" s="8"/>
      <c r="M76" s="8"/>
    </row>
    <row r="78" spans="1:21" x14ac:dyDescent="0.3">
      <c r="B78" s="24" t="s">
        <v>24</v>
      </c>
      <c r="C78" s="24" t="s">
        <v>25</v>
      </c>
      <c r="D78" s="24" t="s">
        <v>26</v>
      </c>
      <c r="E78" s="24" t="s">
        <v>27</v>
      </c>
      <c r="F78" s="24" t="s">
        <v>28</v>
      </c>
      <c r="G78" s="24" t="s">
        <v>29</v>
      </c>
      <c r="H78" s="24" t="s">
        <v>30</v>
      </c>
      <c r="I78" s="24" t="s">
        <v>31</v>
      </c>
      <c r="J78" s="24" t="s">
        <v>32</v>
      </c>
      <c r="K78" s="24" t="s">
        <v>33</v>
      </c>
      <c r="L78" s="24" t="s">
        <v>34</v>
      </c>
      <c r="M78" s="24" t="s">
        <v>35</v>
      </c>
      <c r="N78" s="24" t="s">
        <v>36</v>
      </c>
      <c r="O78" s="24" t="s">
        <v>37</v>
      </c>
      <c r="P78" s="24" t="s">
        <v>38</v>
      </c>
      <c r="Q78" s="24" t="s">
        <v>39</v>
      </c>
      <c r="R78" s="24" t="s">
        <v>40</v>
      </c>
      <c r="S78" s="24" t="s">
        <v>41</v>
      </c>
      <c r="T78" s="24"/>
      <c r="U78" s="24"/>
    </row>
    <row r="81" spans="1:13" ht="15" hidden="1" thickBot="1" x14ac:dyDescent="0.35">
      <c r="A81" s="5">
        <v>5</v>
      </c>
      <c r="B81" s="6" t="s">
        <v>42</v>
      </c>
      <c r="C81" s="7"/>
      <c r="D81" s="7"/>
      <c r="E81" s="7"/>
      <c r="F81" s="7"/>
      <c r="G81" s="7"/>
      <c r="H81" s="7"/>
      <c r="I81" s="7"/>
      <c r="J81" s="8"/>
      <c r="K81" s="8"/>
      <c r="L81" s="8"/>
      <c r="M81" s="8"/>
    </row>
    <row r="82" spans="1:13" hidden="1" x14ac:dyDescent="0.3"/>
    <row r="83" spans="1:13" hidden="1" x14ac:dyDescent="0.3">
      <c r="B83" s="5" t="s">
        <v>43</v>
      </c>
      <c r="C83" s="5" t="s">
        <v>44</v>
      </c>
    </row>
    <row r="84" spans="1:13" hidden="1" x14ac:dyDescent="0.3">
      <c r="B84" s="25" t="s">
        <v>45</v>
      </c>
      <c r="C84" s="25" t="s">
        <v>46</v>
      </c>
    </row>
    <row r="85" spans="1:13" hidden="1" x14ac:dyDescent="0.3">
      <c r="B85" s="25" t="s">
        <v>47</v>
      </c>
      <c r="C85" s="25" t="s">
        <v>48</v>
      </c>
    </row>
    <row r="86" spans="1:13" hidden="1" x14ac:dyDescent="0.3">
      <c r="B86" s="25" t="s">
        <v>49</v>
      </c>
      <c r="C86" s="25" t="s">
        <v>50</v>
      </c>
    </row>
    <row r="87" spans="1:13" hidden="1" x14ac:dyDescent="0.3">
      <c r="B87" s="25" t="s">
        <v>18</v>
      </c>
      <c r="C87" s="25" t="s">
        <v>51</v>
      </c>
    </row>
    <row r="88" spans="1:13" hidden="1" x14ac:dyDescent="0.3">
      <c r="B88" s="25" t="s">
        <v>15</v>
      </c>
      <c r="C88" s="25" t="s">
        <v>52</v>
      </c>
    </row>
    <row r="89" spans="1:13" hidden="1" x14ac:dyDescent="0.3">
      <c r="B89" s="25" t="s">
        <v>53</v>
      </c>
      <c r="C89" s="25" t="s">
        <v>54</v>
      </c>
    </row>
    <row r="90" spans="1:13" hidden="1" x14ac:dyDescent="0.3">
      <c r="B90" s="25" t="s">
        <v>55</v>
      </c>
      <c r="C90" s="25" t="s">
        <v>56</v>
      </c>
    </row>
    <row r="91" spans="1:13" hidden="1" x14ac:dyDescent="0.3">
      <c r="B91" s="25" t="s">
        <v>57</v>
      </c>
      <c r="C91" s="25" t="s">
        <v>58</v>
      </c>
    </row>
    <row r="92" spans="1:13" hidden="1" x14ac:dyDescent="0.3">
      <c r="B92" s="25" t="s">
        <v>59</v>
      </c>
      <c r="C92" s="25" t="s">
        <v>60</v>
      </c>
    </row>
    <row r="93" spans="1:13" hidden="1" x14ac:dyDescent="0.3">
      <c r="B93" s="25" t="s">
        <v>61</v>
      </c>
      <c r="C93" s="25" t="s">
        <v>62</v>
      </c>
    </row>
    <row r="94" spans="1:13" hidden="1" x14ac:dyDescent="0.3">
      <c r="B94" s="25" t="s">
        <v>63</v>
      </c>
      <c r="C94" s="25" t="s">
        <v>64</v>
      </c>
    </row>
    <row r="95" spans="1:13" hidden="1" x14ac:dyDescent="0.3">
      <c r="B95" s="25" t="s">
        <v>65</v>
      </c>
      <c r="C95" s="25" t="s">
        <v>66</v>
      </c>
    </row>
    <row r="96" spans="1:13" hidden="1" x14ac:dyDescent="0.3"/>
    <row r="99" spans="1:13" ht="15" thickBot="1" x14ac:dyDescent="0.35">
      <c r="A99" s="5">
        <v>6</v>
      </c>
      <c r="B99" s="6" t="s">
        <v>1262</v>
      </c>
      <c r="C99" s="7"/>
      <c r="D99" s="7"/>
      <c r="E99" s="7"/>
      <c r="F99" s="7"/>
      <c r="G99" s="7"/>
      <c r="H99" s="7"/>
      <c r="I99" s="7"/>
      <c r="J99" s="8"/>
      <c r="K99" s="8"/>
      <c r="L99" s="8"/>
      <c r="M99" s="8"/>
    </row>
    <row r="101" spans="1:13" x14ac:dyDescent="0.3">
      <c r="B101" s="31">
        <v>1</v>
      </c>
    </row>
    <row r="104" spans="1:13" ht="15" thickBot="1" x14ac:dyDescent="0.35">
      <c r="A104" s="5">
        <v>7</v>
      </c>
      <c r="B104" s="6" t="s">
        <v>255</v>
      </c>
      <c r="C104" s="7"/>
      <c r="D104" s="7"/>
      <c r="E104" s="7"/>
      <c r="F104" s="7"/>
      <c r="G104" s="7"/>
      <c r="H104" s="7"/>
      <c r="I104" s="7"/>
      <c r="J104" s="8"/>
      <c r="K104" s="8"/>
      <c r="L104" s="8"/>
      <c r="M104" s="8"/>
    </row>
    <row r="107" spans="1:13" x14ac:dyDescent="0.3">
      <c r="B107" s="132" t="s">
        <v>256</v>
      </c>
      <c r="C107" s="132" t="s">
        <v>257</v>
      </c>
      <c r="D107" s="132" t="s">
        <v>258</v>
      </c>
      <c r="E107" s="132" t="s">
        <v>259</v>
      </c>
      <c r="F107" s="132" t="s">
        <v>260</v>
      </c>
      <c r="G107" s="132" t="s">
        <v>261</v>
      </c>
      <c r="H107" s="132" t="s">
        <v>261</v>
      </c>
      <c r="I107" s="132" t="s">
        <v>266</v>
      </c>
    </row>
    <row r="108" spans="1:13" x14ac:dyDescent="0.3">
      <c r="B108" s="25"/>
      <c r="C108" s="25"/>
      <c r="D108" s="25"/>
      <c r="E108" s="25"/>
      <c r="F108" s="25"/>
      <c r="G108" s="25"/>
      <c r="H108" s="25"/>
      <c r="I108" s="25"/>
    </row>
    <row r="111" spans="1:13" ht="15" thickBot="1" x14ac:dyDescent="0.35">
      <c r="A111" s="5">
        <v>8</v>
      </c>
      <c r="B111" s="6" t="s">
        <v>265</v>
      </c>
      <c r="C111" s="7"/>
      <c r="D111" s="7"/>
      <c r="E111" s="7"/>
      <c r="F111" s="7"/>
      <c r="G111" s="7"/>
      <c r="H111" s="7"/>
      <c r="I111" s="7"/>
      <c r="J111" s="8"/>
      <c r="K111" s="8"/>
      <c r="L111" s="8"/>
      <c r="M111" s="8"/>
    </row>
    <row r="113" spans="2:2" x14ac:dyDescent="0.3">
      <c r="B113" s="133"/>
    </row>
  </sheetData>
  <autoFilter ref="A11:L39" xr:uid="{A471E381-A757-4CE3-9DD8-2721AB293615}"/>
  <mergeCells count="1">
    <mergeCell ref="B6:J6"/>
  </mergeCells>
  <dataValidations disablePrompts="1" count="1">
    <dataValidation type="list" allowBlank="1" showInputMessage="1" showErrorMessage="1" sqref="F12:F39" xr:uid="{1493FD6C-EDC1-4A13-B9C3-4DA319BBFF1B}">
      <formula1>"Combobox,TextBox,Label,CheckBox"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C067-25CF-4BF8-A204-05F0BDFA5A34}">
  <sheetPr codeName="F_Liste">
    <tabColor rgb="FFFFFF00"/>
  </sheetPr>
  <dimension ref="B1:Q22"/>
  <sheetViews>
    <sheetView showGridLines="0" zoomScale="70" zoomScaleNormal="70" workbookViewId="0">
      <selection activeCell="L27" sqref="L27"/>
    </sheetView>
  </sheetViews>
  <sheetFormatPr baseColWidth="10" defaultRowHeight="14.4" x14ac:dyDescent="0.3"/>
  <cols>
    <col min="1" max="1" width="3.77734375" customWidth="1"/>
    <col min="2" max="2" width="35" customWidth="1"/>
    <col min="3" max="3" width="4.109375" customWidth="1"/>
    <col min="4" max="4" width="35" customWidth="1"/>
    <col min="5" max="5" width="4.109375" customWidth="1"/>
    <col min="6" max="6" width="35" customWidth="1"/>
    <col min="7" max="7" width="3.109375" customWidth="1"/>
    <col min="8" max="8" width="16.109375" bestFit="1" customWidth="1"/>
    <col min="9" max="9" width="18.33203125" customWidth="1"/>
    <col min="10" max="10" width="29.109375" customWidth="1"/>
    <col min="11" max="11" width="26.6640625" bestFit="1" customWidth="1"/>
    <col min="12" max="12" width="29.109375" bestFit="1" customWidth="1"/>
    <col min="13" max="14" width="22.33203125" bestFit="1" customWidth="1"/>
    <col min="15" max="15" width="26.77734375" bestFit="1" customWidth="1"/>
    <col min="16" max="16" width="5.109375" customWidth="1"/>
    <col min="17" max="17" width="32.33203125" customWidth="1"/>
  </cols>
  <sheetData>
    <row r="1" spans="2:17" x14ac:dyDescent="0.3">
      <c r="B1" s="5" t="s">
        <v>67</v>
      </c>
      <c r="D1" s="5" t="s">
        <v>74</v>
      </c>
      <c r="F1" s="5" t="s">
        <v>81</v>
      </c>
      <c r="H1" s="132" t="s">
        <v>256</v>
      </c>
      <c r="I1" s="132" t="s">
        <v>257</v>
      </c>
      <c r="J1" s="132" t="s">
        <v>258</v>
      </c>
      <c r="K1" s="132" t="s">
        <v>259</v>
      </c>
      <c r="L1" s="132" t="s">
        <v>260</v>
      </c>
      <c r="M1" s="132" t="s">
        <v>261</v>
      </c>
      <c r="N1" s="132" t="s">
        <v>261</v>
      </c>
      <c r="O1" s="132" t="s">
        <v>266</v>
      </c>
      <c r="Q1" s="5" t="s">
        <v>67</v>
      </c>
    </row>
    <row r="2" spans="2:17" x14ac:dyDescent="0.3">
      <c r="B2" s="26" t="s">
        <v>69</v>
      </c>
      <c r="D2" s="26" t="s">
        <v>196</v>
      </c>
      <c r="F2" s="26" t="s">
        <v>122</v>
      </c>
      <c r="H2" s="25" t="s">
        <v>122</v>
      </c>
      <c r="I2" s="25" t="s">
        <v>262</v>
      </c>
      <c r="J2" s="25" t="s">
        <v>263</v>
      </c>
      <c r="K2" s="25" t="s">
        <v>263</v>
      </c>
      <c r="L2" s="25" t="s">
        <v>264</v>
      </c>
      <c r="M2" s="25" t="s">
        <v>264</v>
      </c>
      <c r="N2" s="25"/>
      <c r="O2" s="25"/>
      <c r="Q2" s="26" t="s">
        <v>69</v>
      </c>
    </row>
    <row r="3" spans="2:17" x14ac:dyDescent="0.3">
      <c r="B3" s="26" t="s">
        <v>70</v>
      </c>
      <c r="D3" s="26" t="s">
        <v>197</v>
      </c>
      <c r="F3" s="26" t="s">
        <v>123</v>
      </c>
      <c r="H3" s="25" t="s">
        <v>124</v>
      </c>
      <c r="I3" s="25" t="s">
        <v>267</v>
      </c>
      <c r="J3" s="25" t="s">
        <v>263</v>
      </c>
      <c r="K3" s="25" t="s">
        <v>268</v>
      </c>
      <c r="L3" s="25" t="s">
        <v>124</v>
      </c>
      <c r="M3" s="25" t="s">
        <v>124</v>
      </c>
      <c r="N3" s="25"/>
      <c r="O3" s="25"/>
      <c r="Q3" s="26" t="s">
        <v>70</v>
      </c>
    </row>
    <row r="4" spans="2:17" x14ac:dyDescent="0.3">
      <c r="B4" s="26" t="s">
        <v>71</v>
      </c>
      <c r="D4" s="26" t="s">
        <v>75</v>
      </c>
      <c r="F4" s="26" t="s">
        <v>124</v>
      </c>
      <c r="H4" s="25" t="s">
        <v>123</v>
      </c>
      <c r="I4" s="25" t="s">
        <v>269</v>
      </c>
      <c r="J4" s="25" t="s">
        <v>263</v>
      </c>
      <c r="K4" s="25" t="s">
        <v>263</v>
      </c>
      <c r="L4" s="25" t="s">
        <v>123</v>
      </c>
      <c r="M4" s="25" t="s">
        <v>123</v>
      </c>
      <c r="N4" s="25" t="s">
        <v>122</v>
      </c>
      <c r="O4" s="25"/>
      <c r="Q4" s="26" t="s">
        <v>71</v>
      </c>
    </row>
    <row r="5" spans="2:17" x14ac:dyDescent="0.3">
      <c r="B5" s="26" t="s">
        <v>72</v>
      </c>
      <c r="D5" s="26" t="s">
        <v>198</v>
      </c>
      <c r="F5" s="26" t="s">
        <v>231</v>
      </c>
      <c r="H5" s="25" t="s">
        <v>270</v>
      </c>
      <c r="I5" s="25" t="s">
        <v>271</v>
      </c>
      <c r="J5" s="25" t="s">
        <v>263</v>
      </c>
      <c r="K5" s="25" t="s">
        <v>263</v>
      </c>
      <c r="L5" s="25" t="s">
        <v>264</v>
      </c>
      <c r="M5" s="25" t="s">
        <v>264</v>
      </c>
      <c r="N5" s="25"/>
      <c r="O5" s="25" t="s">
        <v>16</v>
      </c>
      <c r="Q5" s="26" t="s">
        <v>72</v>
      </c>
    </row>
    <row r="6" spans="2:17" x14ac:dyDescent="0.3">
      <c r="B6" s="26" t="s">
        <v>200</v>
      </c>
      <c r="D6" s="26"/>
      <c r="F6" s="26" t="s">
        <v>232</v>
      </c>
      <c r="H6" s="25" t="s">
        <v>272</v>
      </c>
      <c r="I6" s="25" t="s">
        <v>273</v>
      </c>
      <c r="J6" s="25" t="s">
        <v>263</v>
      </c>
      <c r="K6" s="25" t="s">
        <v>263</v>
      </c>
      <c r="L6" s="25" t="s">
        <v>264</v>
      </c>
      <c r="M6" s="25" t="s">
        <v>264</v>
      </c>
      <c r="N6" s="25"/>
      <c r="O6" s="25" t="s">
        <v>16</v>
      </c>
      <c r="Q6" s="26" t="s">
        <v>200</v>
      </c>
    </row>
    <row r="7" spans="2:17" x14ac:dyDescent="0.3">
      <c r="B7" s="26" t="s">
        <v>201</v>
      </c>
      <c r="D7" s="26"/>
      <c r="F7" s="26" t="s">
        <v>628</v>
      </c>
      <c r="H7" s="25" t="s">
        <v>264</v>
      </c>
      <c r="I7" s="25" t="s">
        <v>383</v>
      </c>
      <c r="J7" s="25" t="s">
        <v>263</v>
      </c>
      <c r="K7" s="25" t="s">
        <v>263</v>
      </c>
      <c r="L7" s="25" t="s">
        <v>264</v>
      </c>
      <c r="M7" s="25" t="s">
        <v>264</v>
      </c>
      <c r="N7" s="25"/>
      <c r="O7" s="25" t="s">
        <v>16</v>
      </c>
      <c r="Q7" s="26" t="s">
        <v>201</v>
      </c>
    </row>
    <row r="8" spans="2:17" x14ac:dyDescent="0.3">
      <c r="B8" s="26" t="s">
        <v>73</v>
      </c>
      <c r="D8" s="26"/>
      <c r="F8" s="26"/>
      <c r="H8" s="25" t="s">
        <v>628</v>
      </c>
      <c r="I8" s="25" t="s">
        <v>631</v>
      </c>
      <c r="J8" s="25" t="s">
        <v>263</v>
      </c>
      <c r="K8" s="25" t="s">
        <v>268</v>
      </c>
      <c r="L8" s="25" t="s">
        <v>628</v>
      </c>
      <c r="M8" s="25" t="s">
        <v>628</v>
      </c>
      <c r="N8" s="25"/>
      <c r="O8" s="25"/>
      <c r="Q8" s="26" t="s">
        <v>73</v>
      </c>
    </row>
    <row r="9" spans="2:17" x14ac:dyDescent="0.3">
      <c r="B9" s="27">
        <v>53</v>
      </c>
      <c r="D9" s="26"/>
      <c r="F9" s="26"/>
      <c r="Q9" s="27">
        <v>53</v>
      </c>
    </row>
    <row r="10" spans="2:17" x14ac:dyDescent="0.3">
      <c r="B10" s="25" t="s">
        <v>388</v>
      </c>
      <c r="D10" s="26"/>
      <c r="F10" s="27"/>
      <c r="Q10" s="25" t="s">
        <v>388</v>
      </c>
    </row>
    <row r="11" spans="2:17" x14ac:dyDescent="0.3">
      <c r="B11" s="135" t="s">
        <v>629</v>
      </c>
      <c r="D11" s="26"/>
      <c r="F11" s="25"/>
      <c r="Q11" s="135" t="s">
        <v>629</v>
      </c>
    </row>
    <row r="12" spans="2:17" x14ac:dyDescent="0.3">
      <c r="B12" s="25" t="s">
        <v>630</v>
      </c>
      <c r="D12" s="26"/>
      <c r="F12" s="25"/>
      <c r="Q12" s="25" t="s">
        <v>630</v>
      </c>
    </row>
    <row r="13" spans="2:17" x14ac:dyDescent="0.3">
      <c r="B13" s="25"/>
      <c r="D13" s="26"/>
      <c r="F13" s="25"/>
      <c r="Q13" s="25"/>
    </row>
    <row r="14" spans="2:17" x14ac:dyDescent="0.3">
      <c r="B14" s="25"/>
      <c r="D14" s="26"/>
      <c r="F14" s="25"/>
      <c r="Q14" s="25"/>
    </row>
    <row r="15" spans="2:17" x14ac:dyDescent="0.3">
      <c r="B15" s="25"/>
      <c r="D15" s="26"/>
      <c r="F15" s="25"/>
      <c r="Q15" s="25"/>
    </row>
    <row r="16" spans="2:17" x14ac:dyDescent="0.3">
      <c r="B16" s="25"/>
      <c r="D16" s="26"/>
      <c r="F16" s="25"/>
      <c r="Q16" s="25"/>
    </row>
    <row r="17" spans="2:17" x14ac:dyDescent="0.3">
      <c r="B17" s="25"/>
      <c r="D17" s="26"/>
      <c r="F17" s="25"/>
      <c r="Q17" s="25"/>
    </row>
    <row r="18" spans="2:17" x14ac:dyDescent="0.3">
      <c r="B18" s="25"/>
      <c r="D18" s="26"/>
      <c r="F18" s="25"/>
      <c r="Q18" s="25"/>
    </row>
    <row r="19" spans="2:17" x14ac:dyDescent="0.3">
      <c r="B19" s="25"/>
      <c r="D19" s="26"/>
      <c r="F19" s="25"/>
      <c r="Q19" s="25"/>
    </row>
    <row r="20" spans="2:17" x14ac:dyDescent="0.3">
      <c r="B20" s="25"/>
      <c r="D20" s="26"/>
      <c r="F20" s="25"/>
      <c r="Q20" s="25"/>
    </row>
    <row r="21" spans="2:17" x14ac:dyDescent="0.3">
      <c r="B21" s="25"/>
      <c r="D21" s="26"/>
      <c r="F21" s="25"/>
    </row>
    <row r="22" spans="2:17" x14ac:dyDescent="0.3">
      <c r="B22" s="25"/>
      <c r="D22" s="26"/>
      <c r="F22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290F-5C14-42ED-8685-BAF8507A07FD}">
  <sheetPr codeName="F_Facturation_Agence">
    <tabColor rgb="FFFF0000"/>
    <pageSetUpPr fitToPage="1"/>
  </sheetPr>
  <dimension ref="B1:L3760"/>
  <sheetViews>
    <sheetView showGridLines="0" showRowColHeaders="0" topLeftCell="A2" zoomScale="90" zoomScaleNormal="90" workbookViewId="0">
      <pane xSplit="2" ySplit="8" topLeftCell="C10" activePane="bottomRight" state="frozen"/>
      <selection activeCell="A2" sqref="A2"/>
      <selection pane="topRight" activeCell="C2" sqref="C2"/>
      <selection pane="bottomLeft" activeCell="A10" sqref="A10"/>
      <selection pane="bottomRight" activeCell="D14" sqref="D14"/>
    </sheetView>
  </sheetViews>
  <sheetFormatPr baseColWidth="10" defaultRowHeight="14.4" x14ac:dyDescent="0.3"/>
  <cols>
    <col min="1" max="1" width="2" customWidth="1"/>
    <col min="2" max="2" width="4.6640625" hidden="1" customWidth="1"/>
    <col min="3" max="3" width="19.109375" customWidth="1"/>
    <col min="4" max="4" width="26.33203125" customWidth="1"/>
    <col min="5" max="5" width="13.21875" customWidth="1"/>
    <col min="6" max="6" width="13.33203125" customWidth="1"/>
    <col min="7" max="7" width="24.77734375" customWidth="1"/>
    <col min="8" max="8" width="22" customWidth="1"/>
    <col min="9" max="9" width="20.33203125" customWidth="1"/>
    <col min="10" max="10" width="12.109375" customWidth="1"/>
    <col min="11" max="11" width="19.33203125" customWidth="1"/>
    <col min="12" max="12" width="18.33203125" style="94" customWidth="1"/>
  </cols>
  <sheetData>
    <row r="1" spans="2:12" ht="31.05" hidden="1" customHeight="1" x14ac:dyDescent="0.3">
      <c r="B1" s="25"/>
      <c r="C1" s="33"/>
      <c r="D1" s="33"/>
      <c r="E1" s="35"/>
      <c r="F1" s="33"/>
      <c r="G1" s="33"/>
      <c r="H1" s="33"/>
      <c r="I1" s="33"/>
      <c r="J1" s="34"/>
      <c r="K1" s="34"/>
      <c r="L1" s="34"/>
    </row>
    <row r="2" spans="2:12" ht="33.6" customHeight="1" x14ac:dyDescent="0.3"/>
    <row r="3" spans="2:12" ht="4.05" customHeight="1" thickBot="1" x14ac:dyDescent="0.35">
      <c r="C3" s="30"/>
      <c r="D3" s="30"/>
      <c r="E3" s="30"/>
      <c r="F3" s="30"/>
      <c r="G3" s="30"/>
      <c r="H3" s="30"/>
      <c r="I3" s="30"/>
      <c r="J3" s="30"/>
      <c r="K3" s="30"/>
      <c r="L3" s="95"/>
    </row>
    <row r="4" spans="2:12" ht="10.5" customHeight="1" x14ac:dyDescent="0.3"/>
    <row r="5" spans="2:12" hidden="1" x14ac:dyDescent="0.3"/>
    <row r="6" spans="2:12" hidden="1" x14ac:dyDescent="0.3"/>
    <row r="7" spans="2:12" hidden="1" x14ac:dyDescent="0.3">
      <c r="C7" s="29"/>
      <c r="D7" s="29"/>
      <c r="F7" s="29"/>
      <c r="G7" s="29"/>
      <c r="H7" s="29"/>
      <c r="I7" s="29"/>
    </row>
    <row r="8" spans="2:12" ht="19.5" hidden="1" customHeight="1" x14ac:dyDescent="0.3"/>
    <row r="9" spans="2:12" x14ac:dyDescent="0.3">
      <c r="B9" s="28" t="s">
        <v>76</v>
      </c>
      <c r="C9" s="28" t="s">
        <v>77</v>
      </c>
      <c r="D9" s="28" t="s">
        <v>78</v>
      </c>
      <c r="E9" s="28" t="s">
        <v>79</v>
      </c>
      <c r="F9" s="28" t="s">
        <v>80</v>
      </c>
      <c r="G9" s="28" t="s">
        <v>81</v>
      </c>
      <c r="H9" s="28" t="s">
        <v>82</v>
      </c>
      <c r="I9" s="28" t="s">
        <v>83</v>
      </c>
      <c r="J9" s="28" t="s">
        <v>84</v>
      </c>
      <c r="K9" s="28" t="s">
        <v>85</v>
      </c>
      <c r="L9" s="96" t="s">
        <v>86</v>
      </c>
    </row>
    <row r="10" spans="2:12" x14ac:dyDescent="0.3">
      <c r="B10" s="25">
        <v>1</v>
      </c>
      <c r="C10" s="33">
        <v>71</v>
      </c>
      <c r="D10" s="33" t="s">
        <v>390</v>
      </c>
      <c r="E10" s="35">
        <v>44209</v>
      </c>
      <c r="F10" s="33">
        <v>1</v>
      </c>
      <c r="G10" s="33" t="s">
        <v>122</v>
      </c>
      <c r="H10" s="33" t="s">
        <v>73</v>
      </c>
      <c r="I10" s="33" t="s">
        <v>196</v>
      </c>
      <c r="J10" s="34">
        <v>356.96</v>
      </c>
      <c r="K10" s="34"/>
      <c r="L10" s="34">
        <v>356.96</v>
      </c>
    </row>
    <row r="11" spans="2:12" x14ac:dyDescent="0.3">
      <c r="B11" s="25">
        <v>2</v>
      </c>
      <c r="C11" s="33">
        <v>10</v>
      </c>
      <c r="D11" s="33" t="s">
        <v>275</v>
      </c>
      <c r="E11" s="35">
        <v>44203</v>
      </c>
      <c r="F11" s="33">
        <v>1</v>
      </c>
      <c r="G11" s="33" t="s">
        <v>124</v>
      </c>
      <c r="H11" s="33" t="s">
        <v>71</v>
      </c>
      <c r="I11" s="33" t="s">
        <v>197</v>
      </c>
      <c r="J11" s="34">
        <v>504.17</v>
      </c>
      <c r="K11" s="34">
        <v>80</v>
      </c>
      <c r="L11" s="34">
        <v>424.17</v>
      </c>
    </row>
    <row r="12" spans="2:12" x14ac:dyDescent="0.3">
      <c r="B12" s="25">
        <v>3</v>
      </c>
      <c r="C12" s="33">
        <v>60</v>
      </c>
      <c r="D12" s="33" t="s">
        <v>276</v>
      </c>
      <c r="E12" s="35">
        <v>44210</v>
      </c>
      <c r="F12" s="33">
        <v>1</v>
      </c>
      <c r="G12" s="33" t="s">
        <v>124</v>
      </c>
      <c r="H12" s="33" t="s">
        <v>71</v>
      </c>
      <c r="I12" s="33" t="s">
        <v>197</v>
      </c>
      <c r="J12" s="34">
        <v>3608.96</v>
      </c>
      <c r="K12" s="34"/>
      <c r="L12" s="34">
        <v>3608.96</v>
      </c>
    </row>
    <row r="13" spans="2:12" x14ac:dyDescent="0.3">
      <c r="B13" s="25">
        <v>4</v>
      </c>
      <c r="C13" s="33">
        <v>101</v>
      </c>
      <c r="D13" s="33" t="s">
        <v>277</v>
      </c>
      <c r="E13" s="35">
        <v>44215</v>
      </c>
      <c r="F13" s="33">
        <v>1</v>
      </c>
      <c r="G13" s="33" t="s">
        <v>124</v>
      </c>
      <c r="H13" s="33" t="s">
        <v>71</v>
      </c>
      <c r="I13" s="33" t="s">
        <v>197</v>
      </c>
      <c r="J13" s="34">
        <v>1029.8499999999999</v>
      </c>
      <c r="K13" s="34"/>
      <c r="L13" s="34">
        <v>1029.8499999999999</v>
      </c>
    </row>
    <row r="14" spans="2:12" x14ac:dyDescent="0.3">
      <c r="B14" s="25">
        <v>5</v>
      </c>
      <c r="C14" s="33">
        <v>128</v>
      </c>
      <c r="D14" s="33" t="s">
        <v>391</v>
      </c>
      <c r="E14" s="35">
        <v>44217</v>
      </c>
      <c r="F14" s="33">
        <v>1</v>
      </c>
      <c r="G14" s="33" t="s">
        <v>122</v>
      </c>
      <c r="H14" s="33" t="s">
        <v>71</v>
      </c>
      <c r="I14" s="33" t="s">
        <v>196</v>
      </c>
      <c r="J14" s="34">
        <v>570.94000000000005</v>
      </c>
      <c r="K14" s="34">
        <v>80</v>
      </c>
      <c r="L14" s="34">
        <v>490.94</v>
      </c>
    </row>
    <row r="15" spans="2:12" x14ac:dyDescent="0.3">
      <c r="B15" s="25">
        <v>6</v>
      </c>
      <c r="C15" s="33">
        <v>154</v>
      </c>
      <c r="D15" s="33" t="s">
        <v>392</v>
      </c>
      <c r="E15" s="35">
        <v>44218</v>
      </c>
      <c r="F15" s="33">
        <v>1</v>
      </c>
      <c r="G15" s="33" t="s">
        <v>122</v>
      </c>
      <c r="H15" s="33" t="s">
        <v>71</v>
      </c>
      <c r="I15" s="33" t="s">
        <v>196</v>
      </c>
      <c r="J15" s="34">
        <v>752.46</v>
      </c>
      <c r="K15" s="34">
        <v>80</v>
      </c>
      <c r="L15" s="34">
        <v>672.46</v>
      </c>
    </row>
    <row r="16" spans="2:12" x14ac:dyDescent="0.3">
      <c r="B16" s="25">
        <v>7</v>
      </c>
      <c r="C16" s="33">
        <v>183</v>
      </c>
      <c r="D16" s="33" t="s">
        <v>393</v>
      </c>
      <c r="E16" s="35">
        <v>44222</v>
      </c>
      <c r="F16" s="33">
        <v>1</v>
      </c>
      <c r="G16" s="33" t="s">
        <v>122</v>
      </c>
      <c r="H16" s="33" t="s">
        <v>71</v>
      </c>
      <c r="I16" s="33" t="s">
        <v>196</v>
      </c>
      <c r="J16" s="34">
        <v>3309.36</v>
      </c>
      <c r="K16" s="34"/>
      <c r="L16" s="34">
        <v>3309.36</v>
      </c>
    </row>
    <row r="17" spans="2:12" x14ac:dyDescent="0.3">
      <c r="B17" s="25">
        <v>8</v>
      </c>
      <c r="C17" s="33">
        <v>246</v>
      </c>
      <c r="D17" s="33" t="s">
        <v>278</v>
      </c>
      <c r="E17" s="35">
        <v>44225</v>
      </c>
      <c r="F17" s="33">
        <v>1</v>
      </c>
      <c r="G17" s="33" t="s">
        <v>124</v>
      </c>
      <c r="H17" s="33" t="s">
        <v>71</v>
      </c>
      <c r="I17" s="33" t="s">
        <v>197</v>
      </c>
      <c r="J17" s="34">
        <v>926.45</v>
      </c>
      <c r="K17" s="34">
        <v>80</v>
      </c>
      <c r="L17" s="34">
        <v>846.45</v>
      </c>
    </row>
    <row r="18" spans="2:12" x14ac:dyDescent="0.3">
      <c r="B18" s="25">
        <v>9</v>
      </c>
      <c r="C18" s="33">
        <v>280</v>
      </c>
      <c r="D18" s="33" t="s">
        <v>279</v>
      </c>
      <c r="E18" s="35">
        <v>44221</v>
      </c>
      <c r="F18" s="33">
        <v>1</v>
      </c>
      <c r="G18" s="33" t="s">
        <v>124</v>
      </c>
      <c r="H18" s="33" t="s">
        <v>71</v>
      </c>
      <c r="I18" s="33" t="s">
        <v>197</v>
      </c>
      <c r="J18" s="34">
        <v>2867.48</v>
      </c>
      <c r="K18" s="34">
        <v>17.95</v>
      </c>
      <c r="L18" s="34">
        <v>2849.53</v>
      </c>
    </row>
    <row r="19" spans="2:12" x14ac:dyDescent="0.3">
      <c r="B19" s="25">
        <v>11</v>
      </c>
      <c r="C19" s="33">
        <v>30512</v>
      </c>
      <c r="D19" s="33" t="s">
        <v>394</v>
      </c>
      <c r="E19" s="35">
        <v>44207</v>
      </c>
      <c r="F19" s="33">
        <v>1</v>
      </c>
      <c r="G19" s="33" t="s">
        <v>122</v>
      </c>
      <c r="H19" s="33" t="s">
        <v>72</v>
      </c>
      <c r="I19" s="33" t="s">
        <v>196</v>
      </c>
      <c r="J19" s="34">
        <v>4595</v>
      </c>
      <c r="K19" s="34"/>
      <c r="L19" s="34">
        <v>4595</v>
      </c>
    </row>
    <row r="20" spans="2:12" x14ac:dyDescent="0.3">
      <c r="B20" s="25">
        <v>12</v>
      </c>
      <c r="C20" s="33">
        <v>30521</v>
      </c>
      <c r="D20" s="33" t="s">
        <v>395</v>
      </c>
      <c r="E20" s="35">
        <v>44210</v>
      </c>
      <c r="F20" s="33">
        <v>1</v>
      </c>
      <c r="G20" s="33" t="s">
        <v>122</v>
      </c>
      <c r="H20" s="33" t="s">
        <v>72</v>
      </c>
      <c r="I20" s="33" t="s">
        <v>196</v>
      </c>
      <c r="J20" s="34">
        <v>7107</v>
      </c>
      <c r="K20" s="34"/>
      <c r="L20" s="34">
        <v>7107</v>
      </c>
    </row>
    <row r="21" spans="2:12" x14ac:dyDescent="0.3">
      <c r="B21" s="25">
        <v>13</v>
      </c>
      <c r="C21" s="33">
        <v>30552</v>
      </c>
      <c r="D21" s="33" t="s">
        <v>396</v>
      </c>
      <c r="E21" s="35">
        <v>44215</v>
      </c>
      <c r="F21" s="33">
        <v>1</v>
      </c>
      <c r="G21" s="33" t="s">
        <v>122</v>
      </c>
      <c r="H21" s="33" t="s">
        <v>72</v>
      </c>
      <c r="I21" s="33" t="s">
        <v>196</v>
      </c>
      <c r="J21" s="34">
        <v>468</v>
      </c>
      <c r="K21" s="34"/>
      <c r="L21" s="34">
        <v>468</v>
      </c>
    </row>
    <row r="22" spans="2:12" x14ac:dyDescent="0.3">
      <c r="B22" s="25">
        <v>14</v>
      </c>
      <c r="C22" s="33">
        <v>30559</v>
      </c>
      <c r="D22" s="33" t="s">
        <v>397</v>
      </c>
      <c r="E22" s="35">
        <v>44218</v>
      </c>
      <c r="F22" s="33">
        <v>1</v>
      </c>
      <c r="G22" s="33" t="s">
        <v>231</v>
      </c>
      <c r="H22" s="33" t="s">
        <v>72</v>
      </c>
      <c r="I22" s="33" t="s">
        <v>198</v>
      </c>
      <c r="J22" s="34">
        <v>9937.6</v>
      </c>
      <c r="K22" s="34"/>
      <c r="L22" s="34">
        <v>9937.6</v>
      </c>
    </row>
    <row r="23" spans="2:12" x14ac:dyDescent="0.3">
      <c r="B23" s="25">
        <v>15</v>
      </c>
      <c r="C23" s="33">
        <v>30560</v>
      </c>
      <c r="D23" s="33" t="s">
        <v>394</v>
      </c>
      <c r="E23" s="35">
        <v>44218</v>
      </c>
      <c r="F23" s="33">
        <v>1</v>
      </c>
      <c r="G23" s="33" t="s">
        <v>122</v>
      </c>
      <c r="H23" s="33" t="s">
        <v>72</v>
      </c>
      <c r="I23" s="33" t="s">
        <v>196</v>
      </c>
      <c r="J23" s="34">
        <v>4038.2</v>
      </c>
      <c r="K23" s="34"/>
      <c r="L23" s="34">
        <v>4038.2</v>
      </c>
    </row>
    <row r="24" spans="2:12" x14ac:dyDescent="0.3">
      <c r="B24" s="25">
        <v>16</v>
      </c>
      <c r="C24" s="33">
        <v>30561</v>
      </c>
      <c r="D24" s="33" t="s">
        <v>397</v>
      </c>
      <c r="E24" s="35">
        <v>44218</v>
      </c>
      <c r="F24" s="33">
        <v>1</v>
      </c>
      <c r="G24" s="33" t="s">
        <v>231</v>
      </c>
      <c r="H24" s="33" t="s">
        <v>72</v>
      </c>
      <c r="I24" s="33" t="s">
        <v>198</v>
      </c>
      <c r="J24" s="34">
        <v>3959.2</v>
      </c>
      <c r="K24" s="34"/>
      <c r="L24" s="34">
        <v>3959.2</v>
      </c>
    </row>
    <row r="25" spans="2:12" x14ac:dyDescent="0.3">
      <c r="B25" s="25">
        <v>17</v>
      </c>
      <c r="C25" s="33">
        <v>30582</v>
      </c>
      <c r="D25" s="33" t="s">
        <v>394</v>
      </c>
      <c r="E25" s="35">
        <v>44218</v>
      </c>
      <c r="F25" s="33">
        <v>1</v>
      </c>
      <c r="G25" s="33" t="s">
        <v>122</v>
      </c>
      <c r="H25" s="33" t="s">
        <v>72</v>
      </c>
      <c r="I25" s="33" t="s">
        <v>196</v>
      </c>
      <c r="J25" s="34">
        <v>1837</v>
      </c>
      <c r="K25" s="34"/>
      <c r="L25" s="34">
        <v>1837</v>
      </c>
    </row>
    <row r="26" spans="2:12" x14ac:dyDescent="0.3">
      <c r="B26" s="25">
        <v>18</v>
      </c>
      <c r="C26" s="33">
        <v>30655</v>
      </c>
      <c r="D26" s="33" t="s">
        <v>398</v>
      </c>
      <c r="E26" s="35">
        <v>44238</v>
      </c>
      <c r="F26" s="33">
        <v>1</v>
      </c>
      <c r="G26" s="33" t="s">
        <v>122</v>
      </c>
      <c r="H26" s="33" t="s">
        <v>72</v>
      </c>
      <c r="I26" s="33" t="s">
        <v>196</v>
      </c>
      <c r="J26" s="34">
        <v>1940</v>
      </c>
      <c r="K26" s="34"/>
      <c r="L26" s="34">
        <v>1940</v>
      </c>
    </row>
    <row r="27" spans="2:12" x14ac:dyDescent="0.3">
      <c r="B27" s="25">
        <v>19</v>
      </c>
      <c r="C27" s="33">
        <v>30678</v>
      </c>
      <c r="D27" s="33" t="s">
        <v>397</v>
      </c>
      <c r="E27" s="35">
        <v>44239</v>
      </c>
      <c r="F27" s="33">
        <v>1</v>
      </c>
      <c r="G27" s="33" t="s">
        <v>231</v>
      </c>
      <c r="H27" s="33" t="s">
        <v>72</v>
      </c>
      <c r="I27" s="33" t="s">
        <v>198</v>
      </c>
      <c r="J27" s="34">
        <v>652.79999999999995</v>
      </c>
      <c r="K27" s="34"/>
      <c r="L27" s="34">
        <v>652.79999999999995</v>
      </c>
    </row>
    <row r="28" spans="2:12" x14ac:dyDescent="0.3">
      <c r="B28" s="25">
        <v>20</v>
      </c>
      <c r="C28" s="33">
        <v>105</v>
      </c>
      <c r="D28" s="33" t="s">
        <v>399</v>
      </c>
      <c r="E28" s="35">
        <v>44217</v>
      </c>
      <c r="F28" s="33">
        <v>1</v>
      </c>
      <c r="G28" s="33" t="s">
        <v>122</v>
      </c>
      <c r="H28" s="33" t="s">
        <v>68</v>
      </c>
      <c r="I28" s="33" t="s">
        <v>196</v>
      </c>
      <c r="J28" s="34">
        <v>485.1</v>
      </c>
      <c r="K28" s="34"/>
      <c r="L28" s="34">
        <v>485.1</v>
      </c>
    </row>
    <row r="29" spans="2:12" x14ac:dyDescent="0.3">
      <c r="B29" s="25">
        <v>21</v>
      </c>
      <c r="C29" s="33">
        <v>30264</v>
      </c>
      <c r="D29" s="33" t="s">
        <v>397</v>
      </c>
      <c r="E29" s="35">
        <v>44200</v>
      </c>
      <c r="F29" s="33">
        <v>1</v>
      </c>
      <c r="G29" s="33" t="s">
        <v>231</v>
      </c>
      <c r="H29" s="33" t="s">
        <v>72</v>
      </c>
      <c r="I29" s="33" t="s">
        <v>198</v>
      </c>
      <c r="J29" s="34">
        <v>1697</v>
      </c>
      <c r="K29" s="34"/>
      <c r="L29" s="34">
        <v>1697</v>
      </c>
    </row>
    <row r="30" spans="2:12" x14ac:dyDescent="0.3">
      <c r="B30" s="25">
        <v>22</v>
      </c>
      <c r="C30" s="33">
        <v>30314</v>
      </c>
      <c r="D30" s="33" t="s">
        <v>397</v>
      </c>
      <c r="E30" s="35">
        <v>44200</v>
      </c>
      <c r="F30" s="33">
        <v>1</v>
      </c>
      <c r="G30" s="33" t="s">
        <v>231</v>
      </c>
      <c r="H30" s="33" t="s">
        <v>72</v>
      </c>
      <c r="I30" s="33" t="s">
        <v>198</v>
      </c>
      <c r="J30" s="34">
        <v>4259</v>
      </c>
      <c r="K30" s="34"/>
      <c r="L30" s="34">
        <v>4259</v>
      </c>
    </row>
    <row r="31" spans="2:12" x14ac:dyDescent="0.3">
      <c r="B31" s="25">
        <v>23</v>
      </c>
      <c r="C31" s="33">
        <v>50006</v>
      </c>
      <c r="D31" s="33" t="s">
        <v>391</v>
      </c>
      <c r="E31" s="35">
        <v>44203</v>
      </c>
      <c r="F31" s="33">
        <v>1</v>
      </c>
      <c r="G31" s="33" t="s">
        <v>122</v>
      </c>
      <c r="H31" s="33" t="s">
        <v>69</v>
      </c>
      <c r="I31" s="33" t="s">
        <v>196</v>
      </c>
      <c r="J31" s="34">
        <v>1784.7</v>
      </c>
      <c r="K31" s="34"/>
      <c r="L31" s="34">
        <v>1784.7</v>
      </c>
    </row>
    <row r="32" spans="2:12" x14ac:dyDescent="0.3">
      <c r="B32" s="25">
        <v>24</v>
      </c>
      <c r="C32" s="33">
        <v>50008</v>
      </c>
      <c r="D32" s="33" t="s">
        <v>280</v>
      </c>
      <c r="E32" s="35">
        <v>44203</v>
      </c>
      <c r="F32" s="33">
        <v>1</v>
      </c>
      <c r="G32" s="33" t="s">
        <v>124</v>
      </c>
      <c r="H32" s="33" t="s">
        <v>69</v>
      </c>
      <c r="I32" s="33" t="s">
        <v>197</v>
      </c>
      <c r="J32" s="34">
        <v>4278</v>
      </c>
      <c r="K32" s="34"/>
      <c r="L32" s="34">
        <v>4278</v>
      </c>
    </row>
    <row r="33" spans="2:12" x14ac:dyDescent="0.3">
      <c r="B33" s="25">
        <v>25</v>
      </c>
      <c r="C33" s="33">
        <v>50038</v>
      </c>
      <c r="D33" s="33" t="s">
        <v>400</v>
      </c>
      <c r="E33" s="35">
        <v>44203</v>
      </c>
      <c r="F33" s="33">
        <v>1</v>
      </c>
      <c r="G33" s="33" t="s">
        <v>231</v>
      </c>
      <c r="H33" s="33" t="s">
        <v>69</v>
      </c>
      <c r="I33" s="33" t="s">
        <v>198</v>
      </c>
      <c r="J33" s="34">
        <v>1644.75</v>
      </c>
      <c r="K33" s="34"/>
      <c r="L33" s="34">
        <v>1644.75</v>
      </c>
    </row>
    <row r="34" spans="2:12" x14ac:dyDescent="0.3">
      <c r="B34" s="25">
        <v>26</v>
      </c>
      <c r="C34" s="33">
        <v>50039</v>
      </c>
      <c r="D34" s="33" t="s">
        <v>400</v>
      </c>
      <c r="E34" s="35">
        <v>44203</v>
      </c>
      <c r="F34" s="33">
        <v>1</v>
      </c>
      <c r="G34" s="33" t="s">
        <v>231</v>
      </c>
      <c r="H34" s="33" t="s">
        <v>69</v>
      </c>
      <c r="I34" s="33" t="s">
        <v>198</v>
      </c>
      <c r="J34" s="34">
        <v>1698.75</v>
      </c>
      <c r="K34" s="34"/>
      <c r="L34" s="34">
        <v>1698.75</v>
      </c>
    </row>
    <row r="35" spans="2:12" x14ac:dyDescent="0.3">
      <c r="B35" s="25">
        <v>27</v>
      </c>
      <c r="C35" s="33">
        <v>50040</v>
      </c>
      <c r="D35" s="33" t="s">
        <v>400</v>
      </c>
      <c r="E35" s="35">
        <v>44203</v>
      </c>
      <c r="F35" s="33">
        <v>1</v>
      </c>
      <c r="G35" s="33" t="s">
        <v>231</v>
      </c>
      <c r="H35" s="33" t="s">
        <v>69</v>
      </c>
      <c r="I35" s="33" t="s">
        <v>198</v>
      </c>
      <c r="J35" s="34">
        <v>705.59</v>
      </c>
      <c r="K35" s="34"/>
      <c r="L35" s="34">
        <v>705.59</v>
      </c>
    </row>
    <row r="36" spans="2:12" x14ac:dyDescent="0.3">
      <c r="B36" s="25">
        <v>28</v>
      </c>
      <c r="C36" s="33">
        <v>50041</v>
      </c>
      <c r="D36" s="33" t="s">
        <v>400</v>
      </c>
      <c r="E36" s="35">
        <v>44203</v>
      </c>
      <c r="F36" s="33">
        <v>1</v>
      </c>
      <c r="G36" s="33" t="s">
        <v>231</v>
      </c>
      <c r="H36" s="33" t="s">
        <v>69</v>
      </c>
      <c r="I36" s="33" t="s">
        <v>198</v>
      </c>
      <c r="J36" s="34">
        <v>1142.55</v>
      </c>
      <c r="K36" s="34"/>
      <c r="L36" s="34">
        <v>1142.55</v>
      </c>
    </row>
    <row r="37" spans="2:12" x14ac:dyDescent="0.3">
      <c r="B37" s="25">
        <v>29</v>
      </c>
      <c r="C37" s="33">
        <v>50042</v>
      </c>
      <c r="D37" s="33" t="s">
        <v>400</v>
      </c>
      <c r="E37" s="35">
        <v>44203</v>
      </c>
      <c r="F37" s="33">
        <v>1</v>
      </c>
      <c r="G37" s="33" t="s">
        <v>231</v>
      </c>
      <c r="H37" s="33" t="s">
        <v>69</v>
      </c>
      <c r="I37" s="33" t="s">
        <v>198</v>
      </c>
      <c r="J37" s="34">
        <v>718.2</v>
      </c>
      <c r="K37" s="34"/>
      <c r="L37" s="34">
        <v>718.2</v>
      </c>
    </row>
    <row r="38" spans="2:12" x14ac:dyDescent="0.3">
      <c r="B38" s="25">
        <v>30</v>
      </c>
      <c r="C38" s="33">
        <v>50043</v>
      </c>
      <c r="D38" s="33" t="s">
        <v>400</v>
      </c>
      <c r="E38" s="35">
        <v>44203</v>
      </c>
      <c r="F38" s="33">
        <v>1</v>
      </c>
      <c r="G38" s="33" t="s">
        <v>231</v>
      </c>
      <c r="H38" s="33" t="s">
        <v>69</v>
      </c>
      <c r="I38" s="33" t="s">
        <v>198</v>
      </c>
      <c r="J38" s="34">
        <v>478.35</v>
      </c>
      <c r="K38" s="34"/>
      <c r="L38" s="34">
        <v>478.35</v>
      </c>
    </row>
    <row r="39" spans="2:12" x14ac:dyDescent="0.3">
      <c r="B39" s="25">
        <v>31</v>
      </c>
      <c r="C39" s="33">
        <v>50044</v>
      </c>
      <c r="D39" s="33" t="s">
        <v>400</v>
      </c>
      <c r="E39" s="35">
        <v>44203</v>
      </c>
      <c r="F39" s="33">
        <v>1</v>
      </c>
      <c r="G39" s="33" t="s">
        <v>231</v>
      </c>
      <c r="H39" s="33" t="s">
        <v>69</v>
      </c>
      <c r="I39" s="33" t="s">
        <v>198</v>
      </c>
      <c r="J39" s="34">
        <v>13.5</v>
      </c>
      <c r="K39" s="34"/>
      <c r="L39" s="34">
        <v>13.5</v>
      </c>
    </row>
    <row r="40" spans="2:12" x14ac:dyDescent="0.3">
      <c r="B40" s="25">
        <v>32</v>
      </c>
      <c r="C40" s="33">
        <v>50045</v>
      </c>
      <c r="D40" s="33" t="s">
        <v>401</v>
      </c>
      <c r="E40" s="35">
        <v>44203</v>
      </c>
      <c r="F40" s="33">
        <v>1</v>
      </c>
      <c r="G40" s="33" t="s">
        <v>231</v>
      </c>
      <c r="H40" s="33" t="s">
        <v>69</v>
      </c>
      <c r="I40" s="33" t="s">
        <v>198</v>
      </c>
      <c r="J40" s="34">
        <v>1590.75</v>
      </c>
      <c r="K40" s="34"/>
      <c r="L40" s="34">
        <v>1590.75</v>
      </c>
    </row>
    <row r="41" spans="2:12" x14ac:dyDescent="0.3">
      <c r="B41" s="25">
        <v>33</v>
      </c>
      <c r="C41" s="33">
        <v>50083</v>
      </c>
      <c r="D41" s="33" t="s">
        <v>401</v>
      </c>
      <c r="E41" s="35">
        <v>44204</v>
      </c>
      <c r="F41" s="33">
        <v>1</v>
      </c>
      <c r="G41" s="33" t="s">
        <v>231</v>
      </c>
      <c r="H41" s="33" t="s">
        <v>69</v>
      </c>
      <c r="I41" s="33" t="s">
        <v>198</v>
      </c>
      <c r="J41" s="34">
        <v>2583.4499999999998</v>
      </c>
      <c r="K41" s="34"/>
      <c r="L41" s="34">
        <v>2583.4499999999998</v>
      </c>
    </row>
    <row r="42" spans="2:12" x14ac:dyDescent="0.3">
      <c r="B42" s="25">
        <v>34</v>
      </c>
      <c r="C42" s="33">
        <v>36</v>
      </c>
      <c r="D42" s="33" t="s">
        <v>402</v>
      </c>
      <c r="E42" s="35">
        <v>44208</v>
      </c>
      <c r="F42" s="33">
        <v>1</v>
      </c>
      <c r="G42" s="33" t="s">
        <v>122</v>
      </c>
      <c r="H42" s="33" t="s">
        <v>69</v>
      </c>
      <c r="I42" s="33" t="s">
        <v>196</v>
      </c>
      <c r="J42" s="34">
        <v>1607.85</v>
      </c>
      <c r="K42" s="34"/>
      <c r="L42" s="34">
        <v>1607.85</v>
      </c>
    </row>
    <row r="43" spans="2:12" x14ac:dyDescent="0.3">
      <c r="B43" s="25">
        <v>35</v>
      </c>
      <c r="C43" s="33">
        <v>278</v>
      </c>
      <c r="D43" s="33" t="s">
        <v>403</v>
      </c>
      <c r="E43" s="35">
        <v>44211</v>
      </c>
      <c r="F43" s="33">
        <v>1</v>
      </c>
      <c r="G43" s="33" t="s">
        <v>122</v>
      </c>
      <c r="H43" s="33" t="s">
        <v>69</v>
      </c>
      <c r="I43" s="33" t="s">
        <v>196</v>
      </c>
      <c r="J43" s="34">
        <v>297</v>
      </c>
      <c r="K43" s="34"/>
      <c r="L43" s="34">
        <v>297</v>
      </c>
    </row>
    <row r="44" spans="2:12" x14ac:dyDescent="0.3">
      <c r="B44" s="25">
        <v>36</v>
      </c>
      <c r="C44" s="33">
        <v>50159</v>
      </c>
      <c r="D44" s="33" t="s">
        <v>404</v>
      </c>
      <c r="E44" s="35">
        <v>44211</v>
      </c>
      <c r="F44" s="33">
        <v>1</v>
      </c>
      <c r="G44" s="33" t="s">
        <v>122</v>
      </c>
      <c r="H44" s="33" t="s">
        <v>69</v>
      </c>
      <c r="I44" s="33" t="s">
        <v>196</v>
      </c>
      <c r="J44" s="34">
        <v>2104.16</v>
      </c>
      <c r="K44" s="34"/>
      <c r="L44" s="34">
        <v>2104.16</v>
      </c>
    </row>
    <row r="45" spans="2:12" x14ac:dyDescent="0.3">
      <c r="B45" s="25">
        <v>37</v>
      </c>
      <c r="C45" s="33">
        <v>50161</v>
      </c>
      <c r="D45" s="33" t="s">
        <v>405</v>
      </c>
      <c r="E45" s="35">
        <v>44211</v>
      </c>
      <c r="F45" s="33">
        <v>1</v>
      </c>
      <c r="G45" s="33" t="s">
        <v>122</v>
      </c>
      <c r="H45" s="33" t="s">
        <v>69</v>
      </c>
      <c r="I45" s="33" t="s">
        <v>196</v>
      </c>
      <c r="J45" s="34">
        <v>880</v>
      </c>
      <c r="K45" s="34"/>
      <c r="L45" s="34">
        <v>880</v>
      </c>
    </row>
    <row r="46" spans="2:12" x14ac:dyDescent="0.3">
      <c r="B46" s="25">
        <v>38</v>
      </c>
      <c r="C46" s="33">
        <v>50163</v>
      </c>
      <c r="D46" s="33" t="s">
        <v>406</v>
      </c>
      <c r="E46" s="35">
        <v>44211</v>
      </c>
      <c r="F46" s="33">
        <v>1</v>
      </c>
      <c r="G46" s="33" t="s">
        <v>122</v>
      </c>
      <c r="H46" s="33" t="s">
        <v>69</v>
      </c>
      <c r="I46" s="33" t="s">
        <v>196</v>
      </c>
      <c r="J46" s="34">
        <v>1163.99</v>
      </c>
      <c r="K46" s="34"/>
      <c r="L46" s="34">
        <v>1163.99</v>
      </c>
    </row>
    <row r="47" spans="2:12" x14ac:dyDescent="0.3">
      <c r="B47" s="25">
        <v>39</v>
      </c>
      <c r="C47" s="33">
        <v>50164</v>
      </c>
      <c r="D47" s="33" t="s">
        <v>407</v>
      </c>
      <c r="E47" s="35">
        <v>44211</v>
      </c>
      <c r="F47" s="33">
        <v>1</v>
      </c>
      <c r="G47" s="33" t="s">
        <v>231</v>
      </c>
      <c r="H47" s="33" t="s">
        <v>69</v>
      </c>
      <c r="I47" s="33" t="s">
        <v>198</v>
      </c>
      <c r="J47" s="34">
        <v>151</v>
      </c>
      <c r="K47" s="34"/>
      <c r="L47" s="34">
        <v>151</v>
      </c>
    </row>
    <row r="48" spans="2:12" x14ac:dyDescent="0.3">
      <c r="B48" s="25">
        <v>40</v>
      </c>
      <c r="C48" s="33">
        <v>50184</v>
      </c>
      <c r="D48" s="33" t="s">
        <v>400</v>
      </c>
      <c r="E48" s="35">
        <v>44211</v>
      </c>
      <c r="F48" s="33">
        <v>1</v>
      </c>
      <c r="G48" s="33" t="s">
        <v>231</v>
      </c>
      <c r="H48" s="33" t="s">
        <v>69</v>
      </c>
      <c r="I48" s="33" t="s">
        <v>198</v>
      </c>
      <c r="J48" s="34">
        <v>2565.9</v>
      </c>
      <c r="K48" s="34"/>
      <c r="L48" s="34">
        <v>2565.9</v>
      </c>
    </row>
    <row r="49" spans="2:12" x14ac:dyDescent="0.3">
      <c r="B49" s="25">
        <v>41</v>
      </c>
      <c r="C49" s="33">
        <v>50185</v>
      </c>
      <c r="D49" s="33" t="s">
        <v>400</v>
      </c>
      <c r="E49" s="35">
        <v>44211</v>
      </c>
      <c r="F49" s="33">
        <v>1</v>
      </c>
      <c r="G49" s="33" t="s">
        <v>231</v>
      </c>
      <c r="H49" s="33" t="s">
        <v>69</v>
      </c>
      <c r="I49" s="33" t="s">
        <v>198</v>
      </c>
      <c r="J49" s="34">
        <v>261.45</v>
      </c>
      <c r="K49" s="34"/>
      <c r="L49" s="34">
        <v>261.45</v>
      </c>
    </row>
    <row r="50" spans="2:12" x14ac:dyDescent="0.3">
      <c r="B50" s="25">
        <v>42</v>
      </c>
      <c r="C50" s="33">
        <v>50186</v>
      </c>
      <c r="D50" s="33" t="s">
        <v>400</v>
      </c>
      <c r="E50" s="35">
        <v>44211</v>
      </c>
      <c r="F50" s="33">
        <v>1</v>
      </c>
      <c r="G50" s="33" t="s">
        <v>231</v>
      </c>
      <c r="H50" s="33" t="s">
        <v>69</v>
      </c>
      <c r="I50" s="33" t="s">
        <v>198</v>
      </c>
      <c r="J50" s="34">
        <v>175.95</v>
      </c>
      <c r="K50" s="34"/>
      <c r="L50" s="34">
        <v>175.95</v>
      </c>
    </row>
    <row r="51" spans="2:12" x14ac:dyDescent="0.3">
      <c r="B51" s="25">
        <v>43</v>
      </c>
      <c r="C51" s="33">
        <v>50187</v>
      </c>
      <c r="D51" s="33" t="s">
        <v>400</v>
      </c>
      <c r="E51" s="35">
        <v>44211</v>
      </c>
      <c r="F51" s="33">
        <v>1</v>
      </c>
      <c r="G51" s="33" t="s">
        <v>231</v>
      </c>
      <c r="H51" s="33" t="s">
        <v>69</v>
      </c>
      <c r="I51" s="33" t="s">
        <v>198</v>
      </c>
      <c r="J51" s="34">
        <v>661.5</v>
      </c>
      <c r="K51" s="34"/>
      <c r="L51" s="34">
        <v>661.5</v>
      </c>
    </row>
    <row r="52" spans="2:12" x14ac:dyDescent="0.3">
      <c r="B52" s="25">
        <v>44</v>
      </c>
      <c r="C52" s="33">
        <v>50188</v>
      </c>
      <c r="D52" s="33" t="s">
        <v>400</v>
      </c>
      <c r="E52" s="35">
        <v>44211</v>
      </c>
      <c r="F52" s="33">
        <v>1</v>
      </c>
      <c r="G52" s="33" t="s">
        <v>231</v>
      </c>
      <c r="H52" s="33" t="s">
        <v>69</v>
      </c>
      <c r="I52" s="33" t="s">
        <v>198</v>
      </c>
      <c r="J52" s="34">
        <v>387</v>
      </c>
      <c r="K52" s="34"/>
      <c r="L52" s="34">
        <v>387</v>
      </c>
    </row>
    <row r="53" spans="2:12" x14ac:dyDescent="0.3">
      <c r="B53" s="25">
        <v>45</v>
      </c>
      <c r="C53" s="33">
        <v>50189</v>
      </c>
      <c r="D53" s="33" t="s">
        <v>400</v>
      </c>
      <c r="E53" s="35">
        <v>44211</v>
      </c>
      <c r="F53" s="33">
        <v>1</v>
      </c>
      <c r="G53" s="33" t="s">
        <v>231</v>
      </c>
      <c r="H53" s="33" t="s">
        <v>69</v>
      </c>
      <c r="I53" s="33" t="s">
        <v>198</v>
      </c>
      <c r="J53" s="34">
        <v>221.4</v>
      </c>
      <c r="K53" s="34"/>
      <c r="L53" s="34">
        <v>221.4</v>
      </c>
    </row>
    <row r="54" spans="2:12" x14ac:dyDescent="0.3">
      <c r="B54" s="25">
        <v>46</v>
      </c>
      <c r="C54" s="33">
        <v>50190</v>
      </c>
      <c r="D54" s="33" t="s">
        <v>400</v>
      </c>
      <c r="E54" s="35">
        <v>44211</v>
      </c>
      <c r="F54" s="33">
        <v>1</v>
      </c>
      <c r="G54" s="33" t="s">
        <v>231</v>
      </c>
      <c r="H54" s="33" t="s">
        <v>69</v>
      </c>
      <c r="I54" s="33" t="s">
        <v>198</v>
      </c>
      <c r="J54" s="34">
        <v>175.05</v>
      </c>
      <c r="K54" s="34"/>
      <c r="L54" s="34">
        <v>175.05</v>
      </c>
    </row>
    <row r="55" spans="2:12" x14ac:dyDescent="0.3">
      <c r="B55" s="25">
        <v>47</v>
      </c>
      <c r="C55" s="33">
        <v>50191</v>
      </c>
      <c r="D55" s="33" t="s">
        <v>400</v>
      </c>
      <c r="E55" s="35">
        <v>44211</v>
      </c>
      <c r="F55" s="33">
        <v>1</v>
      </c>
      <c r="G55" s="33" t="s">
        <v>231</v>
      </c>
      <c r="H55" s="33" t="s">
        <v>69</v>
      </c>
      <c r="I55" s="33" t="s">
        <v>198</v>
      </c>
      <c r="J55" s="34">
        <v>516.6</v>
      </c>
      <c r="K55" s="34"/>
      <c r="L55" s="34">
        <v>516.6</v>
      </c>
    </row>
    <row r="56" spans="2:12" x14ac:dyDescent="0.3">
      <c r="B56" s="25">
        <v>48</v>
      </c>
      <c r="C56" s="33">
        <v>50192</v>
      </c>
      <c r="D56" s="33" t="s">
        <v>400</v>
      </c>
      <c r="E56" s="35">
        <v>44211</v>
      </c>
      <c r="F56" s="33">
        <v>1</v>
      </c>
      <c r="G56" s="33" t="s">
        <v>231</v>
      </c>
      <c r="H56" s="33" t="s">
        <v>69</v>
      </c>
      <c r="I56" s="33" t="s">
        <v>198</v>
      </c>
      <c r="J56" s="34">
        <v>267.75</v>
      </c>
      <c r="K56" s="34"/>
      <c r="L56" s="34">
        <v>267.75</v>
      </c>
    </row>
    <row r="57" spans="2:12" x14ac:dyDescent="0.3">
      <c r="B57" s="25">
        <v>49</v>
      </c>
      <c r="C57" s="33">
        <v>50193</v>
      </c>
      <c r="D57" s="33" t="s">
        <v>400</v>
      </c>
      <c r="E57" s="35">
        <v>44211</v>
      </c>
      <c r="F57" s="33">
        <v>1</v>
      </c>
      <c r="G57" s="33" t="s">
        <v>231</v>
      </c>
      <c r="H57" s="33" t="s">
        <v>69</v>
      </c>
      <c r="I57" s="33" t="s">
        <v>198</v>
      </c>
      <c r="J57" s="34">
        <v>36</v>
      </c>
      <c r="K57" s="34"/>
      <c r="L57" s="34">
        <v>36</v>
      </c>
    </row>
    <row r="58" spans="2:12" x14ac:dyDescent="0.3">
      <c r="B58" s="25">
        <v>50</v>
      </c>
      <c r="C58" s="33">
        <v>50194</v>
      </c>
      <c r="D58" s="33" t="s">
        <v>400</v>
      </c>
      <c r="E58" s="35">
        <v>44211</v>
      </c>
      <c r="F58" s="33">
        <v>1</v>
      </c>
      <c r="G58" s="33" t="s">
        <v>231</v>
      </c>
      <c r="H58" s="33" t="s">
        <v>69</v>
      </c>
      <c r="I58" s="33" t="s">
        <v>198</v>
      </c>
      <c r="J58" s="34">
        <v>4.3600000000000003</v>
      </c>
      <c r="K58" s="34"/>
      <c r="L58" s="34">
        <v>4.3600000000000003</v>
      </c>
    </row>
    <row r="59" spans="2:12" x14ac:dyDescent="0.3">
      <c r="B59" s="25">
        <v>51</v>
      </c>
      <c r="C59" s="33">
        <v>50195</v>
      </c>
      <c r="D59" s="33" t="s">
        <v>408</v>
      </c>
      <c r="E59" s="35">
        <v>44211</v>
      </c>
      <c r="F59" s="33">
        <v>1</v>
      </c>
      <c r="G59" s="33" t="s">
        <v>231</v>
      </c>
      <c r="H59" s="33" t="s">
        <v>69</v>
      </c>
      <c r="I59" s="33" t="s">
        <v>198</v>
      </c>
      <c r="J59" s="34">
        <v>1432.5</v>
      </c>
      <c r="K59" s="34"/>
      <c r="L59" s="34">
        <v>1432.5</v>
      </c>
    </row>
    <row r="60" spans="2:12" x14ac:dyDescent="0.3">
      <c r="B60" s="25">
        <v>52</v>
      </c>
      <c r="C60" s="33">
        <v>50199</v>
      </c>
      <c r="D60" s="33" t="s">
        <v>409</v>
      </c>
      <c r="E60" s="35">
        <v>44211</v>
      </c>
      <c r="F60" s="33">
        <v>1</v>
      </c>
      <c r="G60" s="33" t="s">
        <v>231</v>
      </c>
      <c r="H60" s="33" t="s">
        <v>69</v>
      </c>
      <c r="I60" s="33" t="s">
        <v>198</v>
      </c>
      <c r="J60" s="34">
        <v>460.5</v>
      </c>
      <c r="K60" s="34"/>
      <c r="L60" s="34">
        <v>460.5</v>
      </c>
    </row>
    <row r="61" spans="2:12" x14ac:dyDescent="0.3">
      <c r="B61" s="25">
        <v>53</v>
      </c>
      <c r="C61" s="33">
        <v>506</v>
      </c>
      <c r="D61" s="33" t="s">
        <v>410</v>
      </c>
      <c r="E61" s="35">
        <v>44216</v>
      </c>
      <c r="F61" s="33">
        <v>1</v>
      </c>
      <c r="G61" s="33" t="s">
        <v>231</v>
      </c>
      <c r="H61" s="33" t="s">
        <v>69</v>
      </c>
      <c r="I61" s="33" t="s">
        <v>198</v>
      </c>
      <c r="J61" s="34">
        <v>178</v>
      </c>
      <c r="K61" s="34"/>
      <c r="L61" s="34">
        <v>178</v>
      </c>
    </row>
    <row r="62" spans="2:12" x14ac:dyDescent="0.3">
      <c r="B62" s="25">
        <v>54</v>
      </c>
      <c r="C62" s="33">
        <v>50284</v>
      </c>
      <c r="D62" s="33" t="s">
        <v>411</v>
      </c>
      <c r="E62" s="35">
        <v>44217</v>
      </c>
      <c r="F62" s="33">
        <v>1</v>
      </c>
      <c r="G62" s="33" t="s">
        <v>122</v>
      </c>
      <c r="H62" s="33" t="s">
        <v>69</v>
      </c>
      <c r="I62" s="33" t="s">
        <v>196</v>
      </c>
      <c r="J62" s="34">
        <v>1071.9000000000001</v>
      </c>
      <c r="K62" s="34"/>
      <c r="L62" s="34">
        <v>1071.9000000000001</v>
      </c>
    </row>
    <row r="63" spans="2:12" x14ac:dyDescent="0.3">
      <c r="B63" s="25">
        <v>55</v>
      </c>
      <c r="C63" s="33">
        <v>50286</v>
      </c>
      <c r="D63" s="33" t="s">
        <v>412</v>
      </c>
      <c r="E63" s="35">
        <v>44217</v>
      </c>
      <c r="F63" s="33">
        <v>1</v>
      </c>
      <c r="G63" s="33" t="s">
        <v>231</v>
      </c>
      <c r="H63" s="33" t="s">
        <v>69</v>
      </c>
      <c r="I63" s="33" t="s">
        <v>198</v>
      </c>
      <c r="J63" s="34">
        <v>1940</v>
      </c>
      <c r="K63" s="34"/>
      <c r="L63" s="34">
        <v>1940</v>
      </c>
    </row>
    <row r="64" spans="2:12" x14ac:dyDescent="0.3">
      <c r="B64" s="25">
        <v>56</v>
      </c>
      <c r="C64" s="33">
        <v>50287</v>
      </c>
      <c r="D64" s="33" t="s">
        <v>413</v>
      </c>
      <c r="E64" s="35">
        <v>44217</v>
      </c>
      <c r="F64" s="33">
        <v>1</v>
      </c>
      <c r="G64" s="33" t="s">
        <v>122</v>
      </c>
      <c r="H64" s="33" t="s">
        <v>69</v>
      </c>
      <c r="I64" s="33" t="s">
        <v>196</v>
      </c>
      <c r="J64" s="34">
        <v>1892</v>
      </c>
      <c r="K64" s="34"/>
      <c r="L64" s="34">
        <v>1892</v>
      </c>
    </row>
    <row r="65" spans="2:12" x14ac:dyDescent="0.3">
      <c r="B65" s="25">
        <v>57</v>
      </c>
      <c r="C65" s="33">
        <v>50288</v>
      </c>
      <c r="D65" s="33" t="s">
        <v>281</v>
      </c>
      <c r="E65" s="35">
        <v>44217</v>
      </c>
      <c r="F65" s="33">
        <v>1</v>
      </c>
      <c r="G65" s="33" t="s">
        <v>124</v>
      </c>
      <c r="H65" s="33" t="s">
        <v>69</v>
      </c>
      <c r="I65" s="33" t="s">
        <v>197</v>
      </c>
      <c r="J65" s="34">
        <v>1731.5</v>
      </c>
      <c r="K65" s="34"/>
      <c r="L65" s="34">
        <v>1731.5</v>
      </c>
    </row>
    <row r="66" spans="2:12" x14ac:dyDescent="0.3">
      <c r="B66" s="25">
        <v>58</v>
      </c>
      <c r="C66" s="33">
        <v>50291</v>
      </c>
      <c r="D66" s="33" t="s">
        <v>233</v>
      </c>
      <c r="E66" s="35">
        <v>44217</v>
      </c>
      <c r="F66" s="33">
        <v>1</v>
      </c>
      <c r="G66" s="33" t="s">
        <v>122</v>
      </c>
      <c r="H66" s="33" t="s">
        <v>69</v>
      </c>
      <c r="I66" s="33" t="s">
        <v>196</v>
      </c>
      <c r="J66" s="34">
        <v>5189.25</v>
      </c>
      <c r="K66" s="34"/>
      <c r="L66" s="34">
        <v>5189.25</v>
      </c>
    </row>
    <row r="67" spans="2:12" x14ac:dyDescent="0.3">
      <c r="B67" s="25">
        <v>59</v>
      </c>
      <c r="C67" s="33">
        <v>50295</v>
      </c>
      <c r="D67" s="33" t="s">
        <v>400</v>
      </c>
      <c r="E67" s="35">
        <v>44217</v>
      </c>
      <c r="F67" s="33">
        <v>1</v>
      </c>
      <c r="G67" s="33" t="s">
        <v>231</v>
      </c>
      <c r="H67" s="33" t="s">
        <v>69</v>
      </c>
      <c r="I67" s="33" t="s">
        <v>198</v>
      </c>
      <c r="J67" s="34">
        <v>1631.25</v>
      </c>
      <c r="K67" s="34"/>
      <c r="L67" s="34">
        <v>1631.25</v>
      </c>
    </row>
    <row r="68" spans="2:12" x14ac:dyDescent="0.3">
      <c r="B68" s="25">
        <v>60</v>
      </c>
      <c r="C68" s="33">
        <v>50296</v>
      </c>
      <c r="D68" s="33" t="s">
        <v>400</v>
      </c>
      <c r="E68" s="35">
        <v>44217</v>
      </c>
      <c r="F68" s="33">
        <v>1</v>
      </c>
      <c r="G68" s="33" t="s">
        <v>231</v>
      </c>
      <c r="H68" s="33" t="s">
        <v>69</v>
      </c>
      <c r="I68" s="33" t="s">
        <v>198</v>
      </c>
      <c r="J68" s="34">
        <v>1719.44</v>
      </c>
      <c r="K68" s="34"/>
      <c r="L68" s="34">
        <v>1719.44</v>
      </c>
    </row>
    <row r="69" spans="2:12" x14ac:dyDescent="0.3">
      <c r="B69" s="25">
        <v>61</v>
      </c>
      <c r="C69" s="33">
        <v>50298</v>
      </c>
      <c r="D69" s="33" t="s">
        <v>409</v>
      </c>
      <c r="E69" s="35">
        <v>44217</v>
      </c>
      <c r="F69" s="33">
        <v>1</v>
      </c>
      <c r="G69" s="33" t="s">
        <v>231</v>
      </c>
      <c r="H69" s="33" t="s">
        <v>69</v>
      </c>
      <c r="I69" s="33" t="s">
        <v>198</v>
      </c>
      <c r="J69" s="34">
        <v>1305.1500000000001</v>
      </c>
      <c r="K69" s="34"/>
      <c r="L69" s="34">
        <v>1305.1500000000001</v>
      </c>
    </row>
    <row r="70" spans="2:12" x14ac:dyDescent="0.3">
      <c r="B70" s="25">
        <v>62</v>
      </c>
      <c r="C70" s="33">
        <v>50376</v>
      </c>
      <c r="D70" s="33" t="s">
        <v>400</v>
      </c>
      <c r="E70" s="35">
        <v>44224</v>
      </c>
      <c r="F70" s="33">
        <v>1</v>
      </c>
      <c r="G70" s="33" t="s">
        <v>231</v>
      </c>
      <c r="H70" s="33" t="s">
        <v>69</v>
      </c>
      <c r="I70" s="33" t="s">
        <v>198</v>
      </c>
      <c r="J70" s="34">
        <v>251.1</v>
      </c>
      <c r="K70" s="34"/>
      <c r="L70" s="34">
        <v>251.1</v>
      </c>
    </row>
    <row r="71" spans="2:12" x14ac:dyDescent="0.3">
      <c r="B71" s="25">
        <v>63</v>
      </c>
      <c r="C71" s="33">
        <v>50377</v>
      </c>
      <c r="D71" s="33" t="s">
        <v>400</v>
      </c>
      <c r="E71" s="35">
        <v>44224</v>
      </c>
      <c r="F71" s="33">
        <v>1</v>
      </c>
      <c r="G71" s="33" t="s">
        <v>231</v>
      </c>
      <c r="H71" s="33" t="s">
        <v>69</v>
      </c>
      <c r="I71" s="33" t="s">
        <v>198</v>
      </c>
      <c r="J71" s="34">
        <v>1526.84</v>
      </c>
      <c r="K71" s="34"/>
      <c r="L71" s="34">
        <v>1526.84</v>
      </c>
    </row>
    <row r="72" spans="2:12" x14ac:dyDescent="0.3">
      <c r="B72" s="25">
        <v>64</v>
      </c>
      <c r="C72" s="33">
        <v>50399</v>
      </c>
      <c r="D72" s="33" t="s">
        <v>414</v>
      </c>
      <c r="E72" s="35">
        <v>44224</v>
      </c>
      <c r="F72" s="33">
        <v>1</v>
      </c>
      <c r="G72" s="33" t="s">
        <v>122</v>
      </c>
      <c r="H72" s="33" t="s">
        <v>69</v>
      </c>
      <c r="I72" s="33" t="s">
        <v>196</v>
      </c>
      <c r="J72" s="34">
        <v>4182.51</v>
      </c>
      <c r="K72" s="34"/>
      <c r="L72" s="34">
        <v>4182.51</v>
      </c>
    </row>
    <row r="73" spans="2:12" x14ac:dyDescent="0.3">
      <c r="B73" s="25">
        <v>65</v>
      </c>
      <c r="C73" s="33">
        <v>50400</v>
      </c>
      <c r="D73" s="33" t="s">
        <v>412</v>
      </c>
      <c r="E73" s="35">
        <v>44224</v>
      </c>
      <c r="F73" s="33">
        <v>1</v>
      </c>
      <c r="G73" s="33" t="s">
        <v>231</v>
      </c>
      <c r="H73" s="33" t="s">
        <v>69</v>
      </c>
      <c r="I73" s="33" t="s">
        <v>198</v>
      </c>
      <c r="J73" s="34">
        <v>1840.01</v>
      </c>
      <c r="K73" s="34"/>
      <c r="L73" s="34">
        <v>1840.01</v>
      </c>
    </row>
    <row r="74" spans="2:12" x14ac:dyDescent="0.3">
      <c r="B74" s="25">
        <v>66</v>
      </c>
      <c r="C74" s="33">
        <v>50401</v>
      </c>
      <c r="D74" s="33" t="s">
        <v>406</v>
      </c>
      <c r="E74" s="35">
        <v>44224</v>
      </c>
      <c r="F74" s="33">
        <v>1</v>
      </c>
      <c r="G74" s="33" t="s">
        <v>122</v>
      </c>
      <c r="H74" s="33" t="s">
        <v>69</v>
      </c>
      <c r="I74" s="33" t="s">
        <v>196</v>
      </c>
      <c r="J74" s="34">
        <v>2108.2399999999998</v>
      </c>
      <c r="K74" s="34"/>
      <c r="L74" s="34">
        <v>2108.2399999999998</v>
      </c>
    </row>
    <row r="75" spans="2:12" x14ac:dyDescent="0.3">
      <c r="B75" s="25">
        <v>67</v>
      </c>
      <c r="C75" s="33">
        <v>50402</v>
      </c>
      <c r="D75" s="33" t="s">
        <v>415</v>
      </c>
      <c r="E75" s="35">
        <v>44224</v>
      </c>
      <c r="F75" s="33">
        <v>1</v>
      </c>
      <c r="G75" s="33" t="s">
        <v>122</v>
      </c>
      <c r="H75" s="33" t="s">
        <v>69</v>
      </c>
      <c r="I75" s="33" t="s">
        <v>196</v>
      </c>
      <c r="J75" s="34">
        <v>1463</v>
      </c>
      <c r="K75" s="34"/>
      <c r="L75" s="34">
        <v>1463</v>
      </c>
    </row>
    <row r="76" spans="2:12" x14ac:dyDescent="0.3">
      <c r="B76" s="25">
        <v>68</v>
      </c>
      <c r="C76" s="33">
        <v>50454</v>
      </c>
      <c r="D76" s="33" t="s">
        <v>282</v>
      </c>
      <c r="E76" s="35">
        <v>44225</v>
      </c>
      <c r="F76" s="33">
        <v>1</v>
      </c>
      <c r="G76" s="33" t="s">
        <v>124</v>
      </c>
      <c r="H76" s="33" t="s">
        <v>69</v>
      </c>
      <c r="I76" s="33" t="s">
        <v>197</v>
      </c>
      <c r="J76" s="34">
        <v>200.05</v>
      </c>
      <c r="K76" s="34"/>
      <c r="L76" s="34">
        <v>200.05</v>
      </c>
    </row>
    <row r="77" spans="2:12" x14ac:dyDescent="0.3">
      <c r="B77" s="25">
        <v>69</v>
      </c>
      <c r="C77" s="33">
        <v>50455</v>
      </c>
      <c r="D77" s="33" t="s">
        <v>281</v>
      </c>
      <c r="E77" s="35">
        <v>44225</v>
      </c>
      <c r="F77" s="33">
        <v>1</v>
      </c>
      <c r="G77" s="33" t="s">
        <v>124</v>
      </c>
      <c r="H77" s="33" t="s">
        <v>69</v>
      </c>
      <c r="I77" s="33" t="s">
        <v>197</v>
      </c>
      <c r="J77" s="34">
        <v>4615.38</v>
      </c>
      <c r="K77" s="34"/>
      <c r="L77" s="34">
        <v>4615.38</v>
      </c>
    </row>
    <row r="78" spans="2:12" x14ac:dyDescent="0.3">
      <c r="B78" s="25">
        <v>70</v>
      </c>
      <c r="C78" s="33">
        <v>50515</v>
      </c>
      <c r="D78" s="33" t="s">
        <v>416</v>
      </c>
      <c r="E78" s="35">
        <v>44231</v>
      </c>
      <c r="F78" s="33">
        <v>1</v>
      </c>
      <c r="G78" s="33" t="s">
        <v>231</v>
      </c>
      <c r="H78" s="33" t="s">
        <v>69</v>
      </c>
      <c r="I78" s="33" t="s">
        <v>198</v>
      </c>
      <c r="J78" s="34">
        <v>1120</v>
      </c>
      <c r="K78" s="34"/>
      <c r="L78" s="34">
        <v>1120</v>
      </c>
    </row>
    <row r="79" spans="2:12" x14ac:dyDescent="0.3">
      <c r="B79" s="25">
        <v>71</v>
      </c>
      <c r="C79" s="33">
        <v>50554</v>
      </c>
      <c r="D79" s="33" t="s">
        <v>400</v>
      </c>
      <c r="E79" s="35">
        <v>44232</v>
      </c>
      <c r="F79" s="33">
        <v>1</v>
      </c>
      <c r="G79" s="33" t="s">
        <v>231</v>
      </c>
      <c r="H79" s="33" t="s">
        <v>69</v>
      </c>
      <c r="I79" s="33" t="s">
        <v>198</v>
      </c>
      <c r="J79" s="34">
        <v>933.11</v>
      </c>
      <c r="K79" s="34"/>
      <c r="L79" s="34">
        <v>933.11</v>
      </c>
    </row>
    <row r="80" spans="2:12" x14ac:dyDescent="0.3">
      <c r="B80" s="25">
        <v>72</v>
      </c>
      <c r="C80" s="33">
        <v>50555</v>
      </c>
      <c r="D80" s="33" t="s">
        <v>400</v>
      </c>
      <c r="E80" s="35">
        <v>44232</v>
      </c>
      <c r="F80" s="33">
        <v>1</v>
      </c>
      <c r="G80" s="33" t="s">
        <v>231</v>
      </c>
      <c r="H80" s="33" t="s">
        <v>69</v>
      </c>
      <c r="I80" s="33" t="s">
        <v>198</v>
      </c>
      <c r="J80" s="34">
        <v>1061.55</v>
      </c>
      <c r="K80" s="34"/>
      <c r="L80" s="34">
        <v>1061.55</v>
      </c>
    </row>
    <row r="81" spans="2:12" x14ac:dyDescent="0.3">
      <c r="B81" s="25">
        <v>73</v>
      </c>
      <c r="C81" s="33">
        <v>50556</v>
      </c>
      <c r="D81" s="33" t="s">
        <v>400</v>
      </c>
      <c r="E81" s="35">
        <v>44232</v>
      </c>
      <c r="F81" s="33">
        <v>1</v>
      </c>
      <c r="G81" s="33" t="s">
        <v>231</v>
      </c>
      <c r="H81" s="33" t="s">
        <v>69</v>
      </c>
      <c r="I81" s="33" t="s">
        <v>198</v>
      </c>
      <c r="J81" s="34">
        <v>1224.45</v>
      </c>
      <c r="K81" s="34"/>
      <c r="L81" s="34">
        <v>1224.45</v>
      </c>
    </row>
    <row r="82" spans="2:12" x14ac:dyDescent="0.3">
      <c r="B82" s="25">
        <v>74</v>
      </c>
      <c r="C82" s="33">
        <v>50665</v>
      </c>
      <c r="D82" s="33" t="s">
        <v>400</v>
      </c>
      <c r="E82" s="35">
        <v>44239</v>
      </c>
      <c r="F82" s="33">
        <v>1</v>
      </c>
      <c r="G82" s="33" t="s">
        <v>231</v>
      </c>
      <c r="H82" s="33" t="s">
        <v>69</v>
      </c>
      <c r="I82" s="33" t="s">
        <v>198</v>
      </c>
      <c r="J82" s="34">
        <v>594.9</v>
      </c>
      <c r="K82" s="34"/>
      <c r="L82" s="34">
        <v>594.9</v>
      </c>
    </row>
    <row r="83" spans="2:12" x14ac:dyDescent="0.3">
      <c r="B83" s="25">
        <v>75</v>
      </c>
      <c r="C83" s="33">
        <v>50666</v>
      </c>
      <c r="D83" s="33" t="s">
        <v>400</v>
      </c>
      <c r="E83" s="35">
        <v>44239</v>
      </c>
      <c r="F83" s="33">
        <v>1</v>
      </c>
      <c r="G83" s="33" t="s">
        <v>231</v>
      </c>
      <c r="H83" s="33" t="s">
        <v>69</v>
      </c>
      <c r="I83" s="33" t="s">
        <v>198</v>
      </c>
      <c r="J83" s="34">
        <v>1239.3</v>
      </c>
      <c r="K83" s="34"/>
      <c r="L83" s="34">
        <v>1239.3</v>
      </c>
    </row>
    <row r="84" spans="2:12" x14ac:dyDescent="0.3">
      <c r="B84" s="25">
        <v>76</v>
      </c>
      <c r="C84" s="33">
        <v>50667</v>
      </c>
      <c r="D84" s="33" t="s">
        <v>400</v>
      </c>
      <c r="E84" s="35">
        <v>44239</v>
      </c>
      <c r="F84" s="33">
        <v>1</v>
      </c>
      <c r="G84" s="33" t="s">
        <v>231</v>
      </c>
      <c r="H84" s="33" t="s">
        <v>69</v>
      </c>
      <c r="I84" s="33" t="s">
        <v>198</v>
      </c>
      <c r="J84" s="34">
        <v>386.1</v>
      </c>
      <c r="K84" s="34"/>
      <c r="L84" s="34">
        <v>386.1</v>
      </c>
    </row>
    <row r="85" spans="2:12" x14ac:dyDescent="0.3">
      <c r="B85" s="25">
        <v>77</v>
      </c>
      <c r="C85" s="33">
        <v>50668</v>
      </c>
      <c r="D85" s="33" t="s">
        <v>400</v>
      </c>
      <c r="E85" s="35">
        <v>44239</v>
      </c>
      <c r="F85" s="33">
        <v>1</v>
      </c>
      <c r="G85" s="33" t="s">
        <v>231</v>
      </c>
      <c r="H85" s="33" t="s">
        <v>69</v>
      </c>
      <c r="I85" s="33" t="s">
        <v>198</v>
      </c>
      <c r="J85" s="34">
        <v>1267.26</v>
      </c>
      <c r="K85" s="34"/>
      <c r="L85" s="34">
        <v>1267.26</v>
      </c>
    </row>
    <row r="86" spans="2:12" x14ac:dyDescent="0.3">
      <c r="B86" s="25">
        <v>78</v>
      </c>
      <c r="C86" s="33">
        <v>50669</v>
      </c>
      <c r="D86" s="33" t="s">
        <v>400</v>
      </c>
      <c r="E86" s="35">
        <v>44239</v>
      </c>
      <c r="F86" s="33">
        <v>1</v>
      </c>
      <c r="G86" s="33" t="s">
        <v>231</v>
      </c>
      <c r="H86" s="33" t="s">
        <v>69</v>
      </c>
      <c r="I86" s="33" t="s">
        <v>198</v>
      </c>
      <c r="J86" s="34">
        <v>1446.74</v>
      </c>
      <c r="K86" s="34"/>
      <c r="L86" s="34">
        <v>1446.74</v>
      </c>
    </row>
    <row r="87" spans="2:12" x14ac:dyDescent="0.3">
      <c r="B87" s="25">
        <v>79</v>
      </c>
      <c r="C87" s="33">
        <v>50670</v>
      </c>
      <c r="D87" s="33" t="s">
        <v>416</v>
      </c>
      <c r="E87" s="35">
        <v>44239</v>
      </c>
      <c r="F87" s="33">
        <v>1</v>
      </c>
      <c r="G87" s="33" t="s">
        <v>231</v>
      </c>
      <c r="H87" s="33" t="s">
        <v>69</v>
      </c>
      <c r="I87" s="33" t="s">
        <v>198</v>
      </c>
      <c r="J87" s="34">
        <v>3230.01</v>
      </c>
      <c r="K87" s="34"/>
      <c r="L87" s="34">
        <v>3230.01</v>
      </c>
    </row>
    <row r="88" spans="2:12" x14ac:dyDescent="0.3">
      <c r="B88" s="25">
        <v>80</v>
      </c>
      <c r="C88" s="33">
        <v>50672</v>
      </c>
      <c r="D88" s="33" t="s">
        <v>401</v>
      </c>
      <c r="E88" s="35">
        <v>44239</v>
      </c>
      <c r="F88" s="33">
        <v>1</v>
      </c>
      <c r="G88" s="33" t="s">
        <v>231</v>
      </c>
      <c r="H88" s="33" t="s">
        <v>69</v>
      </c>
      <c r="I88" s="33" t="s">
        <v>198</v>
      </c>
      <c r="J88" s="34">
        <v>1547.5</v>
      </c>
      <c r="K88" s="34"/>
      <c r="L88" s="34">
        <v>1547.5</v>
      </c>
    </row>
    <row r="89" spans="2:12" x14ac:dyDescent="0.3">
      <c r="B89" s="25">
        <v>81</v>
      </c>
      <c r="C89" s="33">
        <v>50679</v>
      </c>
      <c r="D89" s="33" t="s">
        <v>401</v>
      </c>
      <c r="E89" s="35">
        <v>44239</v>
      </c>
      <c r="F89" s="33">
        <v>1</v>
      </c>
      <c r="G89" s="33" t="s">
        <v>231</v>
      </c>
      <c r="H89" s="33" t="s">
        <v>69</v>
      </c>
      <c r="I89" s="33" t="s">
        <v>198</v>
      </c>
      <c r="J89" s="34">
        <v>580.04999999999995</v>
      </c>
      <c r="K89" s="34"/>
      <c r="L89" s="34">
        <v>580.04999999999995</v>
      </c>
    </row>
    <row r="90" spans="2:12" x14ac:dyDescent="0.3">
      <c r="B90" s="25">
        <v>82</v>
      </c>
      <c r="C90" s="33">
        <v>50758</v>
      </c>
      <c r="D90" s="33" t="s">
        <v>411</v>
      </c>
      <c r="E90" s="35">
        <v>44245</v>
      </c>
      <c r="F90" s="33">
        <v>1</v>
      </c>
      <c r="G90" s="33" t="s">
        <v>122</v>
      </c>
      <c r="H90" s="33" t="s">
        <v>69</v>
      </c>
      <c r="I90" s="33" t="s">
        <v>196</v>
      </c>
      <c r="J90" s="34">
        <v>3873.8</v>
      </c>
      <c r="K90" s="34"/>
      <c r="L90" s="34">
        <v>3873.8</v>
      </c>
    </row>
    <row r="91" spans="2:12" x14ac:dyDescent="0.3">
      <c r="B91" s="25">
        <v>83</v>
      </c>
      <c r="C91" s="33">
        <v>50761</v>
      </c>
      <c r="D91" s="33" t="s">
        <v>281</v>
      </c>
      <c r="E91" s="35">
        <v>44245</v>
      </c>
      <c r="F91" s="33">
        <v>1</v>
      </c>
      <c r="G91" s="33" t="s">
        <v>124</v>
      </c>
      <c r="H91" s="33" t="s">
        <v>69</v>
      </c>
      <c r="I91" s="33" t="s">
        <v>197</v>
      </c>
      <c r="J91" s="34">
        <v>39</v>
      </c>
      <c r="K91" s="34"/>
      <c r="L91" s="34">
        <v>39</v>
      </c>
    </row>
    <row r="92" spans="2:12" x14ac:dyDescent="0.3">
      <c r="B92" s="25">
        <v>84</v>
      </c>
      <c r="C92" s="33">
        <v>50794</v>
      </c>
      <c r="D92" s="33" t="s">
        <v>400</v>
      </c>
      <c r="E92" s="35">
        <v>44246</v>
      </c>
      <c r="F92" s="33">
        <v>1</v>
      </c>
      <c r="G92" s="33" t="s">
        <v>231</v>
      </c>
      <c r="H92" s="33" t="s">
        <v>69</v>
      </c>
      <c r="I92" s="33" t="s">
        <v>198</v>
      </c>
      <c r="J92" s="34">
        <v>1008.28</v>
      </c>
      <c r="K92" s="34"/>
      <c r="L92" s="34">
        <v>1008.28</v>
      </c>
    </row>
    <row r="93" spans="2:12" x14ac:dyDescent="0.3">
      <c r="B93" s="25">
        <v>85</v>
      </c>
      <c r="C93" s="33">
        <v>50795</v>
      </c>
      <c r="D93" s="33" t="s">
        <v>400</v>
      </c>
      <c r="E93" s="35">
        <v>44246</v>
      </c>
      <c r="F93" s="33">
        <v>1</v>
      </c>
      <c r="G93" s="33" t="s">
        <v>231</v>
      </c>
      <c r="H93" s="33" t="s">
        <v>69</v>
      </c>
      <c r="I93" s="33" t="s">
        <v>198</v>
      </c>
      <c r="J93" s="34">
        <v>20.37</v>
      </c>
      <c r="K93" s="34"/>
      <c r="L93" s="34">
        <v>20.37</v>
      </c>
    </row>
    <row r="94" spans="2:12" x14ac:dyDescent="0.3">
      <c r="B94" s="25">
        <v>86</v>
      </c>
      <c r="C94" s="33">
        <v>50796</v>
      </c>
      <c r="D94" s="33" t="s">
        <v>400</v>
      </c>
      <c r="E94" s="35">
        <v>44246</v>
      </c>
      <c r="F94" s="33">
        <v>1</v>
      </c>
      <c r="G94" s="33" t="s">
        <v>231</v>
      </c>
      <c r="H94" s="33" t="s">
        <v>69</v>
      </c>
      <c r="I94" s="33" t="s">
        <v>198</v>
      </c>
      <c r="J94" s="34">
        <v>44.62</v>
      </c>
      <c r="K94" s="34"/>
      <c r="L94" s="34">
        <v>44.62</v>
      </c>
    </row>
    <row r="95" spans="2:12" x14ac:dyDescent="0.3">
      <c r="B95" s="25">
        <v>87</v>
      </c>
      <c r="C95" s="33">
        <v>50797</v>
      </c>
      <c r="D95" s="33" t="s">
        <v>400</v>
      </c>
      <c r="E95" s="35">
        <v>44246</v>
      </c>
      <c r="F95" s="33">
        <v>1</v>
      </c>
      <c r="G95" s="33" t="s">
        <v>231</v>
      </c>
      <c r="H95" s="33" t="s">
        <v>69</v>
      </c>
      <c r="I95" s="33" t="s">
        <v>198</v>
      </c>
      <c r="J95" s="34">
        <v>1304.1500000000001</v>
      </c>
      <c r="K95" s="34"/>
      <c r="L95" s="34">
        <v>1304.1500000000001</v>
      </c>
    </row>
    <row r="96" spans="2:12" x14ac:dyDescent="0.3">
      <c r="B96" s="25">
        <v>88</v>
      </c>
      <c r="C96" s="33">
        <v>50798</v>
      </c>
      <c r="D96" s="33" t="s">
        <v>400</v>
      </c>
      <c r="E96" s="35">
        <v>44246</v>
      </c>
      <c r="F96" s="33">
        <v>1</v>
      </c>
      <c r="G96" s="33" t="s">
        <v>231</v>
      </c>
      <c r="H96" s="33" t="s">
        <v>69</v>
      </c>
      <c r="I96" s="33" t="s">
        <v>198</v>
      </c>
      <c r="J96" s="34">
        <v>775.98</v>
      </c>
      <c r="K96" s="34"/>
      <c r="L96" s="34">
        <v>775.98</v>
      </c>
    </row>
    <row r="97" spans="2:12" x14ac:dyDescent="0.3">
      <c r="B97" s="25">
        <v>89</v>
      </c>
      <c r="C97" s="33">
        <v>50804</v>
      </c>
      <c r="D97" s="33" t="s">
        <v>409</v>
      </c>
      <c r="E97" s="35">
        <v>44246</v>
      </c>
      <c r="F97" s="33">
        <v>1</v>
      </c>
      <c r="G97" s="33" t="s">
        <v>231</v>
      </c>
      <c r="H97" s="33" t="s">
        <v>69</v>
      </c>
      <c r="I97" s="33" t="s">
        <v>198</v>
      </c>
      <c r="J97" s="34">
        <v>2693</v>
      </c>
      <c r="K97" s="34"/>
      <c r="L97" s="34">
        <v>2693</v>
      </c>
    </row>
    <row r="98" spans="2:12" x14ac:dyDescent="0.3">
      <c r="B98" s="25">
        <v>90</v>
      </c>
      <c r="C98" s="33">
        <v>50805</v>
      </c>
      <c r="D98" s="33" t="s">
        <v>401</v>
      </c>
      <c r="E98" s="35">
        <v>44246</v>
      </c>
      <c r="F98" s="33">
        <v>1</v>
      </c>
      <c r="G98" s="33" t="s">
        <v>231</v>
      </c>
      <c r="H98" s="33" t="s">
        <v>69</v>
      </c>
      <c r="I98" s="33" t="s">
        <v>198</v>
      </c>
      <c r="J98" s="34">
        <v>11</v>
      </c>
      <c r="K98" s="34"/>
      <c r="L98" s="34">
        <v>11</v>
      </c>
    </row>
    <row r="99" spans="2:12" x14ac:dyDescent="0.3">
      <c r="B99" s="25">
        <v>91</v>
      </c>
      <c r="C99" s="33">
        <v>2894</v>
      </c>
      <c r="D99" s="33" t="s">
        <v>410</v>
      </c>
      <c r="E99" s="35">
        <v>44250</v>
      </c>
      <c r="F99" s="33">
        <v>1</v>
      </c>
      <c r="G99" s="33" t="s">
        <v>231</v>
      </c>
      <c r="H99" s="33" t="s">
        <v>69</v>
      </c>
      <c r="I99" s="33" t="s">
        <v>198</v>
      </c>
      <c r="J99" s="34">
        <v>4081.51</v>
      </c>
      <c r="K99" s="34"/>
      <c r="L99" s="34">
        <v>4081.51</v>
      </c>
    </row>
    <row r="100" spans="2:12" x14ac:dyDescent="0.3">
      <c r="B100" s="25">
        <v>92</v>
      </c>
      <c r="C100" s="33">
        <v>2898</v>
      </c>
      <c r="D100" s="33" t="s">
        <v>403</v>
      </c>
      <c r="E100" s="35">
        <v>44250</v>
      </c>
      <c r="F100" s="33">
        <v>1</v>
      </c>
      <c r="G100" s="33" t="s">
        <v>122</v>
      </c>
      <c r="H100" s="33" t="s">
        <v>69</v>
      </c>
      <c r="I100" s="33" t="s">
        <v>196</v>
      </c>
      <c r="J100" s="34">
        <v>2149</v>
      </c>
      <c r="K100" s="34"/>
      <c r="L100" s="34">
        <v>2149</v>
      </c>
    </row>
    <row r="101" spans="2:12" x14ac:dyDescent="0.3">
      <c r="B101" s="25">
        <v>93</v>
      </c>
      <c r="C101" s="33">
        <v>50842</v>
      </c>
      <c r="D101" s="33" t="s">
        <v>400</v>
      </c>
      <c r="E101" s="35">
        <v>44280</v>
      </c>
      <c r="F101" s="33">
        <v>1</v>
      </c>
      <c r="G101" s="33" t="s">
        <v>231</v>
      </c>
      <c r="H101" s="33" t="s">
        <v>69</v>
      </c>
      <c r="I101" s="33" t="s">
        <v>198</v>
      </c>
      <c r="J101" s="34">
        <v>949.61</v>
      </c>
      <c r="K101" s="34"/>
      <c r="L101" s="34">
        <v>949.61</v>
      </c>
    </row>
    <row r="102" spans="2:12" x14ac:dyDescent="0.3">
      <c r="B102" s="25">
        <v>94</v>
      </c>
      <c r="C102" s="33">
        <v>50843</v>
      </c>
      <c r="D102" s="33" t="s">
        <v>400</v>
      </c>
      <c r="E102" s="35">
        <v>44280</v>
      </c>
      <c r="F102" s="33">
        <v>1</v>
      </c>
      <c r="G102" s="33" t="s">
        <v>231</v>
      </c>
      <c r="H102" s="33" t="s">
        <v>69</v>
      </c>
      <c r="I102" s="33" t="s">
        <v>198</v>
      </c>
      <c r="J102" s="34">
        <v>181.8</v>
      </c>
      <c r="K102" s="34"/>
      <c r="L102" s="34">
        <v>181.8</v>
      </c>
    </row>
    <row r="103" spans="2:12" x14ac:dyDescent="0.3">
      <c r="B103" s="25">
        <v>95</v>
      </c>
      <c r="C103" s="33">
        <v>50844</v>
      </c>
      <c r="D103" s="33" t="s">
        <v>400</v>
      </c>
      <c r="E103" s="35">
        <v>44280</v>
      </c>
      <c r="F103" s="33">
        <v>1</v>
      </c>
      <c r="G103" s="33" t="s">
        <v>231</v>
      </c>
      <c r="H103" s="33" t="s">
        <v>69</v>
      </c>
      <c r="I103" s="33" t="s">
        <v>198</v>
      </c>
      <c r="J103" s="34">
        <v>1861.19</v>
      </c>
      <c r="K103" s="34"/>
      <c r="L103" s="34">
        <v>1861.19</v>
      </c>
    </row>
    <row r="104" spans="2:12" x14ac:dyDescent="0.3">
      <c r="B104" s="25">
        <v>96</v>
      </c>
      <c r="C104" s="33">
        <v>50845</v>
      </c>
      <c r="D104" s="33" t="s">
        <v>400</v>
      </c>
      <c r="E104" s="35">
        <v>44252</v>
      </c>
      <c r="F104" s="33">
        <v>1</v>
      </c>
      <c r="G104" s="33" t="s">
        <v>231</v>
      </c>
      <c r="H104" s="33" t="s">
        <v>69</v>
      </c>
      <c r="I104" s="33" t="s">
        <v>198</v>
      </c>
      <c r="J104" s="34">
        <v>32.4</v>
      </c>
      <c r="K104" s="34"/>
      <c r="L104" s="34">
        <v>32.4</v>
      </c>
    </row>
    <row r="105" spans="2:12" x14ac:dyDescent="0.3">
      <c r="B105" s="25">
        <v>97</v>
      </c>
      <c r="C105" s="33">
        <v>50846</v>
      </c>
      <c r="D105" s="33" t="s">
        <v>400</v>
      </c>
      <c r="E105" s="35">
        <v>44252</v>
      </c>
      <c r="F105" s="33">
        <v>1</v>
      </c>
      <c r="G105" s="33" t="s">
        <v>231</v>
      </c>
      <c r="H105" s="33" t="s">
        <v>69</v>
      </c>
      <c r="I105" s="33" t="s">
        <v>198</v>
      </c>
      <c r="J105" s="34">
        <v>1275.97</v>
      </c>
      <c r="K105" s="34"/>
      <c r="L105" s="34">
        <v>1275.97</v>
      </c>
    </row>
    <row r="106" spans="2:12" x14ac:dyDescent="0.3">
      <c r="B106" s="25">
        <v>98</v>
      </c>
      <c r="C106" s="33">
        <v>50847</v>
      </c>
      <c r="D106" s="33" t="s">
        <v>400</v>
      </c>
      <c r="E106" s="35">
        <v>44252</v>
      </c>
      <c r="F106" s="33">
        <v>1</v>
      </c>
      <c r="G106" s="33" t="s">
        <v>231</v>
      </c>
      <c r="H106" s="33" t="s">
        <v>69</v>
      </c>
      <c r="I106" s="33" t="s">
        <v>198</v>
      </c>
      <c r="J106" s="34">
        <v>194</v>
      </c>
      <c r="K106" s="34"/>
      <c r="L106" s="34">
        <v>194</v>
      </c>
    </row>
    <row r="107" spans="2:12" x14ac:dyDescent="0.3">
      <c r="B107" s="25">
        <v>99</v>
      </c>
      <c r="C107" s="33">
        <v>50850</v>
      </c>
      <c r="D107" s="33" t="s">
        <v>409</v>
      </c>
      <c r="E107" s="35">
        <v>44252</v>
      </c>
      <c r="F107" s="33">
        <v>1</v>
      </c>
      <c r="G107" s="33" t="s">
        <v>231</v>
      </c>
      <c r="H107" s="33" t="s">
        <v>69</v>
      </c>
      <c r="I107" s="33" t="s">
        <v>198</v>
      </c>
      <c r="J107" s="34">
        <v>789.3</v>
      </c>
      <c r="K107" s="34"/>
      <c r="L107" s="34">
        <v>789.3</v>
      </c>
    </row>
    <row r="108" spans="2:12" x14ac:dyDescent="0.3">
      <c r="B108" s="25">
        <v>100</v>
      </c>
      <c r="C108" s="33">
        <v>50861</v>
      </c>
      <c r="D108" s="33" t="s">
        <v>417</v>
      </c>
      <c r="E108" s="35">
        <v>44252</v>
      </c>
      <c r="F108" s="33">
        <v>1</v>
      </c>
      <c r="G108" s="33" t="s">
        <v>231</v>
      </c>
      <c r="H108" s="33" t="s">
        <v>69</v>
      </c>
      <c r="I108" s="33" t="s">
        <v>198</v>
      </c>
      <c r="J108" s="34">
        <v>515</v>
      </c>
      <c r="K108" s="34"/>
      <c r="L108" s="34">
        <v>515</v>
      </c>
    </row>
    <row r="109" spans="2:12" x14ac:dyDescent="0.3">
      <c r="B109" s="25">
        <v>101</v>
      </c>
      <c r="C109" s="33">
        <v>50862</v>
      </c>
      <c r="D109" s="33" t="s">
        <v>404</v>
      </c>
      <c r="E109" s="35">
        <v>44252</v>
      </c>
      <c r="F109" s="33">
        <v>1</v>
      </c>
      <c r="G109" s="33" t="s">
        <v>122</v>
      </c>
      <c r="H109" s="33" t="s">
        <v>69</v>
      </c>
      <c r="I109" s="33" t="s">
        <v>196</v>
      </c>
      <c r="J109" s="34">
        <v>768.5</v>
      </c>
      <c r="K109" s="34"/>
      <c r="L109" s="34">
        <v>768.5</v>
      </c>
    </row>
    <row r="110" spans="2:12" x14ac:dyDescent="0.3">
      <c r="B110" s="25">
        <v>102</v>
      </c>
      <c r="C110" s="33">
        <v>50867</v>
      </c>
      <c r="D110" s="33" t="s">
        <v>283</v>
      </c>
      <c r="E110" s="35">
        <v>44252</v>
      </c>
      <c r="F110" s="33">
        <v>1</v>
      </c>
      <c r="G110" s="33" t="s">
        <v>124</v>
      </c>
      <c r="H110" s="33" t="s">
        <v>69</v>
      </c>
      <c r="I110" s="33" t="s">
        <v>197</v>
      </c>
      <c r="J110" s="34">
        <v>1183.2</v>
      </c>
      <c r="K110" s="34"/>
      <c r="L110" s="34">
        <v>1183.2</v>
      </c>
    </row>
    <row r="111" spans="2:12" x14ac:dyDescent="0.3">
      <c r="B111" s="25">
        <v>103</v>
      </c>
      <c r="C111" s="33">
        <v>3504</v>
      </c>
      <c r="D111" s="33" t="s">
        <v>410</v>
      </c>
      <c r="E111" s="35">
        <v>44255</v>
      </c>
      <c r="F111" s="33">
        <v>1</v>
      </c>
      <c r="G111" s="33" t="s">
        <v>231</v>
      </c>
      <c r="H111" s="33" t="s">
        <v>69</v>
      </c>
      <c r="I111" s="33" t="s">
        <v>198</v>
      </c>
      <c r="J111" s="34">
        <v>1232</v>
      </c>
      <c r="K111" s="34"/>
      <c r="L111" s="34">
        <v>1232</v>
      </c>
    </row>
    <row r="112" spans="2:12" x14ac:dyDescent="0.3">
      <c r="B112" s="25">
        <v>104</v>
      </c>
      <c r="C112" s="33">
        <v>12</v>
      </c>
      <c r="D112" s="33" t="s">
        <v>418</v>
      </c>
      <c r="E112" s="35">
        <v>44204</v>
      </c>
      <c r="F112" s="33">
        <v>1</v>
      </c>
      <c r="G112" s="33" t="s">
        <v>232</v>
      </c>
      <c r="H112" s="33" t="s">
        <v>71</v>
      </c>
      <c r="I112" s="33" t="s">
        <v>75</v>
      </c>
      <c r="J112" s="34">
        <v>439.74</v>
      </c>
      <c r="K112" s="34">
        <v>80</v>
      </c>
      <c r="L112" s="34">
        <v>359.74</v>
      </c>
    </row>
    <row r="113" spans="2:12" x14ac:dyDescent="0.3">
      <c r="B113" s="25">
        <v>105</v>
      </c>
      <c r="C113" s="33">
        <v>98</v>
      </c>
      <c r="D113" s="33" t="s">
        <v>419</v>
      </c>
      <c r="E113" s="35">
        <v>44214</v>
      </c>
      <c r="F113" s="33">
        <v>1</v>
      </c>
      <c r="G113" s="33" t="s">
        <v>231</v>
      </c>
      <c r="H113" s="33" t="s">
        <v>71</v>
      </c>
      <c r="I113" s="33" t="s">
        <v>198</v>
      </c>
      <c r="J113" s="34">
        <v>821.48</v>
      </c>
      <c r="K113" s="34">
        <v>80</v>
      </c>
      <c r="L113" s="34">
        <v>741.48</v>
      </c>
    </row>
    <row r="114" spans="2:12" x14ac:dyDescent="0.3">
      <c r="B114" s="25">
        <v>106</v>
      </c>
      <c r="C114" s="33">
        <v>124</v>
      </c>
      <c r="D114" s="33" t="s">
        <v>420</v>
      </c>
      <c r="E114" s="35">
        <v>44216</v>
      </c>
      <c r="F114" s="33">
        <v>1</v>
      </c>
      <c r="G114" s="33" t="s">
        <v>232</v>
      </c>
      <c r="H114" s="33" t="s">
        <v>71</v>
      </c>
      <c r="I114" s="33" t="s">
        <v>75</v>
      </c>
      <c r="J114" s="34">
        <v>704.47</v>
      </c>
      <c r="K114" s="34">
        <v>80</v>
      </c>
      <c r="L114" s="34">
        <v>624.47</v>
      </c>
    </row>
    <row r="115" spans="2:12" x14ac:dyDescent="0.3">
      <c r="B115" s="25">
        <v>107</v>
      </c>
      <c r="C115" s="33">
        <v>166</v>
      </c>
      <c r="D115" s="33" t="s">
        <v>418</v>
      </c>
      <c r="E115" s="35">
        <v>44218</v>
      </c>
      <c r="F115" s="33">
        <v>1</v>
      </c>
      <c r="G115" s="33" t="s">
        <v>232</v>
      </c>
      <c r="H115" s="33" t="s">
        <v>71</v>
      </c>
      <c r="I115" s="33" t="s">
        <v>75</v>
      </c>
      <c r="J115" s="34">
        <v>385.66</v>
      </c>
      <c r="K115" s="34">
        <v>80</v>
      </c>
      <c r="L115" s="34">
        <v>305.66000000000003</v>
      </c>
    </row>
    <row r="116" spans="2:12" x14ac:dyDescent="0.3">
      <c r="B116" s="25">
        <v>108</v>
      </c>
      <c r="C116" s="33">
        <v>180</v>
      </c>
      <c r="D116" s="33" t="s">
        <v>407</v>
      </c>
      <c r="E116" s="35">
        <v>44221</v>
      </c>
      <c r="F116" s="33">
        <v>1</v>
      </c>
      <c r="G116" s="33" t="s">
        <v>231</v>
      </c>
      <c r="H116" s="33" t="s">
        <v>71</v>
      </c>
      <c r="I116" s="33" t="s">
        <v>198</v>
      </c>
      <c r="J116" s="34">
        <v>315.13</v>
      </c>
      <c r="K116" s="34">
        <v>80</v>
      </c>
      <c r="L116" s="34">
        <v>235.13</v>
      </c>
    </row>
    <row r="117" spans="2:12" x14ac:dyDescent="0.3">
      <c r="B117" s="25">
        <v>109</v>
      </c>
      <c r="C117" s="33">
        <v>185</v>
      </c>
      <c r="D117" s="33" t="s">
        <v>421</v>
      </c>
      <c r="E117" s="35">
        <v>44222</v>
      </c>
      <c r="F117" s="33">
        <v>1</v>
      </c>
      <c r="G117" s="33" t="s">
        <v>232</v>
      </c>
      <c r="H117" s="33" t="s">
        <v>71</v>
      </c>
      <c r="I117" s="33" t="s">
        <v>75</v>
      </c>
      <c r="J117" s="34">
        <v>1128.5999999999999</v>
      </c>
      <c r="K117" s="34"/>
      <c r="L117" s="34">
        <v>1128.5999999999999</v>
      </c>
    </row>
    <row r="118" spans="2:12" x14ac:dyDescent="0.3">
      <c r="B118" s="25">
        <v>110</v>
      </c>
      <c r="C118" s="33" t="s">
        <v>422</v>
      </c>
      <c r="D118" s="33" t="s">
        <v>423</v>
      </c>
      <c r="E118" s="35">
        <v>44283</v>
      </c>
      <c r="F118" s="33">
        <v>1</v>
      </c>
      <c r="G118" s="33" t="s">
        <v>231</v>
      </c>
      <c r="H118" s="33" t="s">
        <v>71</v>
      </c>
      <c r="I118" s="33" t="s">
        <v>198</v>
      </c>
      <c r="J118" s="34">
        <v>645.96</v>
      </c>
      <c r="K118" s="34">
        <v>100</v>
      </c>
      <c r="L118" s="34">
        <v>545.96</v>
      </c>
    </row>
    <row r="119" spans="2:12" x14ac:dyDescent="0.3">
      <c r="B119" s="25">
        <v>111</v>
      </c>
      <c r="C119" s="33">
        <v>269</v>
      </c>
      <c r="D119" s="33" t="s">
        <v>393</v>
      </c>
      <c r="E119" s="35">
        <v>44228</v>
      </c>
      <c r="F119" s="33">
        <v>1</v>
      </c>
      <c r="G119" s="33" t="s">
        <v>122</v>
      </c>
      <c r="H119" s="33" t="s">
        <v>71</v>
      </c>
      <c r="I119" s="33" t="s">
        <v>196</v>
      </c>
      <c r="J119" s="34">
        <v>661.93</v>
      </c>
      <c r="K119" s="34">
        <v>80</v>
      </c>
      <c r="L119" s="34">
        <v>581.92999999999995</v>
      </c>
    </row>
    <row r="120" spans="2:12" x14ac:dyDescent="0.3">
      <c r="B120" s="25">
        <v>112</v>
      </c>
      <c r="C120" s="33">
        <v>271</v>
      </c>
      <c r="D120" s="33" t="s">
        <v>424</v>
      </c>
      <c r="E120" s="35">
        <v>44228</v>
      </c>
      <c r="F120" s="33">
        <v>1</v>
      </c>
      <c r="G120" s="33" t="s">
        <v>232</v>
      </c>
      <c r="H120" s="33" t="s">
        <v>71</v>
      </c>
      <c r="I120" s="33" t="s">
        <v>75</v>
      </c>
      <c r="J120" s="34">
        <v>2594.06</v>
      </c>
      <c r="K120" s="34"/>
      <c r="L120" s="34">
        <v>2594.06</v>
      </c>
    </row>
    <row r="121" spans="2:12" x14ac:dyDescent="0.3">
      <c r="B121" s="25">
        <v>113</v>
      </c>
      <c r="C121" s="33">
        <v>322</v>
      </c>
      <c r="D121" s="33" t="s">
        <v>425</v>
      </c>
      <c r="E121" s="35">
        <v>44232</v>
      </c>
      <c r="F121" s="33">
        <v>1</v>
      </c>
      <c r="G121" s="33" t="s">
        <v>122</v>
      </c>
      <c r="H121" s="33" t="s">
        <v>71</v>
      </c>
      <c r="I121" s="33" t="s">
        <v>196</v>
      </c>
      <c r="J121" s="34">
        <v>576.58000000000004</v>
      </c>
      <c r="K121" s="34">
        <v>80</v>
      </c>
      <c r="L121" s="34">
        <v>496.58</v>
      </c>
    </row>
    <row r="122" spans="2:12" x14ac:dyDescent="0.3">
      <c r="B122" s="25">
        <v>114</v>
      </c>
      <c r="C122" s="33">
        <v>323</v>
      </c>
      <c r="D122" s="33" t="s">
        <v>277</v>
      </c>
      <c r="E122" s="35">
        <v>44232</v>
      </c>
      <c r="F122" s="33">
        <v>1</v>
      </c>
      <c r="G122" s="33" t="s">
        <v>124</v>
      </c>
      <c r="H122" s="33" t="s">
        <v>71</v>
      </c>
      <c r="I122" s="33" t="s">
        <v>197</v>
      </c>
      <c r="J122" s="34">
        <v>1129.08</v>
      </c>
      <c r="K122" s="34"/>
      <c r="L122" s="34">
        <v>1129.08</v>
      </c>
    </row>
    <row r="123" spans="2:12" x14ac:dyDescent="0.3">
      <c r="B123" s="25">
        <v>115</v>
      </c>
      <c r="C123" s="33">
        <v>354</v>
      </c>
      <c r="D123" s="33" t="s">
        <v>403</v>
      </c>
      <c r="E123" s="35">
        <v>44235</v>
      </c>
      <c r="F123" s="33">
        <v>1</v>
      </c>
      <c r="G123" s="33" t="s">
        <v>122</v>
      </c>
      <c r="H123" s="33" t="s">
        <v>71</v>
      </c>
      <c r="I123" s="33" t="s">
        <v>196</v>
      </c>
      <c r="J123" s="34">
        <v>597.1</v>
      </c>
      <c r="K123" s="34">
        <v>80</v>
      </c>
      <c r="L123" s="34">
        <v>517.1</v>
      </c>
    </row>
    <row r="124" spans="2:12" x14ac:dyDescent="0.3">
      <c r="B124" s="25">
        <v>116</v>
      </c>
      <c r="C124" s="33">
        <v>380</v>
      </c>
      <c r="D124" s="33" t="s">
        <v>426</v>
      </c>
      <c r="E124" s="35">
        <v>44237</v>
      </c>
      <c r="F124" s="33">
        <v>1</v>
      </c>
      <c r="G124" s="33" t="s">
        <v>232</v>
      </c>
      <c r="H124" s="33" t="s">
        <v>71</v>
      </c>
      <c r="I124" s="33" t="s">
        <v>75</v>
      </c>
      <c r="J124" s="34">
        <v>980.95</v>
      </c>
      <c r="K124" s="34"/>
      <c r="L124" s="34">
        <v>980.95</v>
      </c>
    </row>
    <row r="125" spans="2:12" x14ac:dyDescent="0.3">
      <c r="B125" s="25">
        <v>117</v>
      </c>
      <c r="C125" s="33">
        <v>381</v>
      </c>
      <c r="D125" s="33" t="s">
        <v>427</v>
      </c>
      <c r="E125" s="35">
        <v>44237</v>
      </c>
      <c r="F125" s="33">
        <v>1</v>
      </c>
      <c r="G125" s="33" t="s">
        <v>232</v>
      </c>
      <c r="H125" s="33" t="s">
        <v>71</v>
      </c>
      <c r="I125" s="33" t="s">
        <v>75</v>
      </c>
      <c r="J125" s="34">
        <v>618.65</v>
      </c>
      <c r="K125" s="34">
        <v>80</v>
      </c>
      <c r="L125" s="34">
        <v>538.65</v>
      </c>
    </row>
    <row r="126" spans="2:12" x14ac:dyDescent="0.3">
      <c r="B126" s="25">
        <v>118</v>
      </c>
      <c r="C126" s="33">
        <v>382</v>
      </c>
      <c r="D126" s="33" t="s">
        <v>428</v>
      </c>
      <c r="E126" s="35">
        <v>44237</v>
      </c>
      <c r="F126" s="33">
        <v>1</v>
      </c>
      <c r="G126" s="33" t="s">
        <v>122</v>
      </c>
      <c r="H126" s="33" t="s">
        <v>71</v>
      </c>
      <c r="I126" s="33" t="s">
        <v>196</v>
      </c>
      <c r="J126" s="34">
        <v>45</v>
      </c>
      <c r="K126" s="34"/>
      <c r="L126" s="34">
        <v>45</v>
      </c>
    </row>
    <row r="127" spans="2:12" x14ac:dyDescent="0.3">
      <c r="B127" s="25">
        <v>119</v>
      </c>
      <c r="C127" s="33">
        <v>406</v>
      </c>
      <c r="D127" s="33" t="s">
        <v>429</v>
      </c>
      <c r="E127" s="35">
        <v>44238</v>
      </c>
      <c r="F127" s="33">
        <v>1</v>
      </c>
      <c r="G127" s="33" t="s">
        <v>232</v>
      </c>
      <c r="H127" s="33" t="s">
        <v>71</v>
      </c>
      <c r="I127" s="33" t="s">
        <v>75</v>
      </c>
      <c r="J127" s="34">
        <v>273.91000000000003</v>
      </c>
      <c r="K127" s="34">
        <v>80</v>
      </c>
      <c r="L127" s="34">
        <v>193.91</v>
      </c>
    </row>
    <row r="128" spans="2:12" x14ac:dyDescent="0.3">
      <c r="B128" s="25">
        <v>120</v>
      </c>
      <c r="C128" s="33">
        <v>485</v>
      </c>
      <c r="D128" s="33" t="s">
        <v>284</v>
      </c>
      <c r="E128" s="35">
        <v>44243</v>
      </c>
      <c r="F128" s="33">
        <v>1</v>
      </c>
      <c r="G128" s="33" t="s">
        <v>124</v>
      </c>
      <c r="H128" s="33" t="s">
        <v>71</v>
      </c>
      <c r="I128" s="33" t="s">
        <v>197</v>
      </c>
      <c r="J128" s="34">
        <v>695.6</v>
      </c>
      <c r="K128" s="34">
        <v>80</v>
      </c>
      <c r="L128" s="34">
        <v>615.6</v>
      </c>
    </row>
    <row r="129" spans="2:12" x14ac:dyDescent="0.3">
      <c r="B129" s="25">
        <v>121</v>
      </c>
      <c r="C129" s="33">
        <v>529</v>
      </c>
      <c r="D129" s="33" t="s">
        <v>426</v>
      </c>
      <c r="E129" s="35">
        <v>44244</v>
      </c>
      <c r="F129" s="33">
        <v>1</v>
      </c>
      <c r="G129" s="33" t="s">
        <v>232</v>
      </c>
      <c r="H129" s="33" t="s">
        <v>71</v>
      </c>
      <c r="I129" s="33" t="s">
        <v>75</v>
      </c>
      <c r="J129" s="34">
        <v>445.38</v>
      </c>
      <c r="K129" s="34">
        <v>80</v>
      </c>
      <c r="L129" s="34">
        <v>365.38</v>
      </c>
    </row>
    <row r="130" spans="2:12" x14ac:dyDescent="0.3">
      <c r="B130" s="25">
        <v>122</v>
      </c>
      <c r="C130" s="33">
        <v>583</v>
      </c>
      <c r="D130" s="33" t="s">
        <v>285</v>
      </c>
      <c r="E130" s="35">
        <v>44249</v>
      </c>
      <c r="F130" s="33">
        <v>1</v>
      </c>
      <c r="G130" s="33" t="s">
        <v>124</v>
      </c>
      <c r="H130" s="33" t="s">
        <v>71</v>
      </c>
      <c r="I130" s="33" t="s">
        <v>197</v>
      </c>
      <c r="J130" s="34">
        <v>903.24</v>
      </c>
      <c r="K130" s="34"/>
      <c r="L130" s="34">
        <v>903.24</v>
      </c>
    </row>
    <row r="131" spans="2:12" x14ac:dyDescent="0.3">
      <c r="B131" s="25">
        <v>123</v>
      </c>
      <c r="C131" s="33">
        <v>588</v>
      </c>
      <c r="D131" s="33" t="s">
        <v>430</v>
      </c>
      <c r="E131" s="35">
        <v>44249</v>
      </c>
      <c r="F131" s="33">
        <v>1</v>
      </c>
      <c r="G131" s="33" t="s">
        <v>231</v>
      </c>
      <c r="H131" s="33" t="s">
        <v>71</v>
      </c>
      <c r="I131" s="33" t="s">
        <v>198</v>
      </c>
      <c r="J131" s="34">
        <v>874.72</v>
      </c>
      <c r="K131" s="34">
        <v>80</v>
      </c>
      <c r="L131" s="34">
        <v>794.72</v>
      </c>
    </row>
    <row r="132" spans="2:12" x14ac:dyDescent="0.3">
      <c r="B132" s="25">
        <v>124</v>
      </c>
      <c r="C132" s="33">
        <v>592</v>
      </c>
      <c r="D132" s="33" t="s">
        <v>278</v>
      </c>
      <c r="E132" s="35">
        <v>44249</v>
      </c>
      <c r="F132" s="33">
        <v>1</v>
      </c>
      <c r="G132" s="33" t="s">
        <v>124</v>
      </c>
      <c r="H132" s="33" t="s">
        <v>71</v>
      </c>
      <c r="I132" s="33" t="s">
        <v>197</v>
      </c>
      <c r="J132" s="34">
        <v>367.79</v>
      </c>
      <c r="K132" s="34">
        <v>80</v>
      </c>
      <c r="L132" s="34">
        <v>287.79000000000002</v>
      </c>
    </row>
    <row r="133" spans="2:12" x14ac:dyDescent="0.3">
      <c r="B133" s="25">
        <v>125</v>
      </c>
      <c r="C133" s="33">
        <v>597</v>
      </c>
      <c r="D133" s="33" t="s">
        <v>401</v>
      </c>
      <c r="E133" s="35">
        <v>44250</v>
      </c>
      <c r="F133" s="33">
        <v>1</v>
      </c>
      <c r="G133" s="33" t="s">
        <v>231</v>
      </c>
      <c r="H133" s="33" t="s">
        <v>71</v>
      </c>
      <c r="I133" s="33" t="s">
        <v>198</v>
      </c>
      <c r="J133" s="34">
        <v>631.24</v>
      </c>
      <c r="K133" s="34">
        <v>80</v>
      </c>
      <c r="L133" s="34">
        <v>551.24</v>
      </c>
    </row>
    <row r="134" spans="2:12" x14ac:dyDescent="0.3">
      <c r="B134" s="25">
        <v>126</v>
      </c>
      <c r="C134" s="33">
        <v>658</v>
      </c>
      <c r="D134" s="33" t="s">
        <v>286</v>
      </c>
      <c r="E134" s="35">
        <v>44252</v>
      </c>
      <c r="F134" s="33">
        <v>1</v>
      </c>
      <c r="G134" s="33" t="s">
        <v>124</v>
      </c>
      <c r="H134" s="33" t="s">
        <v>71</v>
      </c>
      <c r="I134" s="33" t="s">
        <v>197</v>
      </c>
      <c r="J134" s="34">
        <v>1132.95</v>
      </c>
      <c r="K134" s="34"/>
      <c r="L134" s="34">
        <v>1132.95</v>
      </c>
    </row>
    <row r="135" spans="2:12" x14ac:dyDescent="0.3">
      <c r="B135" s="25">
        <v>127</v>
      </c>
      <c r="C135" s="33">
        <v>50005</v>
      </c>
      <c r="D135" s="33" t="s">
        <v>400</v>
      </c>
      <c r="E135" s="35">
        <v>44203</v>
      </c>
      <c r="F135" s="33">
        <v>1</v>
      </c>
      <c r="G135" s="33" t="s">
        <v>231</v>
      </c>
      <c r="H135" s="33" t="s">
        <v>73</v>
      </c>
      <c r="I135" s="33" t="s">
        <v>198</v>
      </c>
      <c r="J135" s="34">
        <v>549.9</v>
      </c>
      <c r="K135" s="34"/>
      <c r="L135" s="34">
        <v>549.9</v>
      </c>
    </row>
    <row r="136" spans="2:12" x14ac:dyDescent="0.3">
      <c r="B136" s="25">
        <v>128</v>
      </c>
      <c r="C136" s="33" t="s">
        <v>431</v>
      </c>
      <c r="D136" s="33" t="s">
        <v>400</v>
      </c>
      <c r="E136" s="35">
        <v>44262</v>
      </c>
      <c r="F136" s="33">
        <v>1</v>
      </c>
      <c r="G136" s="33" t="s">
        <v>231</v>
      </c>
      <c r="H136" s="33" t="s">
        <v>73</v>
      </c>
      <c r="I136" s="33" t="s">
        <v>198</v>
      </c>
      <c r="J136" s="34">
        <v>468.89</v>
      </c>
      <c r="K136" s="34"/>
      <c r="L136" s="34">
        <v>468.89</v>
      </c>
    </row>
    <row r="137" spans="2:12" x14ac:dyDescent="0.3">
      <c r="B137" s="25">
        <v>129</v>
      </c>
      <c r="C137" s="33" t="s">
        <v>432</v>
      </c>
      <c r="D137" s="33" t="s">
        <v>400</v>
      </c>
      <c r="E137" s="35">
        <v>44203</v>
      </c>
      <c r="F137" s="33">
        <v>1</v>
      </c>
      <c r="G137" s="33" t="s">
        <v>231</v>
      </c>
      <c r="H137" s="33">
        <v>53</v>
      </c>
      <c r="I137" s="33" t="s">
        <v>198</v>
      </c>
      <c r="J137" s="34">
        <v>200.73</v>
      </c>
      <c r="K137" s="34"/>
      <c r="L137" s="34">
        <v>200.73</v>
      </c>
    </row>
    <row r="138" spans="2:12" x14ac:dyDescent="0.3">
      <c r="B138" s="25">
        <v>130</v>
      </c>
      <c r="C138" s="33" t="s">
        <v>433</v>
      </c>
      <c r="D138" s="33" t="s">
        <v>400</v>
      </c>
      <c r="E138" s="35">
        <v>44203</v>
      </c>
      <c r="F138" s="33">
        <v>1</v>
      </c>
      <c r="G138" s="33" t="s">
        <v>231</v>
      </c>
      <c r="H138" s="33" t="s">
        <v>73</v>
      </c>
      <c r="I138" s="33" t="s">
        <v>198</v>
      </c>
      <c r="J138" s="34">
        <v>973.35</v>
      </c>
      <c r="K138" s="34"/>
      <c r="L138" s="34">
        <v>973.35</v>
      </c>
    </row>
    <row r="139" spans="2:12" x14ac:dyDescent="0.3">
      <c r="B139" s="25">
        <v>131</v>
      </c>
      <c r="C139" s="33" t="s">
        <v>434</v>
      </c>
      <c r="D139" s="33" t="s">
        <v>400</v>
      </c>
      <c r="E139" s="35">
        <v>44203</v>
      </c>
      <c r="F139" s="33">
        <v>1</v>
      </c>
      <c r="G139" s="33" t="s">
        <v>231</v>
      </c>
      <c r="H139" s="33" t="s">
        <v>73</v>
      </c>
      <c r="I139" s="33" t="s">
        <v>198</v>
      </c>
      <c r="J139" s="34">
        <v>785.26</v>
      </c>
      <c r="K139" s="34"/>
      <c r="L139" s="34">
        <v>785.26</v>
      </c>
    </row>
    <row r="140" spans="2:12" x14ac:dyDescent="0.3">
      <c r="B140" s="25">
        <v>132</v>
      </c>
      <c r="C140" s="33" t="s">
        <v>435</v>
      </c>
      <c r="D140" s="33" t="s">
        <v>400</v>
      </c>
      <c r="E140" s="35">
        <v>44203</v>
      </c>
      <c r="F140" s="33">
        <v>1</v>
      </c>
      <c r="G140" s="33" t="s">
        <v>231</v>
      </c>
      <c r="H140" s="33" t="s">
        <v>73</v>
      </c>
      <c r="I140" s="33" t="s">
        <v>198</v>
      </c>
      <c r="J140" s="34">
        <v>1057.05</v>
      </c>
      <c r="K140" s="34"/>
      <c r="L140" s="34">
        <v>1057.05</v>
      </c>
    </row>
    <row r="141" spans="2:12" x14ac:dyDescent="0.3">
      <c r="B141" s="25">
        <v>133</v>
      </c>
      <c r="C141" s="33" t="s">
        <v>436</v>
      </c>
      <c r="D141" s="33" t="s">
        <v>400</v>
      </c>
      <c r="E141" s="35">
        <v>44203</v>
      </c>
      <c r="F141" s="33">
        <v>1</v>
      </c>
      <c r="G141" s="33" t="s">
        <v>231</v>
      </c>
      <c r="H141" s="33" t="s">
        <v>73</v>
      </c>
      <c r="I141" s="33" t="s">
        <v>198</v>
      </c>
      <c r="J141" s="34">
        <v>934.2</v>
      </c>
      <c r="K141" s="34"/>
      <c r="L141" s="34">
        <v>934.2</v>
      </c>
    </row>
    <row r="142" spans="2:12" x14ac:dyDescent="0.3">
      <c r="B142" s="25">
        <v>134</v>
      </c>
      <c r="C142" s="33">
        <v>50022</v>
      </c>
      <c r="D142" s="33" t="s">
        <v>411</v>
      </c>
      <c r="E142" s="35">
        <v>44203</v>
      </c>
      <c r="F142" s="33">
        <v>1</v>
      </c>
      <c r="G142" s="33" t="s">
        <v>122</v>
      </c>
      <c r="H142" s="33" t="s">
        <v>73</v>
      </c>
      <c r="I142" s="33" t="s">
        <v>196</v>
      </c>
      <c r="J142" s="34">
        <v>284.5</v>
      </c>
      <c r="K142" s="34"/>
      <c r="L142" s="34">
        <v>284.5</v>
      </c>
    </row>
    <row r="143" spans="2:12" x14ac:dyDescent="0.3">
      <c r="B143" s="25">
        <v>135</v>
      </c>
      <c r="C143" s="33">
        <v>50025</v>
      </c>
      <c r="D143" s="33" t="s">
        <v>437</v>
      </c>
      <c r="E143" s="35">
        <v>44203</v>
      </c>
      <c r="F143" s="33">
        <v>1</v>
      </c>
      <c r="G143" s="33" t="s">
        <v>122</v>
      </c>
      <c r="H143" s="33" t="s">
        <v>73</v>
      </c>
      <c r="I143" s="33" t="s">
        <v>196</v>
      </c>
      <c r="J143" s="34">
        <v>219.87</v>
      </c>
      <c r="K143" s="34"/>
      <c r="L143" s="34">
        <v>219.87</v>
      </c>
    </row>
    <row r="144" spans="2:12" x14ac:dyDescent="0.3">
      <c r="B144" s="25">
        <v>136</v>
      </c>
      <c r="C144" s="33">
        <v>50072</v>
      </c>
      <c r="D144" s="33" t="s">
        <v>400</v>
      </c>
      <c r="E144" s="35">
        <v>44209</v>
      </c>
      <c r="F144" s="33">
        <v>1</v>
      </c>
      <c r="G144" s="33" t="s">
        <v>231</v>
      </c>
      <c r="H144" s="33">
        <v>53</v>
      </c>
      <c r="I144" s="33" t="s">
        <v>198</v>
      </c>
      <c r="J144" s="34">
        <v>695.97</v>
      </c>
      <c r="K144" s="34"/>
      <c r="L144" s="34">
        <v>695.97</v>
      </c>
    </row>
    <row r="145" spans="2:12" x14ac:dyDescent="0.3">
      <c r="B145" s="25">
        <v>137</v>
      </c>
      <c r="C145" s="33">
        <v>50073</v>
      </c>
      <c r="D145" s="33" t="s">
        <v>400</v>
      </c>
      <c r="E145" s="35">
        <v>44209</v>
      </c>
      <c r="F145" s="33">
        <v>1</v>
      </c>
      <c r="G145" s="33" t="s">
        <v>231</v>
      </c>
      <c r="H145" s="33">
        <v>53</v>
      </c>
      <c r="I145" s="33" t="s">
        <v>198</v>
      </c>
      <c r="J145" s="34">
        <v>168.77</v>
      </c>
      <c r="K145" s="34"/>
      <c r="L145" s="34">
        <v>168.77</v>
      </c>
    </row>
    <row r="146" spans="2:12" x14ac:dyDescent="0.3">
      <c r="B146" s="25">
        <v>138</v>
      </c>
      <c r="C146" s="33">
        <v>50239</v>
      </c>
      <c r="D146" s="33" t="s">
        <v>400</v>
      </c>
      <c r="E146" s="35">
        <v>44217</v>
      </c>
      <c r="F146" s="33">
        <v>1</v>
      </c>
      <c r="G146" s="33" t="s">
        <v>231</v>
      </c>
      <c r="H146" s="33">
        <v>53</v>
      </c>
      <c r="I146" s="33" t="s">
        <v>198</v>
      </c>
      <c r="J146" s="34">
        <v>4.3600000000000003</v>
      </c>
      <c r="K146" s="34"/>
      <c r="L146" s="34">
        <v>4.3600000000000003</v>
      </c>
    </row>
    <row r="147" spans="2:12" x14ac:dyDescent="0.3">
      <c r="B147" s="25">
        <v>139</v>
      </c>
      <c r="C147" s="33">
        <v>50246</v>
      </c>
      <c r="D147" s="33" t="s">
        <v>399</v>
      </c>
      <c r="E147" s="35">
        <v>44217</v>
      </c>
      <c r="F147" s="33">
        <v>1</v>
      </c>
      <c r="G147" s="33" t="s">
        <v>122</v>
      </c>
      <c r="H147" s="33" t="s">
        <v>73</v>
      </c>
      <c r="I147" s="33" t="s">
        <v>196</v>
      </c>
      <c r="J147" s="34">
        <v>325</v>
      </c>
      <c r="K147" s="34"/>
      <c r="L147" s="34">
        <v>325</v>
      </c>
    </row>
    <row r="148" spans="2:12" x14ac:dyDescent="0.3">
      <c r="B148" s="25">
        <v>140</v>
      </c>
      <c r="C148" s="33">
        <v>50292</v>
      </c>
      <c r="D148" s="33" t="s">
        <v>438</v>
      </c>
      <c r="E148" s="35">
        <v>44224</v>
      </c>
      <c r="F148" s="33">
        <v>1</v>
      </c>
      <c r="G148" s="33" t="s">
        <v>122</v>
      </c>
      <c r="H148" s="33" t="s">
        <v>73</v>
      </c>
      <c r="I148" s="33" t="s">
        <v>196</v>
      </c>
      <c r="J148" s="34">
        <v>1148</v>
      </c>
      <c r="K148" s="34"/>
      <c r="L148" s="34">
        <v>1148</v>
      </c>
    </row>
    <row r="149" spans="2:12" x14ac:dyDescent="0.3">
      <c r="B149" s="25">
        <v>141</v>
      </c>
      <c r="C149" s="33" t="s">
        <v>439</v>
      </c>
      <c r="D149" s="33" t="s">
        <v>411</v>
      </c>
      <c r="E149" s="35">
        <v>44224</v>
      </c>
      <c r="F149" s="33">
        <v>1</v>
      </c>
      <c r="G149" s="33" t="s">
        <v>122</v>
      </c>
      <c r="H149" s="33">
        <v>53</v>
      </c>
      <c r="I149" s="33" t="s">
        <v>196</v>
      </c>
      <c r="J149" s="34">
        <v>81.36</v>
      </c>
      <c r="K149" s="34"/>
      <c r="L149" s="34">
        <v>81.36</v>
      </c>
    </row>
    <row r="150" spans="2:12" x14ac:dyDescent="0.3">
      <c r="B150" s="25">
        <v>142</v>
      </c>
      <c r="C150" s="33" t="s">
        <v>440</v>
      </c>
      <c r="D150" s="33" t="s">
        <v>400</v>
      </c>
      <c r="E150" s="35">
        <v>44224</v>
      </c>
      <c r="F150" s="33">
        <v>1</v>
      </c>
      <c r="G150" s="33" t="s">
        <v>231</v>
      </c>
      <c r="H150" s="33">
        <v>53</v>
      </c>
      <c r="I150" s="33" t="s">
        <v>198</v>
      </c>
      <c r="J150" s="34">
        <v>2190.59</v>
      </c>
      <c r="K150" s="34"/>
      <c r="L150" s="34">
        <v>2190.59</v>
      </c>
    </row>
    <row r="151" spans="2:12" x14ac:dyDescent="0.3">
      <c r="B151" s="25">
        <v>143</v>
      </c>
      <c r="C151" s="33">
        <v>50299</v>
      </c>
      <c r="D151" s="33" t="s">
        <v>400</v>
      </c>
      <c r="E151" s="35">
        <v>44224</v>
      </c>
      <c r="F151" s="33">
        <v>1</v>
      </c>
      <c r="G151" s="33" t="s">
        <v>231</v>
      </c>
      <c r="H151" s="33" t="s">
        <v>73</v>
      </c>
      <c r="I151" s="33" t="s">
        <v>198</v>
      </c>
      <c r="J151" s="34">
        <v>96.3</v>
      </c>
      <c r="K151" s="34"/>
      <c r="L151" s="34">
        <v>96.3</v>
      </c>
    </row>
    <row r="152" spans="2:12" x14ac:dyDescent="0.3">
      <c r="B152" s="25">
        <v>144</v>
      </c>
      <c r="C152" s="33">
        <v>1999</v>
      </c>
      <c r="D152" s="33" t="s">
        <v>402</v>
      </c>
      <c r="E152" s="35">
        <v>44227</v>
      </c>
      <c r="F152" s="33">
        <v>1</v>
      </c>
      <c r="G152" s="33" t="s">
        <v>122</v>
      </c>
      <c r="H152" s="33" t="s">
        <v>73</v>
      </c>
      <c r="I152" s="33" t="s">
        <v>196</v>
      </c>
      <c r="J152" s="34">
        <v>23.03</v>
      </c>
      <c r="K152" s="34"/>
      <c r="L152" s="34">
        <v>23.03</v>
      </c>
    </row>
    <row r="153" spans="2:12" x14ac:dyDescent="0.3">
      <c r="B153" s="25">
        <v>145</v>
      </c>
      <c r="C153" s="33">
        <v>50425</v>
      </c>
      <c r="D153" s="33" t="s">
        <v>441</v>
      </c>
      <c r="E153" s="35">
        <v>44231</v>
      </c>
      <c r="F153" s="33">
        <v>1</v>
      </c>
      <c r="G153" s="33" t="s">
        <v>122</v>
      </c>
      <c r="H153" s="33">
        <v>53</v>
      </c>
      <c r="I153" s="33" t="s">
        <v>196</v>
      </c>
      <c r="J153" s="34">
        <v>440.5</v>
      </c>
      <c r="K153" s="34"/>
      <c r="L153" s="34">
        <v>440.5</v>
      </c>
    </row>
    <row r="154" spans="2:12" x14ac:dyDescent="0.3">
      <c r="B154" s="25">
        <v>146</v>
      </c>
      <c r="C154" s="33">
        <v>50426</v>
      </c>
      <c r="D154" s="33" t="s">
        <v>411</v>
      </c>
      <c r="E154" s="35">
        <v>44231</v>
      </c>
      <c r="F154" s="33">
        <v>1</v>
      </c>
      <c r="G154" s="33" t="s">
        <v>122</v>
      </c>
      <c r="H154" s="33">
        <v>53</v>
      </c>
      <c r="I154" s="33" t="s">
        <v>196</v>
      </c>
      <c r="J154" s="34">
        <v>235.35</v>
      </c>
      <c r="K154" s="34"/>
      <c r="L154" s="34">
        <v>235.35</v>
      </c>
    </row>
    <row r="155" spans="2:12" x14ac:dyDescent="0.3">
      <c r="B155" s="25">
        <v>147</v>
      </c>
      <c r="C155" s="33">
        <v>50434</v>
      </c>
      <c r="D155" s="33" t="s">
        <v>400</v>
      </c>
      <c r="E155" s="35">
        <v>44231</v>
      </c>
      <c r="F155" s="33">
        <v>1</v>
      </c>
      <c r="G155" s="33" t="s">
        <v>231</v>
      </c>
      <c r="H155" s="33">
        <v>53</v>
      </c>
      <c r="I155" s="33" t="s">
        <v>198</v>
      </c>
      <c r="J155" s="34">
        <v>291.47000000000003</v>
      </c>
      <c r="K155" s="34"/>
      <c r="L155" s="34">
        <v>291.47000000000003</v>
      </c>
    </row>
    <row r="156" spans="2:12" x14ac:dyDescent="0.3">
      <c r="B156" s="25">
        <v>148</v>
      </c>
      <c r="C156" s="33">
        <v>50435</v>
      </c>
      <c r="D156" s="33" t="s">
        <v>400</v>
      </c>
      <c r="E156" s="35">
        <v>44231</v>
      </c>
      <c r="F156" s="33">
        <v>1</v>
      </c>
      <c r="G156" s="33" t="s">
        <v>231</v>
      </c>
      <c r="H156" s="33">
        <v>53</v>
      </c>
      <c r="I156" s="33" t="s">
        <v>198</v>
      </c>
      <c r="J156" s="34">
        <v>145.49</v>
      </c>
      <c r="K156" s="34"/>
      <c r="L156" s="34">
        <v>145.49</v>
      </c>
    </row>
    <row r="157" spans="2:12" x14ac:dyDescent="0.3">
      <c r="B157" s="25">
        <v>149</v>
      </c>
      <c r="C157" s="33">
        <v>3598</v>
      </c>
      <c r="D157" s="33" t="s">
        <v>402</v>
      </c>
      <c r="E157" s="35">
        <v>44243</v>
      </c>
      <c r="F157" s="33">
        <v>1</v>
      </c>
      <c r="G157" s="33" t="s">
        <v>122</v>
      </c>
      <c r="H157" s="33" t="s">
        <v>73</v>
      </c>
      <c r="I157" s="33" t="s">
        <v>196</v>
      </c>
      <c r="J157" s="34">
        <v>1421.98</v>
      </c>
      <c r="K157" s="34"/>
      <c r="L157" s="34">
        <v>1421.98</v>
      </c>
    </row>
    <row r="158" spans="2:12" x14ac:dyDescent="0.3">
      <c r="B158" s="25">
        <v>150</v>
      </c>
      <c r="C158" s="33">
        <v>50513</v>
      </c>
      <c r="D158" s="33" t="s">
        <v>442</v>
      </c>
      <c r="E158" s="35">
        <v>44238</v>
      </c>
      <c r="F158" s="33">
        <v>1</v>
      </c>
      <c r="G158" s="33" t="s">
        <v>122</v>
      </c>
      <c r="H158" s="33" t="s">
        <v>73</v>
      </c>
      <c r="I158" s="33" t="s">
        <v>196</v>
      </c>
      <c r="J158" s="34">
        <v>2800.9</v>
      </c>
      <c r="K158" s="34"/>
      <c r="L158" s="34">
        <v>2800.9</v>
      </c>
    </row>
    <row r="159" spans="2:12" x14ac:dyDescent="0.3">
      <c r="B159" s="25">
        <v>151</v>
      </c>
      <c r="C159" s="33">
        <v>50514</v>
      </c>
      <c r="D159" s="33" t="s">
        <v>411</v>
      </c>
      <c r="E159" s="35">
        <v>44238</v>
      </c>
      <c r="F159" s="33">
        <v>1</v>
      </c>
      <c r="G159" s="33" t="s">
        <v>122</v>
      </c>
      <c r="H159" s="33" t="s">
        <v>73</v>
      </c>
      <c r="I159" s="33" t="s">
        <v>196</v>
      </c>
      <c r="J159" s="34">
        <v>542.5</v>
      </c>
      <c r="K159" s="34"/>
      <c r="L159" s="34">
        <v>542.5</v>
      </c>
    </row>
    <row r="160" spans="2:12" x14ac:dyDescent="0.3">
      <c r="B160" s="25">
        <v>153</v>
      </c>
      <c r="C160" s="33">
        <v>50595</v>
      </c>
      <c r="D160" s="33" t="s">
        <v>443</v>
      </c>
      <c r="E160" s="35">
        <v>44245</v>
      </c>
      <c r="F160" s="33">
        <v>1</v>
      </c>
      <c r="G160" s="33" t="s">
        <v>122</v>
      </c>
      <c r="H160" s="33" t="s">
        <v>73</v>
      </c>
      <c r="I160" s="33" t="s">
        <v>196</v>
      </c>
      <c r="J160" s="34">
        <v>1281</v>
      </c>
      <c r="K160" s="34"/>
      <c r="L160" s="34">
        <v>1281</v>
      </c>
    </row>
    <row r="161" spans="2:12" x14ac:dyDescent="0.3">
      <c r="B161" s="25">
        <v>154</v>
      </c>
      <c r="C161" s="33">
        <v>50598</v>
      </c>
      <c r="D161" s="33" t="s">
        <v>391</v>
      </c>
      <c r="E161" s="35">
        <v>44245</v>
      </c>
      <c r="F161" s="33">
        <v>1</v>
      </c>
      <c r="G161" s="33" t="s">
        <v>122</v>
      </c>
      <c r="H161" s="33" t="s">
        <v>73</v>
      </c>
      <c r="I161" s="33" t="s">
        <v>196</v>
      </c>
      <c r="J161" s="34">
        <v>728.42</v>
      </c>
      <c r="K161" s="34"/>
      <c r="L161" s="34">
        <v>728.42</v>
      </c>
    </row>
    <row r="162" spans="2:12" x14ac:dyDescent="0.3">
      <c r="B162" s="25">
        <v>155</v>
      </c>
      <c r="C162" s="33" t="s">
        <v>444</v>
      </c>
      <c r="D162" s="33" t="s">
        <v>391</v>
      </c>
      <c r="E162" s="35">
        <v>44245</v>
      </c>
      <c r="F162" s="33">
        <v>1</v>
      </c>
      <c r="G162" s="33" t="s">
        <v>122</v>
      </c>
      <c r="H162" s="33">
        <v>53</v>
      </c>
      <c r="I162" s="33" t="s">
        <v>196</v>
      </c>
      <c r="J162" s="34">
        <v>2941.46</v>
      </c>
      <c r="K162" s="34"/>
      <c r="L162" s="34">
        <v>2941.46</v>
      </c>
    </row>
    <row r="163" spans="2:12" x14ac:dyDescent="0.3">
      <c r="B163" s="25">
        <v>156</v>
      </c>
      <c r="C163" s="33">
        <v>50610</v>
      </c>
      <c r="D163" s="33" t="s">
        <v>400</v>
      </c>
      <c r="E163" s="35">
        <v>44245</v>
      </c>
      <c r="F163" s="33">
        <v>1</v>
      </c>
      <c r="G163" s="33" t="s">
        <v>231</v>
      </c>
      <c r="H163" s="33">
        <v>53</v>
      </c>
      <c r="I163" s="33" t="s">
        <v>198</v>
      </c>
      <c r="J163" s="34">
        <v>1353</v>
      </c>
      <c r="K163" s="34"/>
      <c r="L163" s="34">
        <v>1353</v>
      </c>
    </row>
    <row r="164" spans="2:12" x14ac:dyDescent="0.3">
      <c r="B164" s="25">
        <v>157</v>
      </c>
      <c r="C164" s="33">
        <v>50611</v>
      </c>
      <c r="D164" s="33" t="s">
        <v>400</v>
      </c>
      <c r="E164" s="35">
        <v>44245</v>
      </c>
      <c r="F164" s="33">
        <v>1</v>
      </c>
      <c r="G164" s="33" t="s">
        <v>231</v>
      </c>
      <c r="H164" s="33">
        <v>53</v>
      </c>
      <c r="I164" s="33" t="s">
        <v>198</v>
      </c>
      <c r="J164" s="34">
        <v>626.70000000000005</v>
      </c>
      <c r="K164" s="34"/>
      <c r="L164" s="34">
        <v>626.70000000000005</v>
      </c>
    </row>
    <row r="165" spans="2:12" x14ac:dyDescent="0.3">
      <c r="B165" s="25">
        <v>158</v>
      </c>
      <c r="C165" s="33">
        <v>50612</v>
      </c>
      <c r="D165" s="33" t="s">
        <v>400</v>
      </c>
      <c r="E165" s="35">
        <v>44245</v>
      </c>
      <c r="F165" s="33">
        <v>1</v>
      </c>
      <c r="G165" s="33" t="s">
        <v>231</v>
      </c>
      <c r="H165" s="33">
        <v>53</v>
      </c>
      <c r="I165" s="33" t="s">
        <v>198</v>
      </c>
      <c r="J165" s="34">
        <v>531</v>
      </c>
      <c r="K165" s="34"/>
      <c r="L165" s="34">
        <v>531</v>
      </c>
    </row>
    <row r="166" spans="2:12" x14ac:dyDescent="0.3">
      <c r="B166" s="25">
        <v>159</v>
      </c>
      <c r="C166" s="33">
        <v>50613</v>
      </c>
      <c r="D166" s="33" t="s">
        <v>400</v>
      </c>
      <c r="E166" s="35">
        <v>44245</v>
      </c>
      <c r="F166" s="33">
        <v>1</v>
      </c>
      <c r="G166" s="33" t="s">
        <v>231</v>
      </c>
      <c r="H166" s="33">
        <v>53</v>
      </c>
      <c r="I166" s="33" t="s">
        <v>198</v>
      </c>
      <c r="J166" s="34">
        <v>534.6</v>
      </c>
      <c r="K166" s="34"/>
      <c r="L166" s="34">
        <v>534.6</v>
      </c>
    </row>
    <row r="167" spans="2:12" x14ac:dyDescent="0.3">
      <c r="B167" s="25">
        <v>160</v>
      </c>
      <c r="C167" s="33">
        <v>50617</v>
      </c>
      <c r="D167" s="33" t="s">
        <v>401</v>
      </c>
      <c r="E167" s="35">
        <v>44245</v>
      </c>
      <c r="F167" s="33">
        <v>1</v>
      </c>
      <c r="G167" s="33" t="s">
        <v>231</v>
      </c>
      <c r="H167" s="33">
        <v>53</v>
      </c>
      <c r="I167" s="33" t="s">
        <v>198</v>
      </c>
      <c r="J167" s="34">
        <v>740</v>
      </c>
      <c r="K167" s="34"/>
      <c r="L167" s="34">
        <v>740</v>
      </c>
    </row>
    <row r="168" spans="2:12" x14ac:dyDescent="0.3">
      <c r="B168" s="25">
        <v>161</v>
      </c>
      <c r="C168" s="33">
        <v>50658</v>
      </c>
      <c r="D168" s="33" t="s">
        <v>400</v>
      </c>
      <c r="E168" s="35">
        <v>44251</v>
      </c>
      <c r="F168" s="33">
        <v>1</v>
      </c>
      <c r="G168" s="33" t="s">
        <v>231</v>
      </c>
      <c r="H168" s="33">
        <v>53</v>
      </c>
      <c r="I168" s="33" t="s">
        <v>198</v>
      </c>
      <c r="J168" s="34">
        <v>28.61</v>
      </c>
      <c r="K168" s="34"/>
      <c r="L168" s="34">
        <v>28.61</v>
      </c>
    </row>
    <row r="169" spans="2:12" x14ac:dyDescent="0.3">
      <c r="B169" s="25">
        <v>162</v>
      </c>
      <c r="C169" s="33" t="s">
        <v>445</v>
      </c>
      <c r="D169" s="33" t="s">
        <v>411</v>
      </c>
      <c r="E169" s="35">
        <v>44252</v>
      </c>
      <c r="F169" s="33">
        <v>1</v>
      </c>
      <c r="G169" s="33" t="s">
        <v>122</v>
      </c>
      <c r="H169" s="33">
        <v>53</v>
      </c>
      <c r="I169" s="33" t="s">
        <v>196</v>
      </c>
      <c r="J169" s="34">
        <v>1667.5</v>
      </c>
      <c r="K169" s="34"/>
      <c r="L169" s="34">
        <v>1667.5</v>
      </c>
    </row>
    <row r="170" spans="2:12" x14ac:dyDescent="0.3">
      <c r="B170" s="25">
        <v>163</v>
      </c>
      <c r="C170" s="33">
        <v>50702</v>
      </c>
      <c r="D170" s="33" t="s">
        <v>443</v>
      </c>
      <c r="E170" s="35">
        <v>44253</v>
      </c>
      <c r="F170" s="33">
        <v>1</v>
      </c>
      <c r="G170" s="33" t="s">
        <v>122</v>
      </c>
      <c r="H170" s="33" t="s">
        <v>73</v>
      </c>
      <c r="I170" s="33" t="s">
        <v>196</v>
      </c>
      <c r="J170" s="34">
        <v>312</v>
      </c>
      <c r="K170" s="34"/>
      <c r="L170" s="34">
        <v>312</v>
      </c>
    </row>
    <row r="171" spans="2:12" x14ac:dyDescent="0.3">
      <c r="B171" s="25">
        <v>164</v>
      </c>
      <c r="C171" s="33">
        <v>50703</v>
      </c>
      <c r="D171" s="33" t="s">
        <v>442</v>
      </c>
      <c r="E171" s="35">
        <v>44253</v>
      </c>
      <c r="F171" s="33">
        <v>1</v>
      </c>
      <c r="G171" s="33" t="s">
        <v>122</v>
      </c>
      <c r="H171" s="33" t="s">
        <v>73</v>
      </c>
      <c r="I171" s="33" t="s">
        <v>196</v>
      </c>
      <c r="J171" s="34">
        <v>1230.5</v>
      </c>
      <c r="K171" s="34"/>
      <c r="L171" s="34">
        <v>1230.5</v>
      </c>
    </row>
    <row r="172" spans="2:12" x14ac:dyDescent="0.3">
      <c r="B172" s="25">
        <v>167</v>
      </c>
      <c r="C172" s="33">
        <v>341</v>
      </c>
      <c r="D172" s="33" t="s">
        <v>402</v>
      </c>
      <c r="E172" s="35">
        <v>44243</v>
      </c>
      <c r="F172" s="33">
        <v>1</v>
      </c>
      <c r="G172" s="33" t="s">
        <v>122</v>
      </c>
      <c r="H172" s="33" t="s">
        <v>68</v>
      </c>
      <c r="I172" s="33" t="s">
        <v>196</v>
      </c>
      <c r="J172" s="34">
        <v>210</v>
      </c>
      <c r="K172" s="34"/>
      <c r="L172" s="34">
        <v>210</v>
      </c>
    </row>
    <row r="173" spans="2:12" x14ac:dyDescent="0.3">
      <c r="B173" s="25">
        <v>168</v>
      </c>
      <c r="C173" s="33">
        <v>30789</v>
      </c>
      <c r="D173" s="33" t="s">
        <v>395</v>
      </c>
      <c r="E173" s="35">
        <v>44264</v>
      </c>
      <c r="F173" s="33">
        <v>1</v>
      </c>
      <c r="G173" s="33" t="s">
        <v>122</v>
      </c>
      <c r="H173" s="33" t="s">
        <v>72</v>
      </c>
      <c r="I173" s="33" t="s">
        <v>196</v>
      </c>
      <c r="J173" s="34">
        <v>9737</v>
      </c>
      <c r="K173" s="34"/>
      <c r="L173" s="34">
        <v>9737</v>
      </c>
    </row>
    <row r="174" spans="2:12" x14ac:dyDescent="0.3">
      <c r="B174" s="25">
        <v>169</v>
      </c>
      <c r="C174" s="33">
        <v>30562</v>
      </c>
      <c r="D174" s="33" t="s">
        <v>446</v>
      </c>
      <c r="E174" s="35">
        <v>44218</v>
      </c>
      <c r="F174" s="33">
        <v>1</v>
      </c>
      <c r="G174" s="33" t="s">
        <v>231</v>
      </c>
      <c r="H174" s="33" t="s">
        <v>72</v>
      </c>
      <c r="I174" s="33" t="s">
        <v>198</v>
      </c>
      <c r="J174" s="34">
        <v>1753</v>
      </c>
      <c r="K174" s="34"/>
      <c r="L174" s="34">
        <v>1753</v>
      </c>
    </row>
    <row r="175" spans="2:12" x14ac:dyDescent="0.3">
      <c r="B175" s="25">
        <v>170</v>
      </c>
      <c r="C175" s="33">
        <v>30699</v>
      </c>
      <c r="D175" s="33" t="s">
        <v>447</v>
      </c>
      <c r="E175" s="35">
        <v>44245</v>
      </c>
      <c r="F175" s="33">
        <v>1</v>
      </c>
      <c r="G175" s="33" t="s">
        <v>231</v>
      </c>
      <c r="H175" s="33" t="s">
        <v>72</v>
      </c>
      <c r="I175" s="33" t="s">
        <v>198</v>
      </c>
      <c r="J175" s="34">
        <v>654</v>
      </c>
      <c r="K175" s="34"/>
      <c r="L175" s="34">
        <v>654</v>
      </c>
    </row>
    <row r="176" spans="2:12" x14ac:dyDescent="0.3">
      <c r="B176" s="25">
        <v>171</v>
      </c>
      <c r="C176" s="33">
        <v>30700</v>
      </c>
      <c r="D176" s="33" t="s">
        <v>448</v>
      </c>
      <c r="E176" s="35">
        <v>44245</v>
      </c>
      <c r="F176" s="33">
        <v>1</v>
      </c>
      <c r="G176" s="33" t="s">
        <v>122</v>
      </c>
      <c r="H176" s="33" t="s">
        <v>72</v>
      </c>
      <c r="I176" s="33" t="s">
        <v>196</v>
      </c>
      <c r="J176" s="34">
        <v>3715</v>
      </c>
      <c r="K176" s="34"/>
      <c r="L176" s="34">
        <v>3715</v>
      </c>
    </row>
    <row r="177" spans="2:12" x14ac:dyDescent="0.3">
      <c r="B177" s="25">
        <v>172</v>
      </c>
      <c r="C177" s="33">
        <v>30731</v>
      </c>
      <c r="D177" s="33" t="s">
        <v>449</v>
      </c>
      <c r="E177" s="35">
        <v>44249</v>
      </c>
      <c r="F177" s="33">
        <v>1</v>
      </c>
      <c r="G177" s="33" t="s">
        <v>231</v>
      </c>
      <c r="H177" s="33" t="s">
        <v>72</v>
      </c>
      <c r="I177" s="33" t="s">
        <v>198</v>
      </c>
      <c r="J177" s="34">
        <v>2270.4</v>
      </c>
      <c r="K177" s="34"/>
      <c r="L177" s="34">
        <v>2270.4</v>
      </c>
    </row>
    <row r="178" spans="2:12" x14ac:dyDescent="0.3">
      <c r="B178" s="25">
        <v>173</v>
      </c>
      <c r="C178" s="33">
        <v>30733</v>
      </c>
      <c r="D178" s="33" t="s">
        <v>450</v>
      </c>
      <c r="E178" s="35">
        <v>44249</v>
      </c>
      <c r="F178" s="33">
        <v>1</v>
      </c>
      <c r="G178" s="33" t="s">
        <v>122</v>
      </c>
      <c r="H178" s="33" t="s">
        <v>72</v>
      </c>
      <c r="I178" s="33" t="s">
        <v>196</v>
      </c>
      <c r="J178" s="34">
        <v>6610</v>
      </c>
      <c r="K178" s="34"/>
      <c r="L178" s="34">
        <v>6610</v>
      </c>
    </row>
    <row r="179" spans="2:12" x14ac:dyDescent="0.3">
      <c r="B179" s="25">
        <v>174</v>
      </c>
      <c r="C179" s="33">
        <v>30737</v>
      </c>
      <c r="D179" s="33" t="s">
        <v>448</v>
      </c>
      <c r="E179" s="35">
        <v>44249</v>
      </c>
      <c r="F179" s="33">
        <v>1</v>
      </c>
      <c r="G179" s="33" t="s">
        <v>122</v>
      </c>
      <c r="H179" s="33" t="s">
        <v>72</v>
      </c>
      <c r="I179" s="33" t="s">
        <v>196</v>
      </c>
      <c r="J179" s="34">
        <v>3716</v>
      </c>
      <c r="K179" s="34"/>
      <c r="L179" s="34">
        <v>3716</v>
      </c>
    </row>
    <row r="180" spans="2:12" x14ac:dyDescent="0.3">
      <c r="B180" s="25">
        <v>175</v>
      </c>
      <c r="C180" s="33">
        <v>30739</v>
      </c>
      <c r="D180" s="33" t="s">
        <v>394</v>
      </c>
      <c r="E180" s="35">
        <v>44250</v>
      </c>
      <c r="F180" s="33">
        <v>1</v>
      </c>
      <c r="G180" s="33" t="s">
        <v>122</v>
      </c>
      <c r="H180" s="33" t="s">
        <v>72</v>
      </c>
      <c r="I180" s="33" t="s">
        <v>196</v>
      </c>
      <c r="J180" s="34">
        <v>1723</v>
      </c>
      <c r="K180" s="34"/>
      <c r="L180" s="34">
        <v>1723</v>
      </c>
    </row>
    <row r="181" spans="2:12" x14ac:dyDescent="0.3">
      <c r="B181" s="25">
        <v>176</v>
      </c>
      <c r="C181" s="33">
        <v>30777</v>
      </c>
      <c r="D181" s="33" t="s">
        <v>394</v>
      </c>
      <c r="E181" s="35">
        <v>44252</v>
      </c>
      <c r="F181" s="33">
        <v>1</v>
      </c>
      <c r="G181" s="33" t="s">
        <v>122</v>
      </c>
      <c r="H181" s="33" t="s">
        <v>72</v>
      </c>
      <c r="I181" s="33" t="s">
        <v>196</v>
      </c>
      <c r="J181" s="34">
        <v>2248</v>
      </c>
      <c r="K181" s="34"/>
      <c r="L181" s="34">
        <v>2248</v>
      </c>
    </row>
    <row r="182" spans="2:12" x14ac:dyDescent="0.3">
      <c r="B182" s="25">
        <v>177</v>
      </c>
      <c r="C182" s="33">
        <v>30784</v>
      </c>
      <c r="D182" s="33" t="s">
        <v>394</v>
      </c>
      <c r="E182" s="35">
        <v>44255</v>
      </c>
      <c r="F182" s="33">
        <v>1</v>
      </c>
      <c r="G182" s="33" t="s">
        <v>122</v>
      </c>
      <c r="H182" s="33" t="s">
        <v>72</v>
      </c>
      <c r="I182" s="33" t="s">
        <v>196</v>
      </c>
      <c r="J182" s="34">
        <v>1223.5</v>
      </c>
      <c r="K182" s="34"/>
      <c r="L182" s="34">
        <v>1223.5</v>
      </c>
    </row>
    <row r="183" spans="2:12" x14ac:dyDescent="0.3">
      <c r="B183" s="25">
        <v>178</v>
      </c>
      <c r="C183" s="33">
        <v>30627</v>
      </c>
      <c r="D183" s="33" t="s">
        <v>451</v>
      </c>
      <c r="E183" s="35">
        <v>44225</v>
      </c>
      <c r="F183" s="33">
        <v>1</v>
      </c>
      <c r="G183" s="33" t="s">
        <v>122</v>
      </c>
      <c r="H183" s="33" t="s">
        <v>72</v>
      </c>
      <c r="I183" s="33" t="s">
        <v>196</v>
      </c>
      <c r="J183" s="34">
        <v>11978.9</v>
      </c>
      <c r="K183" s="34"/>
      <c r="L183" s="34">
        <v>11978.9</v>
      </c>
    </row>
    <row r="184" spans="2:12" x14ac:dyDescent="0.3">
      <c r="B184" s="25">
        <v>179</v>
      </c>
      <c r="C184" s="33">
        <v>38</v>
      </c>
      <c r="D184" s="33" t="s">
        <v>452</v>
      </c>
      <c r="E184" s="35">
        <v>44208</v>
      </c>
      <c r="F184" s="33">
        <v>1</v>
      </c>
      <c r="G184" s="33" t="s">
        <v>122</v>
      </c>
      <c r="H184" s="33" t="s">
        <v>71</v>
      </c>
      <c r="I184" s="33" t="s">
        <v>196</v>
      </c>
      <c r="J184" s="34">
        <v>1858.43</v>
      </c>
      <c r="K184" s="34"/>
      <c r="L184" s="34">
        <v>1858.43</v>
      </c>
    </row>
    <row r="185" spans="2:12" x14ac:dyDescent="0.3">
      <c r="B185" s="25">
        <v>180</v>
      </c>
      <c r="C185" s="33">
        <v>59</v>
      </c>
      <c r="D185" s="33" t="s">
        <v>453</v>
      </c>
      <c r="E185" s="35">
        <v>44210</v>
      </c>
      <c r="F185" s="33">
        <v>1</v>
      </c>
      <c r="G185" s="33" t="s">
        <v>122</v>
      </c>
      <c r="H185" s="33" t="s">
        <v>71</v>
      </c>
      <c r="I185" s="33" t="s">
        <v>196</v>
      </c>
      <c r="J185" s="34">
        <v>878.71</v>
      </c>
      <c r="K185" s="34"/>
      <c r="L185" s="34">
        <v>878.71</v>
      </c>
    </row>
    <row r="186" spans="2:12" x14ac:dyDescent="0.3">
      <c r="B186" s="25">
        <v>181</v>
      </c>
      <c r="C186" s="33">
        <v>30767</v>
      </c>
      <c r="D186" s="33" t="s">
        <v>454</v>
      </c>
      <c r="E186" s="35">
        <v>44252</v>
      </c>
      <c r="F186" s="33">
        <v>1</v>
      </c>
      <c r="G186" s="33" t="s">
        <v>122</v>
      </c>
      <c r="H186" s="33" t="s">
        <v>72</v>
      </c>
      <c r="I186" s="33" t="s">
        <v>196</v>
      </c>
      <c r="J186" s="34">
        <v>507.6</v>
      </c>
      <c r="K186" s="34">
        <v>100</v>
      </c>
      <c r="L186" s="34">
        <v>407.6</v>
      </c>
    </row>
    <row r="187" spans="2:12" x14ac:dyDescent="0.3">
      <c r="B187" s="25">
        <v>182</v>
      </c>
      <c r="C187" s="33">
        <v>212</v>
      </c>
      <c r="D187" s="33" t="s">
        <v>277</v>
      </c>
      <c r="E187" s="35">
        <v>44266</v>
      </c>
      <c r="F187" s="33">
        <v>1</v>
      </c>
      <c r="G187" s="33" t="s">
        <v>124</v>
      </c>
      <c r="H187" s="33" t="s">
        <v>71</v>
      </c>
      <c r="I187" s="33" t="s">
        <v>197</v>
      </c>
      <c r="J187" s="34">
        <v>1408.4</v>
      </c>
      <c r="K187" s="34"/>
      <c r="L187" s="34">
        <v>1408.4</v>
      </c>
    </row>
    <row r="188" spans="2:12" x14ac:dyDescent="0.3">
      <c r="B188" s="25">
        <v>183</v>
      </c>
      <c r="C188" s="33">
        <v>213</v>
      </c>
      <c r="D188" s="33" t="s">
        <v>277</v>
      </c>
      <c r="E188" s="35">
        <v>44266</v>
      </c>
      <c r="F188" s="33">
        <v>1</v>
      </c>
      <c r="G188" s="33" t="s">
        <v>124</v>
      </c>
      <c r="H188" s="33" t="s">
        <v>71</v>
      </c>
      <c r="I188" s="33" t="s">
        <v>197</v>
      </c>
      <c r="J188" s="34">
        <v>1658.1</v>
      </c>
      <c r="K188" s="34"/>
      <c r="L188" s="34">
        <v>1658.1</v>
      </c>
    </row>
    <row r="189" spans="2:12" x14ac:dyDescent="0.3">
      <c r="B189" s="25">
        <v>184</v>
      </c>
      <c r="C189" s="33">
        <v>1296</v>
      </c>
      <c r="D189" s="33" t="s">
        <v>455</v>
      </c>
      <c r="E189" s="35">
        <v>44222</v>
      </c>
      <c r="F189" s="33">
        <v>1</v>
      </c>
      <c r="G189" s="33" t="s">
        <v>122</v>
      </c>
      <c r="H189" s="33" t="s">
        <v>73</v>
      </c>
      <c r="I189" s="33" t="s">
        <v>196</v>
      </c>
      <c r="J189" s="34">
        <v>1833.46</v>
      </c>
      <c r="K189" s="34"/>
      <c r="L189" s="34">
        <v>1833.46</v>
      </c>
    </row>
    <row r="190" spans="2:12" x14ac:dyDescent="0.3">
      <c r="B190" s="25">
        <v>185</v>
      </c>
      <c r="C190" s="33">
        <v>1297</v>
      </c>
      <c r="D190" s="33" t="s">
        <v>456</v>
      </c>
      <c r="E190" s="35">
        <v>44222</v>
      </c>
      <c r="F190" s="33">
        <v>1</v>
      </c>
      <c r="G190" s="33" t="s">
        <v>122</v>
      </c>
      <c r="H190" s="33" t="s">
        <v>73</v>
      </c>
      <c r="I190" s="33" t="s">
        <v>196</v>
      </c>
      <c r="J190" s="34">
        <v>2386.17</v>
      </c>
      <c r="K190" s="34"/>
      <c r="L190" s="34">
        <v>2386.17</v>
      </c>
    </row>
    <row r="191" spans="2:12" x14ac:dyDescent="0.3">
      <c r="B191" s="25">
        <v>186</v>
      </c>
      <c r="C191" s="33" t="s">
        <v>457</v>
      </c>
      <c r="D191" s="33" t="s">
        <v>458</v>
      </c>
      <c r="E191" s="35">
        <v>44251</v>
      </c>
      <c r="F191" s="33">
        <v>1</v>
      </c>
      <c r="G191" s="33" t="s">
        <v>122</v>
      </c>
      <c r="H191" s="33" t="s">
        <v>68</v>
      </c>
      <c r="I191" s="33" t="s">
        <v>196</v>
      </c>
      <c r="J191" s="34">
        <v>197.05</v>
      </c>
      <c r="K191" s="34">
        <v>40</v>
      </c>
      <c r="L191" s="34">
        <v>157.05000000000001</v>
      </c>
    </row>
    <row r="192" spans="2:12" x14ac:dyDescent="0.3">
      <c r="B192" s="25">
        <v>187</v>
      </c>
      <c r="C192" s="33">
        <v>30852</v>
      </c>
      <c r="D192" s="33" t="s">
        <v>447</v>
      </c>
      <c r="E192" s="35">
        <v>44271</v>
      </c>
      <c r="F192" s="33">
        <v>1</v>
      </c>
      <c r="G192" s="33" t="s">
        <v>231</v>
      </c>
      <c r="H192" s="33" t="s">
        <v>72</v>
      </c>
      <c r="I192" s="33" t="s">
        <v>198</v>
      </c>
      <c r="J192" s="34">
        <v>654</v>
      </c>
      <c r="K192" s="34"/>
      <c r="L192" s="34">
        <v>654</v>
      </c>
    </row>
    <row r="193" spans="2:12" x14ac:dyDescent="0.3">
      <c r="B193" s="25">
        <v>188</v>
      </c>
      <c r="C193" s="33">
        <v>30866</v>
      </c>
      <c r="D193" s="33" t="s">
        <v>459</v>
      </c>
      <c r="E193" s="35">
        <v>44277</v>
      </c>
      <c r="F193" s="33">
        <v>1</v>
      </c>
      <c r="G193" s="33" t="s">
        <v>231</v>
      </c>
      <c r="H193" s="33" t="s">
        <v>72</v>
      </c>
      <c r="I193" s="33" t="s">
        <v>198</v>
      </c>
      <c r="J193" s="34">
        <v>4378</v>
      </c>
      <c r="K193" s="34"/>
      <c r="L193" s="34">
        <v>4378</v>
      </c>
    </row>
    <row r="194" spans="2:12" x14ac:dyDescent="0.3">
      <c r="B194" s="25">
        <v>189</v>
      </c>
      <c r="C194" s="33">
        <v>237</v>
      </c>
      <c r="D194" s="33" t="s">
        <v>361</v>
      </c>
      <c r="E194" s="35">
        <v>44274</v>
      </c>
      <c r="F194" s="33">
        <v>1</v>
      </c>
      <c r="G194" s="33" t="s">
        <v>124</v>
      </c>
      <c r="H194" s="33" t="s">
        <v>71</v>
      </c>
      <c r="I194" s="33" t="s">
        <v>197</v>
      </c>
      <c r="J194" s="34">
        <v>4538.96</v>
      </c>
      <c r="K194" s="34"/>
      <c r="L194" s="34">
        <v>4538.96</v>
      </c>
    </row>
    <row r="195" spans="2:12" x14ac:dyDescent="0.3">
      <c r="B195" s="25">
        <v>190</v>
      </c>
      <c r="C195" s="33">
        <v>6470</v>
      </c>
      <c r="D195" s="33" t="s">
        <v>460</v>
      </c>
      <c r="E195" s="35">
        <v>44271</v>
      </c>
      <c r="F195" s="33">
        <v>1</v>
      </c>
      <c r="G195" s="33" t="s">
        <v>122</v>
      </c>
      <c r="H195" s="33" t="s">
        <v>73</v>
      </c>
      <c r="I195" s="33" t="s">
        <v>196</v>
      </c>
      <c r="J195" s="34">
        <v>735.5</v>
      </c>
      <c r="K195" s="34"/>
      <c r="L195" s="34">
        <v>735.5</v>
      </c>
    </row>
    <row r="196" spans="2:12" x14ac:dyDescent="0.3">
      <c r="B196" s="25">
        <v>192</v>
      </c>
      <c r="C196" s="33">
        <v>30872</v>
      </c>
      <c r="D196" s="33" t="s">
        <v>461</v>
      </c>
      <c r="E196" s="35">
        <v>44279</v>
      </c>
      <c r="F196" s="33">
        <v>1</v>
      </c>
      <c r="G196" s="33" t="s">
        <v>122</v>
      </c>
      <c r="H196" s="33" t="s">
        <v>72</v>
      </c>
      <c r="I196" s="33" t="s">
        <v>196</v>
      </c>
      <c r="J196" s="34">
        <v>10035</v>
      </c>
      <c r="K196" s="34"/>
      <c r="L196" s="34">
        <v>10035</v>
      </c>
    </row>
    <row r="197" spans="2:12" x14ac:dyDescent="0.3">
      <c r="B197" s="25">
        <v>193</v>
      </c>
      <c r="C197" s="33">
        <v>30853</v>
      </c>
      <c r="D197" s="33" t="s">
        <v>462</v>
      </c>
      <c r="E197" s="35">
        <v>44272</v>
      </c>
      <c r="F197" s="33">
        <v>1</v>
      </c>
      <c r="G197" s="33" t="s">
        <v>122</v>
      </c>
      <c r="H197" s="33" t="s">
        <v>72</v>
      </c>
      <c r="I197" s="33" t="s">
        <v>196</v>
      </c>
      <c r="J197" s="34">
        <v>4241</v>
      </c>
      <c r="K197" s="34"/>
      <c r="L197" s="34">
        <v>4241</v>
      </c>
    </row>
    <row r="198" spans="2:12" x14ac:dyDescent="0.3">
      <c r="B198" s="25">
        <v>194</v>
      </c>
      <c r="C198" s="33">
        <v>30918</v>
      </c>
      <c r="D198" s="33" t="s">
        <v>450</v>
      </c>
      <c r="E198" s="35">
        <v>44286</v>
      </c>
      <c r="F198" s="33">
        <v>1</v>
      </c>
      <c r="G198" s="33" t="s">
        <v>122</v>
      </c>
      <c r="H198" s="33" t="s">
        <v>72</v>
      </c>
      <c r="I198" s="33" t="s">
        <v>196</v>
      </c>
      <c r="J198" s="34">
        <v>5638</v>
      </c>
      <c r="K198" s="34"/>
      <c r="L198" s="34">
        <v>5638</v>
      </c>
    </row>
    <row r="199" spans="2:12" x14ac:dyDescent="0.3">
      <c r="B199" s="25">
        <v>195</v>
      </c>
      <c r="C199" s="33">
        <v>30919</v>
      </c>
      <c r="D199" s="33" t="s">
        <v>394</v>
      </c>
      <c r="E199" s="35">
        <v>44286</v>
      </c>
      <c r="F199" s="33">
        <v>1</v>
      </c>
      <c r="G199" s="33" t="s">
        <v>122</v>
      </c>
      <c r="H199" s="33" t="s">
        <v>72</v>
      </c>
      <c r="I199" s="33" t="s">
        <v>196</v>
      </c>
      <c r="J199" s="34">
        <v>7657.8</v>
      </c>
      <c r="K199" s="34"/>
      <c r="L199" s="34">
        <v>7657.8</v>
      </c>
    </row>
    <row r="200" spans="2:12" x14ac:dyDescent="0.3">
      <c r="B200" s="25">
        <v>196</v>
      </c>
      <c r="C200" s="33">
        <v>30920</v>
      </c>
      <c r="D200" s="33" t="s">
        <v>463</v>
      </c>
      <c r="E200" s="35">
        <v>44286</v>
      </c>
      <c r="F200" s="33">
        <v>1</v>
      </c>
      <c r="G200" s="33" t="s">
        <v>122</v>
      </c>
      <c r="H200" s="33" t="s">
        <v>72</v>
      </c>
      <c r="I200" s="33" t="s">
        <v>196</v>
      </c>
      <c r="J200" s="34">
        <v>11659.7</v>
      </c>
      <c r="K200" s="34"/>
      <c r="L200" s="34">
        <v>11659.7</v>
      </c>
    </row>
    <row r="201" spans="2:12" x14ac:dyDescent="0.3">
      <c r="B201" s="25">
        <v>197</v>
      </c>
      <c r="C201" s="33">
        <v>30923</v>
      </c>
      <c r="D201" s="33" t="s">
        <v>464</v>
      </c>
      <c r="E201" s="35">
        <v>44286</v>
      </c>
      <c r="F201" s="33">
        <v>1</v>
      </c>
      <c r="G201" s="33" t="s">
        <v>122</v>
      </c>
      <c r="H201" s="33" t="s">
        <v>72</v>
      </c>
      <c r="I201" s="33" t="s">
        <v>196</v>
      </c>
      <c r="J201" s="34">
        <v>5726</v>
      </c>
      <c r="K201" s="34"/>
      <c r="L201" s="34">
        <v>5726</v>
      </c>
    </row>
    <row r="202" spans="2:12" x14ac:dyDescent="0.3">
      <c r="B202" s="25">
        <v>198</v>
      </c>
      <c r="C202" s="33" t="s">
        <v>294</v>
      </c>
      <c r="D202" s="33" t="s">
        <v>465</v>
      </c>
      <c r="E202" s="35">
        <v>44278</v>
      </c>
      <c r="F202" s="33">
        <v>1</v>
      </c>
      <c r="G202" s="33" t="s">
        <v>122</v>
      </c>
      <c r="H202" s="33" t="s">
        <v>69</v>
      </c>
      <c r="I202" s="33" t="s">
        <v>196</v>
      </c>
      <c r="J202" s="34">
        <v>7467.46</v>
      </c>
      <c r="K202" s="34"/>
      <c r="L202" s="34">
        <v>7467.46</v>
      </c>
    </row>
    <row r="203" spans="2:12" x14ac:dyDescent="0.3">
      <c r="B203" s="25">
        <v>199</v>
      </c>
      <c r="C203" s="33" t="s">
        <v>297</v>
      </c>
      <c r="D203" s="33" t="s">
        <v>466</v>
      </c>
      <c r="E203" s="35">
        <v>44286</v>
      </c>
      <c r="F203" s="33">
        <v>1</v>
      </c>
      <c r="G203" s="33" t="s">
        <v>122</v>
      </c>
      <c r="H203" s="33" t="s">
        <v>70</v>
      </c>
      <c r="I203" s="33" t="s">
        <v>196</v>
      </c>
      <c r="J203" s="34">
        <v>645.79999999999995</v>
      </c>
      <c r="K203" s="34">
        <v>53</v>
      </c>
      <c r="L203" s="34">
        <v>592.79999999999995</v>
      </c>
    </row>
    <row r="204" spans="2:12" x14ac:dyDescent="0.3">
      <c r="B204" s="25">
        <v>200</v>
      </c>
      <c r="C204" s="33" t="s">
        <v>467</v>
      </c>
      <c r="D204" s="33" t="s">
        <v>466</v>
      </c>
      <c r="E204" s="35">
        <v>44278</v>
      </c>
      <c r="F204" s="33">
        <v>1</v>
      </c>
      <c r="G204" s="33" t="s">
        <v>231</v>
      </c>
      <c r="H204" s="33" t="s">
        <v>70</v>
      </c>
      <c r="I204" s="33" t="s">
        <v>198</v>
      </c>
      <c r="J204" s="34">
        <v>974</v>
      </c>
      <c r="K204" s="34">
        <v>90</v>
      </c>
      <c r="L204" s="34">
        <v>884</v>
      </c>
    </row>
    <row r="205" spans="2:12" x14ac:dyDescent="0.3">
      <c r="B205" s="25">
        <v>201</v>
      </c>
      <c r="C205" s="33" t="s">
        <v>298</v>
      </c>
      <c r="D205" s="33" t="s">
        <v>468</v>
      </c>
      <c r="E205" s="35">
        <v>44257</v>
      </c>
      <c r="F205" s="33">
        <v>1</v>
      </c>
      <c r="G205" s="33" t="s">
        <v>231</v>
      </c>
      <c r="H205" s="33" t="s">
        <v>71</v>
      </c>
      <c r="I205" s="33" t="s">
        <v>198</v>
      </c>
      <c r="J205" s="34">
        <v>668.67</v>
      </c>
      <c r="K205" s="34"/>
      <c r="L205" s="34">
        <v>668.67</v>
      </c>
    </row>
    <row r="206" spans="2:12" x14ac:dyDescent="0.3">
      <c r="B206" s="25">
        <v>202</v>
      </c>
      <c r="C206" s="33">
        <v>665</v>
      </c>
      <c r="D206" s="33" t="s">
        <v>469</v>
      </c>
      <c r="E206" s="35">
        <v>44252</v>
      </c>
      <c r="F206" s="33">
        <v>1</v>
      </c>
      <c r="G206" s="33" t="s">
        <v>122</v>
      </c>
      <c r="H206" s="33" t="s">
        <v>71</v>
      </c>
      <c r="I206" s="33" t="s">
        <v>196</v>
      </c>
      <c r="J206" s="34">
        <v>421.75</v>
      </c>
      <c r="K206" s="34">
        <v>80</v>
      </c>
      <c r="L206" s="34">
        <v>341.75</v>
      </c>
    </row>
    <row r="207" spans="2:12" x14ac:dyDescent="0.3">
      <c r="B207" s="25">
        <v>203</v>
      </c>
      <c r="C207" s="33">
        <v>1661</v>
      </c>
      <c r="D207" s="33" t="s">
        <v>361</v>
      </c>
      <c r="E207" s="35">
        <v>44285</v>
      </c>
      <c r="F207" s="33">
        <v>1</v>
      </c>
      <c r="G207" s="33" t="s">
        <v>124</v>
      </c>
      <c r="H207" s="33" t="s">
        <v>71</v>
      </c>
      <c r="I207" s="33" t="s">
        <v>197</v>
      </c>
      <c r="J207" s="34">
        <v>445.19</v>
      </c>
      <c r="K207" s="34">
        <v>0</v>
      </c>
      <c r="L207" s="34">
        <v>445.19</v>
      </c>
    </row>
    <row r="208" spans="2:12" x14ac:dyDescent="0.3">
      <c r="B208" s="25">
        <v>204</v>
      </c>
      <c r="C208" s="33">
        <v>30956</v>
      </c>
      <c r="D208" s="33" t="s">
        <v>395</v>
      </c>
      <c r="E208" s="35">
        <v>44292</v>
      </c>
      <c r="F208" s="33">
        <v>2</v>
      </c>
      <c r="G208" s="33" t="s">
        <v>122</v>
      </c>
      <c r="H208" s="33" t="s">
        <v>72</v>
      </c>
      <c r="I208" s="33" t="s">
        <v>196</v>
      </c>
      <c r="J208" s="34">
        <v>1407</v>
      </c>
      <c r="K208" s="34"/>
      <c r="L208" s="34">
        <v>1407</v>
      </c>
    </row>
    <row r="209" spans="2:12" x14ac:dyDescent="0.3">
      <c r="B209" s="25">
        <v>205</v>
      </c>
      <c r="C209" s="33">
        <v>578</v>
      </c>
      <c r="D209" s="33" t="s">
        <v>394</v>
      </c>
      <c r="E209" s="35">
        <v>44273</v>
      </c>
      <c r="F209" s="33">
        <v>1</v>
      </c>
      <c r="G209" s="33" t="s">
        <v>122</v>
      </c>
      <c r="H209" s="33" t="s">
        <v>68</v>
      </c>
      <c r="I209" s="33" t="s">
        <v>196</v>
      </c>
      <c r="J209" s="34">
        <v>1545</v>
      </c>
      <c r="K209" s="34"/>
      <c r="L209" s="34">
        <v>1545</v>
      </c>
    </row>
    <row r="210" spans="2:12" x14ac:dyDescent="0.3">
      <c r="B210" s="25">
        <v>206</v>
      </c>
      <c r="C210" s="33">
        <v>1025</v>
      </c>
      <c r="D210" s="33" t="s">
        <v>470</v>
      </c>
      <c r="E210" s="35">
        <v>44274</v>
      </c>
      <c r="F210" s="33">
        <v>1</v>
      </c>
      <c r="G210" s="33" t="s">
        <v>232</v>
      </c>
      <c r="H210" s="33" t="s">
        <v>71</v>
      </c>
      <c r="I210" s="33" t="s">
        <v>75</v>
      </c>
      <c r="J210" s="34">
        <v>1110.45</v>
      </c>
      <c r="K210" s="34"/>
      <c r="L210" s="34">
        <v>1110.45</v>
      </c>
    </row>
    <row r="211" spans="2:12" x14ac:dyDescent="0.3">
      <c r="B211" s="25">
        <v>207</v>
      </c>
      <c r="C211" s="33">
        <v>1153</v>
      </c>
      <c r="D211" s="33" t="s">
        <v>277</v>
      </c>
      <c r="E211" s="35">
        <v>44280</v>
      </c>
      <c r="F211" s="33">
        <v>1</v>
      </c>
      <c r="G211" s="33" t="s">
        <v>124</v>
      </c>
      <c r="H211" s="33" t="s">
        <v>71</v>
      </c>
      <c r="I211" s="33" t="s">
        <v>197</v>
      </c>
      <c r="J211" s="34">
        <v>1298.45</v>
      </c>
      <c r="K211" s="34"/>
      <c r="L211" s="34">
        <v>1298.45</v>
      </c>
    </row>
    <row r="212" spans="2:12" x14ac:dyDescent="0.3">
      <c r="B212" s="25">
        <v>208</v>
      </c>
      <c r="C212" s="33">
        <v>1220</v>
      </c>
      <c r="D212" s="33" t="s">
        <v>426</v>
      </c>
      <c r="E212" s="35">
        <v>44285</v>
      </c>
      <c r="F212" s="33">
        <v>1</v>
      </c>
      <c r="G212" s="33" t="s">
        <v>232</v>
      </c>
      <c r="H212" s="33" t="s">
        <v>71</v>
      </c>
      <c r="I212" s="33" t="s">
        <v>75</v>
      </c>
      <c r="J212" s="34">
        <v>759.51</v>
      </c>
      <c r="K212" s="34">
        <v>80</v>
      </c>
      <c r="L212" s="34">
        <v>679.51</v>
      </c>
    </row>
    <row r="213" spans="2:12" x14ac:dyDescent="0.3">
      <c r="B213" s="25">
        <v>209</v>
      </c>
      <c r="C213" s="33">
        <v>1270</v>
      </c>
      <c r="D213" s="33" t="s">
        <v>392</v>
      </c>
      <c r="E213" s="35">
        <v>44286</v>
      </c>
      <c r="F213" s="33">
        <v>1</v>
      </c>
      <c r="G213" s="33" t="s">
        <v>122</v>
      </c>
      <c r="H213" s="33" t="s">
        <v>71</v>
      </c>
      <c r="I213" s="33" t="s">
        <v>196</v>
      </c>
      <c r="J213" s="34">
        <v>691.33</v>
      </c>
      <c r="K213" s="34">
        <v>80</v>
      </c>
      <c r="L213" s="34">
        <v>611.33000000000004</v>
      </c>
    </row>
    <row r="214" spans="2:12" x14ac:dyDescent="0.3">
      <c r="B214" s="25">
        <v>210</v>
      </c>
      <c r="C214" s="33">
        <v>1017</v>
      </c>
      <c r="D214" s="33" t="s">
        <v>362</v>
      </c>
      <c r="E214" s="35">
        <v>44274</v>
      </c>
      <c r="F214" s="33">
        <v>1</v>
      </c>
      <c r="G214" s="33" t="s">
        <v>124</v>
      </c>
      <c r="H214" s="33" t="s">
        <v>71</v>
      </c>
      <c r="I214" s="33" t="s">
        <v>197</v>
      </c>
      <c r="J214" s="34">
        <v>2084.2199999999998</v>
      </c>
      <c r="K214" s="34"/>
      <c r="L214" s="34">
        <v>2084.2199999999998</v>
      </c>
    </row>
    <row r="215" spans="2:12" x14ac:dyDescent="0.3">
      <c r="B215" s="25">
        <v>211</v>
      </c>
      <c r="C215" s="33">
        <v>1269</v>
      </c>
      <c r="D215" s="33" t="s">
        <v>277</v>
      </c>
      <c r="E215" s="35">
        <v>44286</v>
      </c>
      <c r="F215" s="33">
        <v>1</v>
      </c>
      <c r="G215" s="33" t="s">
        <v>124</v>
      </c>
      <c r="H215" s="33" t="s">
        <v>71</v>
      </c>
      <c r="I215" s="33" t="s">
        <v>197</v>
      </c>
      <c r="J215" s="34">
        <v>129.79</v>
      </c>
      <c r="K215" s="34"/>
      <c r="L215" s="34">
        <v>129.79</v>
      </c>
    </row>
    <row r="216" spans="2:12" x14ac:dyDescent="0.3">
      <c r="B216" s="25">
        <v>212</v>
      </c>
      <c r="C216" s="33">
        <v>816</v>
      </c>
      <c r="D216" s="33" t="s">
        <v>430</v>
      </c>
      <c r="E216" s="35">
        <v>44266</v>
      </c>
      <c r="F216" s="33">
        <v>1</v>
      </c>
      <c r="G216" s="33" t="s">
        <v>231</v>
      </c>
      <c r="H216" s="33" t="s">
        <v>71</v>
      </c>
      <c r="I216" s="33" t="s">
        <v>198</v>
      </c>
      <c r="J216" s="34">
        <v>1421.1</v>
      </c>
      <c r="K216" s="34"/>
      <c r="L216" s="34">
        <v>1421.1</v>
      </c>
    </row>
    <row r="217" spans="2:12" x14ac:dyDescent="0.3">
      <c r="B217" s="25">
        <v>213</v>
      </c>
      <c r="C217" s="33">
        <v>827</v>
      </c>
      <c r="D217" s="33" t="s">
        <v>363</v>
      </c>
      <c r="E217" s="35">
        <v>44266</v>
      </c>
      <c r="F217" s="33">
        <v>1</v>
      </c>
      <c r="G217" s="33" t="s">
        <v>124</v>
      </c>
      <c r="H217" s="33" t="s">
        <v>71</v>
      </c>
      <c r="I217" s="33" t="s">
        <v>197</v>
      </c>
      <c r="J217" s="34">
        <v>1823.04</v>
      </c>
      <c r="K217" s="34"/>
      <c r="L217" s="34">
        <v>1823.04</v>
      </c>
    </row>
    <row r="218" spans="2:12" x14ac:dyDescent="0.3">
      <c r="B218" s="25">
        <v>214</v>
      </c>
      <c r="C218" s="33">
        <v>1179</v>
      </c>
      <c r="D218" s="33" t="s">
        <v>363</v>
      </c>
      <c r="E218" s="35">
        <v>44281</v>
      </c>
      <c r="F218" s="33">
        <v>1</v>
      </c>
      <c r="G218" s="33" t="s">
        <v>124</v>
      </c>
      <c r="H218" s="33" t="s">
        <v>71</v>
      </c>
      <c r="I218" s="33" t="s">
        <v>197</v>
      </c>
      <c r="J218" s="34">
        <v>2126.9</v>
      </c>
      <c r="K218" s="34"/>
      <c r="L218" s="34">
        <v>2126.9</v>
      </c>
    </row>
    <row r="219" spans="2:12" x14ac:dyDescent="0.3">
      <c r="B219" s="25">
        <v>215</v>
      </c>
      <c r="C219" s="33">
        <v>721</v>
      </c>
      <c r="D219" s="33" t="s">
        <v>275</v>
      </c>
      <c r="E219" s="35">
        <v>44258</v>
      </c>
      <c r="F219" s="33">
        <v>1</v>
      </c>
      <c r="G219" s="33" t="s">
        <v>124</v>
      </c>
      <c r="H219" s="33" t="s">
        <v>71</v>
      </c>
      <c r="I219" s="33" t="s">
        <v>197</v>
      </c>
      <c r="J219" s="34">
        <v>872.03</v>
      </c>
      <c r="K219" s="34"/>
      <c r="L219" s="34">
        <v>872.03</v>
      </c>
    </row>
    <row r="220" spans="2:12" x14ac:dyDescent="0.3">
      <c r="B220" s="25">
        <v>216</v>
      </c>
      <c r="C220" s="33">
        <v>813</v>
      </c>
      <c r="D220" s="33" t="s">
        <v>278</v>
      </c>
      <c r="E220" s="35">
        <v>44266</v>
      </c>
      <c r="F220" s="33">
        <v>1</v>
      </c>
      <c r="G220" s="33" t="s">
        <v>124</v>
      </c>
      <c r="H220" s="33" t="s">
        <v>71</v>
      </c>
      <c r="I220" s="33" t="s">
        <v>197</v>
      </c>
      <c r="J220" s="34">
        <v>446.27</v>
      </c>
      <c r="K220" s="34"/>
      <c r="L220" s="34">
        <v>446.27</v>
      </c>
    </row>
    <row r="221" spans="2:12" x14ac:dyDescent="0.3">
      <c r="B221" s="25">
        <v>217</v>
      </c>
      <c r="C221" s="33">
        <v>800</v>
      </c>
      <c r="D221" s="33" t="s">
        <v>364</v>
      </c>
      <c r="E221" s="35">
        <v>44265</v>
      </c>
      <c r="F221" s="33">
        <v>1</v>
      </c>
      <c r="G221" s="33" t="s">
        <v>124</v>
      </c>
      <c r="H221" s="33" t="s">
        <v>71</v>
      </c>
      <c r="I221" s="33" t="s">
        <v>197</v>
      </c>
      <c r="J221" s="34">
        <v>1222.6500000000001</v>
      </c>
      <c r="K221" s="34"/>
      <c r="L221" s="34">
        <v>1222.6500000000001</v>
      </c>
    </row>
    <row r="222" spans="2:12" x14ac:dyDescent="0.3">
      <c r="B222" s="25">
        <v>218</v>
      </c>
      <c r="C222" s="33">
        <v>1198</v>
      </c>
      <c r="D222" s="33" t="s">
        <v>412</v>
      </c>
      <c r="E222" s="35">
        <v>44281</v>
      </c>
      <c r="F222" s="33">
        <v>1</v>
      </c>
      <c r="G222" s="33" t="s">
        <v>231</v>
      </c>
      <c r="H222" s="33" t="s">
        <v>71</v>
      </c>
      <c r="I222" s="33" t="s">
        <v>198</v>
      </c>
      <c r="J222" s="34">
        <v>8393.02</v>
      </c>
      <c r="K222" s="34"/>
      <c r="L222" s="34">
        <v>8393.02</v>
      </c>
    </row>
    <row r="223" spans="2:12" x14ac:dyDescent="0.3">
      <c r="B223" s="25">
        <v>219</v>
      </c>
      <c r="C223" s="33">
        <v>1006</v>
      </c>
      <c r="D223" s="33" t="s">
        <v>471</v>
      </c>
      <c r="E223" s="35">
        <v>44305</v>
      </c>
      <c r="F223" s="33">
        <v>2</v>
      </c>
      <c r="G223" s="33" t="s">
        <v>122</v>
      </c>
      <c r="H223" s="33" t="s">
        <v>71</v>
      </c>
      <c r="I223" s="33" t="s">
        <v>196</v>
      </c>
      <c r="J223" s="34">
        <v>2027.49</v>
      </c>
      <c r="K223" s="34"/>
      <c r="L223" s="34">
        <v>2027.49</v>
      </c>
    </row>
    <row r="224" spans="2:12" x14ac:dyDescent="0.3">
      <c r="B224" s="25">
        <v>220</v>
      </c>
      <c r="C224" s="33">
        <v>839</v>
      </c>
      <c r="D224" s="33" t="s">
        <v>420</v>
      </c>
      <c r="E224" s="35">
        <v>44267</v>
      </c>
      <c r="F224" s="33">
        <v>1</v>
      </c>
      <c r="G224" s="33" t="s">
        <v>232</v>
      </c>
      <c r="H224" s="33" t="s">
        <v>71</v>
      </c>
      <c r="I224" s="33" t="s">
        <v>75</v>
      </c>
      <c r="J224" s="34">
        <v>1358.61</v>
      </c>
      <c r="K224" s="34"/>
      <c r="L224" s="34">
        <v>1358.61</v>
      </c>
    </row>
    <row r="225" spans="2:12" x14ac:dyDescent="0.3">
      <c r="B225" s="25">
        <v>221</v>
      </c>
      <c r="C225" s="33">
        <v>695</v>
      </c>
      <c r="D225" s="33" t="s">
        <v>472</v>
      </c>
      <c r="E225" s="35">
        <v>44256</v>
      </c>
      <c r="F225" s="33">
        <v>1</v>
      </c>
      <c r="G225" s="33" t="s">
        <v>231</v>
      </c>
      <c r="H225" s="33" t="s">
        <v>71</v>
      </c>
      <c r="I225" s="33" t="s">
        <v>198</v>
      </c>
      <c r="J225" s="34">
        <v>7491.1</v>
      </c>
      <c r="K225" s="34"/>
      <c r="L225" s="34">
        <v>7491.1</v>
      </c>
    </row>
    <row r="226" spans="2:12" x14ac:dyDescent="0.3">
      <c r="B226" s="25">
        <v>222</v>
      </c>
      <c r="C226" s="33">
        <v>979</v>
      </c>
      <c r="D226" s="33" t="s">
        <v>403</v>
      </c>
      <c r="E226" s="35">
        <v>44272</v>
      </c>
      <c r="F226" s="33">
        <v>1</v>
      </c>
      <c r="G226" s="33" t="s">
        <v>122</v>
      </c>
      <c r="H226" s="33" t="s">
        <v>71</v>
      </c>
      <c r="I226" s="33" t="s">
        <v>196</v>
      </c>
      <c r="J226" s="34">
        <v>900.32</v>
      </c>
      <c r="K226" s="34"/>
      <c r="L226" s="34">
        <v>900.32</v>
      </c>
    </row>
    <row r="227" spans="2:12" x14ac:dyDescent="0.3">
      <c r="B227" s="25">
        <v>223</v>
      </c>
      <c r="C227" s="33">
        <v>843</v>
      </c>
      <c r="D227" s="33" t="s">
        <v>403</v>
      </c>
      <c r="E227" s="35">
        <v>44267</v>
      </c>
      <c r="F227" s="33">
        <v>1</v>
      </c>
      <c r="G227" s="33" t="s">
        <v>122</v>
      </c>
      <c r="H227" s="33" t="s">
        <v>71</v>
      </c>
      <c r="I227" s="33" t="s">
        <v>196</v>
      </c>
      <c r="J227" s="34">
        <v>564.27</v>
      </c>
      <c r="K227" s="34">
        <v>80</v>
      </c>
      <c r="L227" s="34">
        <v>484.27</v>
      </c>
    </row>
    <row r="228" spans="2:12" x14ac:dyDescent="0.3">
      <c r="B228" s="25">
        <v>224</v>
      </c>
      <c r="C228" s="33">
        <v>922</v>
      </c>
      <c r="D228" s="33" t="s">
        <v>473</v>
      </c>
      <c r="E228" s="35">
        <v>44270</v>
      </c>
      <c r="F228" s="33">
        <v>1</v>
      </c>
      <c r="G228" s="33" t="s">
        <v>122</v>
      </c>
      <c r="H228" s="33" t="s">
        <v>71</v>
      </c>
      <c r="I228" s="33" t="s">
        <v>196</v>
      </c>
      <c r="J228" s="34">
        <v>200.85</v>
      </c>
      <c r="K228" s="34">
        <v>80</v>
      </c>
      <c r="L228" s="34">
        <v>120.85</v>
      </c>
    </row>
    <row r="229" spans="2:12" x14ac:dyDescent="0.3">
      <c r="B229" s="25">
        <v>225</v>
      </c>
      <c r="C229" s="33">
        <v>1264</v>
      </c>
      <c r="D229" s="33" t="s">
        <v>365</v>
      </c>
      <c r="E229" s="35">
        <v>44285</v>
      </c>
      <c r="F229" s="33">
        <v>1</v>
      </c>
      <c r="G229" s="33" t="s">
        <v>124</v>
      </c>
      <c r="H229" s="33" t="s">
        <v>71</v>
      </c>
      <c r="I229" s="33" t="s">
        <v>197</v>
      </c>
      <c r="J229" s="34">
        <v>857.03</v>
      </c>
      <c r="K229" s="34"/>
      <c r="L229" s="34">
        <v>857.03</v>
      </c>
    </row>
    <row r="230" spans="2:12" x14ac:dyDescent="0.3">
      <c r="B230" s="25">
        <v>226</v>
      </c>
      <c r="C230" s="33">
        <v>1199</v>
      </c>
      <c r="D230" s="33" t="s">
        <v>407</v>
      </c>
      <c r="E230" s="35">
        <v>44284</v>
      </c>
      <c r="F230" s="33">
        <v>1</v>
      </c>
      <c r="G230" s="33" t="s">
        <v>231</v>
      </c>
      <c r="H230" s="33" t="s">
        <v>71</v>
      </c>
      <c r="I230" s="33" t="s">
        <v>198</v>
      </c>
      <c r="J230" s="34">
        <v>450.32</v>
      </c>
      <c r="K230" s="34">
        <v>80</v>
      </c>
      <c r="L230" s="34">
        <v>370.32</v>
      </c>
    </row>
    <row r="231" spans="2:12" x14ac:dyDescent="0.3">
      <c r="B231" s="25">
        <v>227</v>
      </c>
      <c r="C231" s="33">
        <v>1016</v>
      </c>
      <c r="D231" s="33" t="s">
        <v>407</v>
      </c>
      <c r="E231" s="35">
        <v>44274</v>
      </c>
      <c r="F231" s="33">
        <v>1</v>
      </c>
      <c r="G231" s="33" t="s">
        <v>231</v>
      </c>
      <c r="H231" s="33" t="s">
        <v>71</v>
      </c>
      <c r="I231" s="33" t="s">
        <v>198</v>
      </c>
      <c r="J231" s="34">
        <v>752.46</v>
      </c>
      <c r="K231" s="34">
        <v>80</v>
      </c>
      <c r="L231" s="34">
        <v>672.46</v>
      </c>
    </row>
    <row r="232" spans="2:12" x14ac:dyDescent="0.3">
      <c r="B232" s="25">
        <v>228</v>
      </c>
      <c r="C232" s="33">
        <v>1026</v>
      </c>
      <c r="D232" s="33" t="s">
        <v>474</v>
      </c>
      <c r="E232" s="35">
        <v>44277</v>
      </c>
      <c r="F232" s="33">
        <v>1</v>
      </c>
      <c r="G232" s="33" t="s">
        <v>232</v>
      </c>
      <c r="H232" s="33" t="s">
        <v>71</v>
      </c>
      <c r="I232" s="33" t="s">
        <v>75</v>
      </c>
      <c r="J232" s="34">
        <v>96.13</v>
      </c>
      <c r="K232" s="34">
        <v>35</v>
      </c>
      <c r="L232" s="34">
        <v>61.13</v>
      </c>
    </row>
    <row r="233" spans="2:12" x14ac:dyDescent="0.3">
      <c r="B233" s="25">
        <v>229</v>
      </c>
      <c r="C233" s="33">
        <v>24</v>
      </c>
      <c r="D233" s="33" t="s">
        <v>474</v>
      </c>
      <c r="E233" s="35">
        <v>44207</v>
      </c>
      <c r="F233" s="33">
        <v>1</v>
      </c>
      <c r="G233" s="33" t="s">
        <v>232</v>
      </c>
      <c r="H233" s="33" t="s">
        <v>71</v>
      </c>
      <c r="I233" s="33" t="s">
        <v>75</v>
      </c>
      <c r="J233" s="34">
        <v>855.86</v>
      </c>
      <c r="K233" s="34"/>
      <c r="L233" s="34">
        <v>855.86</v>
      </c>
    </row>
    <row r="234" spans="2:12" x14ac:dyDescent="0.3">
      <c r="B234" s="25">
        <v>231</v>
      </c>
      <c r="C234" s="33">
        <v>30962</v>
      </c>
      <c r="D234" s="33" t="s">
        <v>475</v>
      </c>
      <c r="E234" s="35">
        <v>44295</v>
      </c>
      <c r="F234" s="33">
        <v>2</v>
      </c>
      <c r="G234" s="33" t="s">
        <v>231</v>
      </c>
      <c r="H234" s="33" t="s">
        <v>72</v>
      </c>
      <c r="I234" s="33" t="s">
        <v>198</v>
      </c>
      <c r="J234" s="34">
        <v>8945</v>
      </c>
      <c r="K234" s="34"/>
      <c r="L234" s="34">
        <v>8945</v>
      </c>
    </row>
    <row r="235" spans="2:12" x14ac:dyDescent="0.3">
      <c r="B235" s="25">
        <v>232</v>
      </c>
      <c r="C235" s="33">
        <v>30973</v>
      </c>
      <c r="D235" s="33" t="s">
        <v>396</v>
      </c>
      <c r="E235" s="35">
        <v>44295</v>
      </c>
      <c r="F235" s="33">
        <v>2</v>
      </c>
      <c r="G235" s="33" t="s">
        <v>122</v>
      </c>
      <c r="H235" s="33" t="s">
        <v>72</v>
      </c>
      <c r="I235" s="33" t="s">
        <v>196</v>
      </c>
      <c r="J235" s="34">
        <v>1092.9000000000001</v>
      </c>
      <c r="K235" s="34"/>
      <c r="L235" s="34">
        <v>1092.9000000000001</v>
      </c>
    </row>
    <row r="236" spans="2:12" x14ac:dyDescent="0.3">
      <c r="B236" s="25">
        <v>233</v>
      </c>
      <c r="C236" s="33" t="s">
        <v>476</v>
      </c>
      <c r="D236" s="33" t="s">
        <v>477</v>
      </c>
      <c r="E236" s="35">
        <v>44276</v>
      </c>
      <c r="F236" s="33">
        <v>1</v>
      </c>
      <c r="G236" s="33" t="s">
        <v>231</v>
      </c>
      <c r="H236" s="33" t="s">
        <v>70</v>
      </c>
      <c r="I236" s="33" t="s">
        <v>198</v>
      </c>
      <c r="J236" s="34">
        <v>32.200000000000003</v>
      </c>
      <c r="K236" s="34">
        <v>25</v>
      </c>
      <c r="L236" s="34">
        <v>7.2</v>
      </c>
    </row>
    <row r="237" spans="2:12" x14ac:dyDescent="0.3">
      <c r="B237" s="25">
        <v>234</v>
      </c>
      <c r="C237" s="33">
        <v>757</v>
      </c>
      <c r="D237" s="33" t="s">
        <v>478</v>
      </c>
      <c r="E237" s="35">
        <v>44260</v>
      </c>
      <c r="F237" s="33">
        <v>1</v>
      </c>
      <c r="G237" s="33" t="s">
        <v>122</v>
      </c>
      <c r="H237" s="33" t="s">
        <v>71</v>
      </c>
      <c r="I237" s="33" t="s">
        <v>196</v>
      </c>
      <c r="J237" s="34">
        <v>792.55</v>
      </c>
      <c r="K237" s="34">
        <v>80</v>
      </c>
      <c r="L237" s="34">
        <v>712.55</v>
      </c>
    </row>
    <row r="238" spans="2:12" x14ac:dyDescent="0.3">
      <c r="B238" s="25">
        <v>235</v>
      </c>
      <c r="C238" s="33" t="s">
        <v>302</v>
      </c>
      <c r="D238" s="33" t="s">
        <v>366</v>
      </c>
      <c r="E238" s="35">
        <v>44279</v>
      </c>
      <c r="F238" s="33">
        <v>1</v>
      </c>
      <c r="G238" s="33" t="s">
        <v>124</v>
      </c>
      <c r="H238" s="33" t="s">
        <v>71</v>
      </c>
      <c r="I238" s="33" t="s">
        <v>197</v>
      </c>
      <c r="J238" s="34">
        <v>3152.51</v>
      </c>
      <c r="K238" s="34"/>
      <c r="L238" s="34">
        <v>3152.51</v>
      </c>
    </row>
    <row r="239" spans="2:12" x14ac:dyDescent="0.3">
      <c r="B239" s="25">
        <v>236</v>
      </c>
      <c r="C239" s="33">
        <v>1088</v>
      </c>
      <c r="D239" s="33" t="s">
        <v>366</v>
      </c>
      <c r="E239" s="35">
        <v>44279</v>
      </c>
      <c r="F239" s="33">
        <v>1</v>
      </c>
      <c r="G239" s="33" t="s">
        <v>122</v>
      </c>
      <c r="H239" s="33" t="s">
        <v>71</v>
      </c>
      <c r="I239" s="33" t="s">
        <v>196</v>
      </c>
      <c r="J239" s="34">
        <v>2182.31</v>
      </c>
      <c r="K239" s="34"/>
      <c r="L239" s="34">
        <v>2182.31</v>
      </c>
    </row>
    <row r="240" spans="2:12" x14ac:dyDescent="0.3">
      <c r="B240" s="25">
        <v>237</v>
      </c>
      <c r="C240" s="33" t="s">
        <v>479</v>
      </c>
      <c r="D240" s="33" t="s">
        <v>480</v>
      </c>
      <c r="E240" s="35">
        <v>44285</v>
      </c>
      <c r="F240" s="33">
        <v>1</v>
      </c>
      <c r="G240" s="33" t="s">
        <v>122</v>
      </c>
      <c r="H240" s="33" t="s">
        <v>73</v>
      </c>
      <c r="I240" s="33" t="s">
        <v>196</v>
      </c>
      <c r="J240" s="34">
        <v>1044.05</v>
      </c>
      <c r="K240" s="34"/>
      <c r="L240" s="34">
        <v>1044.05</v>
      </c>
    </row>
    <row r="241" spans="2:12" x14ac:dyDescent="0.3">
      <c r="B241" s="25">
        <v>238</v>
      </c>
      <c r="C241" s="33" t="s">
        <v>306</v>
      </c>
      <c r="D241" s="33" t="s">
        <v>481</v>
      </c>
      <c r="E241" s="35">
        <v>44292</v>
      </c>
      <c r="F241" s="33">
        <v>2</v>
      </c>
      <c r="G241" s="33" t="s">
        <v>231</v>
      </c>
      <c r="H241" s="33" t="s">
        <v>71</v>
      </c>
      <c r="I241" s="33" t="s">
        <v>198</v>
      </c>
      <c r="J241" s="34">
        <v>6936.19</v>
      </c>
      <c r="K241" s="34"/>
      <c r="L241" s="34">
        <v>6936.19</v>
      </c>
    </row>
    <row r="242" spans="2:12" x14ac:dyDescent="0.3">
      <c r="B242" s="25">
        <v>239</v>
      </c>
      <c r="C242" s="33">
        <v>1351</v>
      </c>
      <c r="D242" s="33" t="s">
        <v>481</v>
      </c>
      <c r="E242" s="35">
        <v>44293</v>
      </c>
      <c r="F242" s="33">
        <v>2</v>
      </c>
      <c r="G242" s="33" t="s">
        <v>122</v>
      </c>
      <c r="H242" s="33" t="s">
        <v>71</v>
      </c>
      <c r="I242" s="33" t="s">
        <v>196</v>
      </c>
      <c r="J242" s="34">
        <v>4741.66</v>
      </c>
      <c r="K242" s="34"/>
      <c r="L242" s="34">
        <v>4741.66</v>
      </c>
    </row>
    <row r="243" spans="2:12" x14ac:dyDescent="0.3">
      <c r="B243" s="25">
        <v>240</v>
      </c>
      <c r="C243" s="33">
        <v>50879</v>
      </c>
      <c r="D243" s="33" t="s">
        <v>405</v>
      </c>
      <c r="E243" s="35">
        <v>44253</v>
      </c>
      <c r="F243" s="33">
        <v>1</v>
      </c>
      <c r="G243" s="33" t="s">
        <v>122</v>
      </c>
      <c r="H243" s="33" t="s">
        <v>69</v>
      </c>
      <c r="I243" s="33" t="s">
        <v>196</v>
      </c>
      <c r="J243" s="34">
        <v>586</v>
      </c>
      <c r="K243" s="34"/>
      <c r="L243" s="34">
        <v>586</v>
      </c>
    </row>
    <row r="244" spans="2:12" x14ac:dyDescent="0.3">
      <c r="B244" s="25">
        <v>241</v>
      </c>
      <c r="C244" s="33">
        <v>50880</v>
      </c>
      <c r="D244" s="33" t="s">
        <v>411</v>
      </c>
      <c r="E244" s="35">
        <v>44253</v>
      </c>
      <c r="F244" s="33">
        <v>1</v>
      </c>
      <c r="G244" s="33" t="s">
        <v>122</v>
      </c>
      <c r="H244" s="33" t="s">
        <v>69</v>
      </c>
      <c r="I244" s="33" t="s">
        <v>196</v>
      </c>
      <c r="J244" s="34">
        <v>5107.5</v>
      </c>
      <c r="K244" s="34"/>
      <c r="L244" s="34">
        <v>5107.5</v>
      </c>
    </row>
    <row r="245" spans="2:12" x14ac:dyDescent="0.3">
      <c r="B245" s="25">
        <v>242</v>
      </c>
      <c r="C245" s="33">
        <v>50996</v>
      </c>
      <c r="D245" s="33" t="s">
        <v>416</v>
      </c>
      <c r="E245" s="35">
        <v>44259</v>
      </c>
      <c r="F245" s="33">
        <v>1</v>
      </c>
      <c r="G245" s="33" t="s">
        <v>231</v>
      </c>
      <c r="H245" s="33" t="s">
        <v>69</v>
      </c>
      <c r="I245" s="33" t="s">
        <v>198</v>
      </c>
      <c r="J245" s="34">
        <v>904.49</v>
      </c>
      <c r="K245" s="34"/>
      <c r="L245" s="34">
        <v>904.49</v>
      </c>
    </row>
    <row r="246" spans="2:12" x14ac:dyDescent="0.3">
      <c r="B246" s="25">
        <v>243</v>
      </c>
      <c r="C246" s="33">
        <v>50997</v>
      </c>
      <c r="D246" s="33" t="s">
        <v>409</v>
      </c>
      <c r="E246" s="35">
        <v>44259</v>
      </c>
      <c r="F246" s="33">
        <v>1</v>
      </c>
      <c r="G246" s="33" t="s">
        <v>231</v>
      </c>
      <c r="H246" s="33" t="s">
        <v>69</v>
      </c>
      <c r="I246" s="33" t="s">
        <v>198</v>
      </c>
      <c r="J246" s="34">
        <v>1118.5</v>
      </c>
      <c r="K246" s="34"/>
      <c r="L246" s="34">
        <v>1118.5</v>
      </c>
    </row>
    <row r="247" spans="2:12" x14ac:dyDescent="0.3">
      <c r="B247" s="25">
        <v>244</v>
      </c>
      <c r="C247" s="33">
        <v>51001</v>
      </c>
      <c r="D247" s="33" t="s">
        <v>414</v>
      </c>
      <c r="E247" s="35">
        <v>44259</v>
      </c>
      <c r="F247" s="33">
        <v>1</v>
      </c>
      <c r="G247" s="33" t="s">
        <v>122</v>
      </c>
      <c r="H247" s="33" t="s">
        <v>69</v>
      </c>
      <c r="I247" s="33" t="s">
        <v>196</v>
      </c>
      <c r="J247" s="34">
        <v>3725</v>
      </c>
      <c r="K247" s="34"/>
      <c r="L247" s="34">
        <v>3725</v>
      </c>
    </row>
    <row r="248" spans="2:12" x14ac:dyDescent="0.3">
      <c r="B248" s="25">
        <v>245</v>
      </c>
      <c r="C248" s="33">
        <v>51008</v>
      </c>
      <c r="D248" s="33" t="s">
        <v>400</v>
      </c>
      <c r="E248" s="35">
        <v>44259</v>
      </c>
      <c r="F248" s="33">
        <v>1</v>
      </c>
      <c r="G248" s="33" t="s">
        <v>231</v>
      </c>
      <c r="H248" s="33" t="s">
        <v>69</v>
      </c>
      <c r="I248" s="33" t="s">
        <v>198</v>
      </c>
      <c r="J248" s="34">
        <v>708.57</v>
      </c>
      <c r="K248" s="34"/>
      <c r="L248" s="34">
        <v>708.57</v>
      </c>
    </row>
    <row r="249" spans="2:12" x14ac:dyDescent="0.3">
      <c r="B249" s="25">
        <v>246</v>
      </c>
      <c r="C249" s="33">
        <v>51009</v>
      </c>
      <c r="D249" s="33" t="s">
        <v>400</v>
      </c>
      <c r="E249" s="35">
        <v>44259</v>
      </c>
      <c r="F249" s="33">
        <v>1</v>
      </c>
      <c r="G249" s="33" t="s">
        <v>231</v>
      </c>
      <c r="H249" s="33" t="s">
        <v>69</v>
      </c>
      <c r="I249" s="33" t="s">
        <v>198</v>
      </c>
      <c r="J249" s="34">
        <v>1919.57</v>
      </c>
      <c r="K249" s="34"/>
      <c r="L249" s="34">
        <v>1919.57</v>
      </c>
    </row>
    <row r="250" spans="2:12" x14ac:dyDescent="0.3">
      <c r="B250" s="25">
        <v>247</v>
      </c>
      <c r="C250" s="33">
        <v>51099</v>
      </c>
      <c r="D250" s="33" t="s">
        <v>400</v>
      </c>
      <c r="E250" s="35">
        <v>44266</v>
      </c>
      <c r="F250" s="33">
        <v>1</v>
      </c>
      <c r="G250" s="33" t="s">
        <v>231</v>
      </c>
      <c r="H250" s="33" t="s">
        <v>69</v>
      </c>
      <c r="I250" s="33" t="s">
        <v>198</v>
      </c>
      <c r="J250" s="34">
        <v>245.4</v>
      </c>
      <c r="K250" s="34"/>
      <c r="L250" s="34">
        <v>245.4</v>
      </c>
    </row>
    <row r="251" spans="2:12" x14ac:dyDescent="0.3">
      <c r="B251" s="25">
        <v>248</v>
      </c>
      <c r="C251" s="33">
        <v>51100</v>
      </c>
      <c r="D251" s="33" t="s">
        <v>400</v>
      </c>
      <c r="E251" s="35">
        <v>44266</v>
      </c>
      <c r="F251" s="33">
        <v>1</v>
      </c>
      <c r="G251" s="33" t="s">
        <v>231</v>
      </c>
      <c r="H251" s="33" t="s">
        <v>69</v>
      </c>
      <c r="I251" s="33" t="s">
        <v>198</v>
      </c>
      <c r="J251" s="34">
        <v>1727.06</v>
      </c>
      <c r="K251" s="34"/>
      <c r="L251" s="34">
        <v>1727.06</v>
      </c>
    </row>
    <row r="252" spans="2:12" x14ac:dyDescent="0.3">
      <c r="B252" s="25">
        <v>249</v>
      </c>
      <c r="C252" s="33">
        <v>51101</v>
      </c>
      <c r="D252" s="33" t="s">
        <v>400</v>
      </c>
      <c r="E252" s="35">
        <v>44266</v>
      </c>
      <c r="F252" s="33">
        <v>1</v>
      </c>
      <c r="G252" s="33" t="s">
        <v>231</v>
      </c>
      <c r="H252" s="33" t="s">
        <v>69</v>
      </c>
      <c r="I252" s="33" t="s">
        <v>198</v>
      </c>
      <c r="J252" s="34">
        <v>286.63</v>
      </c>
      <c r="K252" s="34"/>
      <c r="L252" s="34">
        <v>286.63</v>
      </c>
    </row>
    <row r="253" spans="2:12" x14ac:dyDescent="0.3">
      <c r="B253" s="25">
        <v>250</v>
      </c>
      <c r="C253" s="33">
        <v>51102</v>
      </c>
      <c r="D253" s="33" t="s">
        <v>400</v>
      </c>
      <c r="E253" s="35">
        <v>44266</v>
      </c>
      <c r="F253" s="33">
        <v>1</v>
      </c>
      <c r="G253" s="33" t="s">
        <v>231</v>
      </c>
      <c r="H253" s="33" t="s">
        <v>69</v>
      </c>
      <c r="I253" s="33" t="s">
        <v>198</v>
      </c>
      <c r="J253" s="34">
        <v>694.97</v>
      </c>
      <c r="K253" s="34"/>
      <c r="L253" s="34">
        <v>694.97</v>
      </c>
    </row>
    <row r="254" spans="2:12" x14ac:dyDescent="0.3">
      <c r="B254" s="25">
        <v>251</v>
      </c>
      <c r="C254" s="33">
        <v>51103</v>
      </c>
      <c r="D254" s="33" t="s">
        <v>482</v>
      </c>
      <c r="E254" s="35">
        <v>44266</v>
      </c>
      <c r="F254" s="33">
        <v>1</v>
      </c>
      <c r="G254" s="33" t="s">
        <v>122</v>
      </c>
      <c r="H254" s="33" t="s">
        <v>69</v>
      </c>
      <c r="I254" s="33" t="s">
        <v>196</v>
      </c>
      <c r="J254" s="34">
        <v>978</v>
      </c>
      <c r="K254" s="34"/>
      <c r="L254" s="34">
        <v>978</v>
      </c>
    </row>
    <row r="255" spans="2:12" x14ac:dyDescent="0.3">
      <c r="B255" s="25">
        <v>252</v>
      </c>
      <c r="C255" s="33">
        <v>51104</v>
      </c>
      <c r="D255" s="33" t="s">
        <v>401</v>
      </c>
      <c r="E255" s="35">
        <v>44266</v>
      </c>
      <c r="F255" s="33">
        <v>1</v>
      </c>
      <c r="G255" s="33" t="s">
        <v>231</v>
      </c>
      <c r="H255" s="33" t="s">
        <v>69</v>
      </c>
      <c r="I255" s="33" t="s">
        <v>198</v>
      </c>
      <c r="J255" s="34">
        <v>972</v>
      </c>
      <c r="K255" s="34"/>
      <c r="L255" s="34">
        <v>972</v>
      </c>
    </row>
    <row r="256" spans="2:12" x14ac:dyDescent="0.3">
      <c r="B256" s="25">
        <v>253</v>
      </c>
      <c r="C256" s="33">
        <v>51107</v>
      </c>
      <c r="D256" s="33" t="s">
        <v>438</v>
      </c>
      <c r="E256" s="35">
        <v>44266</v>
      </c>
      <c r="F256" s="33">
        <v>1</v>
      </c>
      <c r="G256" s="33" t="s">
        <v>122</v>
      </c>
      <c r="H256" s="33" t="s">
        <v>69</v>
      </c>
      <c r="I256" s="33" t="s">
        <v>196</v>
      </c>
      <c r="J256" s="34">
        <v>1470.6</v>
      </c>
      <c r="K256" s="34"/>
      <c r="L256" s="34">
        <v>1470.6</v>
      </c>
    </row>
    <row r="257" spans="2:12" x14ac:dyDescent="0.3">
      <c r="B257" s="25">
        <v>254</v>
      </c>
      <c r="C257" s="33">
        <v>51108</v>
      </c>
      <c r="D257" s="33" t="s">
        <v>414</v>
      </c>
      <c r="E257" s="35">
        <v>44266</v>
      </c>
      <c r="F257" s="33">
        <v>1</v>
      </c>
      <c r="G257" s="33" t="s">
        <v>122</v>
      </c>
      <c r="H257" s="33" t="s">
        <v>69</v>
      </c>
      <c r="I257" s="33" t="s">
        <v>196</v>
      </c>
      <c r="J257" s="34">
        <v>1749</v>
      </c>
      <c r="K257" s="34"/>
      <c r="L257" s="34">
        <v>1749</v>
      </c>
    </row>
    <row r="258" spans="2:12" x14ac:dyDescent="0.3">
      <c r="B258" s="25">
        <v>255</v>
      </c>
      <c r="C258" s="33">
        <v>51109</v>
      </c>
      <c r="D258" s="33" t="s">
        <v>411</v>
      </c>
      <c r="E258" s="35">
        <v>44266</v>
      </c>
      <c r="F258" s="33">
        <v>1</v>
      </c>
      <c r="G258" s="33" t="s">
        <v>122</v>
      </c>
      <c r="H258" s="33" t="s">
        <v>69</v>
      </c>
      <c r="I258" s="33" t="s">
        <v>196</v>
      </c>
      <c r="J258" s="34">
        <v>5608.15</v>
      </c>
      <c r="K258" s="34"/>
      <c r="L258" s="34">
        <v>5608.15</v>
      </c>
    </row>
    <row r="259" spans="2:12" x14ac:dyDescent="0.3">
      <c r="B259" s="25">
        <v>256</v>
      </c>
      <c r="C259" s="33">
        <v>51110</v>
      </c>
      <c r="D259" s="33" t="s">
        <v>483</v>
      </c>
      <c r="E259" s="35">
        <v>44266</v>
      </c>
      <c r="F259" s="33">
        <v>1</v>
      </c>
      <c r="G259" s="33" t="s">
        <v>122</v>
      </c>
      <c r="H259" s="33" t="s">
        <v>69</v>
      </c>
      <c r="I259" s="33" t="s">
        <v>196</v>
      </c>
      <c r="J259" s="34">
        <v>2640</v>
      </c>
      <c r="K259" s="34"/>
      <c r="L259" s="34">
        <v>2640</v>
      </c>
    </row>
    <row r="260" spans="2:12" x14ac:dyDescent="0.3">
      <c r="B260" s="25">
        <v>257</v>
      </c>
      <c r="C260" s="33">
        <v>51113</v>
      </c>
      <c r="D260" s="33" t="s">
        <v>411</v>
      </c>
      <c r="E260" s="35">
        <v>44266</v>
      </c>
      <c r="F260" s="33">
        <v>1</v>
      </c>
      <c r="G260" s="33" t="s">
        <v>122</v>
      </c>
      <c r="H260" s="33" t="s">
        <v>69</v>
      </c>
      <c r="I260" s="33" t="s">
        <v>196</v>
      </c>
      <c r="J260" s="34">
        <v>497.25</v>
      </c>
      <c r="K260" s="34"/>
      <c r="L260" s="34">
        <v>497.25</v>
      </c>
    </row>
    <row r="261" spans="2:12" x14ac:dyDescent="0.3">
      <c r="B261" s="25">
        <v>258</v>
      </c>
      <c r="C261" s="33">
        <v>51115</v>
      </c>
      <c r="D261" s="33" t="s">
        <v>415</v>
      </c>
      <c r="E261" s="35">
        <v>44266</v>
      </c>
      <c r="F261" s="33">
        <v>1</v>
      </c>
      <c r="G261" s="33" t="s">
        <v>122</v>
      </c>
      <c r="H261" s="33" t="s">
        <v>69</v>
      </c>
      <c r="I261" s="33" t="s">
        <v>196</v>
      </c>
      <c r="J261" s="34">
        <v>733.5</v>
      </c>
      <c r="K261" s="34"/>
      <c r="L261" s="34">
        <v>733.5</v>
      </c>
    </row>
    <row r="262" spans="2:12" x14ac:dyDescent="0.3">
      <c r="B262" s="25">
        <v>259</v>
      </c>
      <c r="C262" s="33">
        <v>51154</v>
      </c>
      <c r="D262" s="33" t="s">
        <v>367</v>
      </c>
      <c r="E262" s="35">
        <v>44270</v>
      </c>
      <c r="F262" s="33">
        <v>1</v>
      </c>
      <c r="G262" s="33" t="s">
        <v>124</v>
      </c>
      <c r="H262" s="33" t="s">
        <v>69</v>
      </c>
      <c r="I262" s="33" t="s">
        <v>197</v>
      </c>
      <c r="J262" s="34">
        <v>639.5</v>
      </c>
      <c r="K262" s="34"/>
      <c r="L262" s="34">
        <v>639.5</v>
      </c>
    </row>
    <row r="263" spans="2:12" x14ac:dyDescent="0.3">
      <c r="B263" s="25">
        <v>260</v>
      </c>
      <c r="C263" s="33">
        <v>51168</v>
      </c>
      <c r="D263" s="33" t="s">
        <v>275</v>
      </c>
      <c r="E263" s="35">
        <v>44270</v>
      </c>
      <c r="F263" s="33">
        <v>1</v>
      </c>
      <c r="G263" s="33" t="s">
        <v>124</v>
      </c>
      <c r="H263" s="33" t="s">
        <v>69</v>
      </c>
      <c r="I263" s="33" t="s">
        <v>197</v>
      </c>
      <c r="J263" s="34">
        <v>8152.4</v>
      </c>
      <c r="K263" s="34"/>
      <c r="L263" s="34">
        <v>8152.4</v>
      </c>
    </row>
    <row r="264" spans="2:12" x14ac:dyDescent="0.3">
      <c r="B264" s="25">
        <v>261</v>
      </c>
      <c r="C264" s="33">
        <v>51169</v>
      </c>
      <c r="D264" s="33" t="s">
        <v>275</v>
      </c>
      <c r="E264" s="35">
        <v>44270</v>
      </c>
      <c r="F264" s="33">
        <v>1</v>
      </c>
      <c r="G264" s="33" t="s">
        <v>124</v>
      </c>
      <c r="H264" s="33" t="s">
        <v>69</v>
      </c>
      <c r="I264" s="33" t="s">
        <v>197</v>
      </c>
      <c r="J264" s="34">
        <v>1370.8</v>
      </c>
      <c r="K264" s="34"/>
      <c r="L264" s="34">
        <v>1370.8</v>
      </c>
    </row>
    <row r="265" spans="2:12" x14ac:dyDescent="0.3">
      <c r="B265" s="25">
        <v>262</v>
      </c>
      <c r="C265" s="33">
        <v>51220</v>
      </c>
      <c r="D265" s="33" t="s">
        <v>404</v>
      </c>
      <c r="E265" s="35">
        <v>44272</v>
      </c>
      <c r="F265" s="33">
        <v>1</v>
      </c>
      <c r="G265" s="33" t="s">
        <v>122</v>
      </c>
      <c r="H265" s="33" t="s">
        <v>69</v>
      </c>
      <c r="I265" s="33" t="s">
        <v>196</v>
      </c>
      <c r="J265" s="34">
        <v>54</v>
      </c>
      <c r="K265" s="34"/>
      <c r="L265" s="34">
        <v>54</v>
      </c>
    </row>
    <row r="266" spans="2:12" x14ac:dyDescent="0.3">
      <c r="B266" s="25">
        <v>263</v>
      </c>
      <c r="C266" s="33">
        <v>51243</v>
      </c>
      <c r="D266" s="33" t="s">
        <v>416</v>
      </c>
      <c r="E266" s="35">
        <v>44273</v>
      </c>
      <c r="F266" s="33">
        <v>1</v>
      </c>
      <c r="G266" s="33" t="s">
        <v>231</v>
      </c>
      <c r="H266" s="33" t="s">
        <v>69</v>
      </c>
      <c r="I266" s="33" t="s">
        <v>198</v>
      </c>
      <c r="J266" s="34">
        <v>40.5</v>
      </c>
      <c r="K266" s="34"/>
      <c r="L266" s="34">
        <v>40.5</v>
      </c>
    </row>
    <row r="267" spans="2:12" x14ac:dyDescent="0.3">
      <c r="B267" s="25">
        <v>264</v>
      </c>
      <c r="C267" s="33">
        <v>51261</v>
      </c>
      <c r="D267" s="33" t="s">
        <v>412</v>
      </c>
      <c r="E267" s="35">
        <v>44273</v>
      </c>
      <c r="F267" s="33">
        <v>1</v>
      </c>
      <c r="G267" s="33" t="s">
        <v>231</v>
      </c>
      <c r="H267" s="33" t="s">
        <v>69</v>
      </c>
      <c r="I267" s="33" t="s">
        <v>198</v>
      </c>
      <c r="J267" s="34">
        <v>1209.5</v>
      </c>
      <c r="K267" s="34"/>
      <c r="L267" s="34">
        <v>1209.5</v>
      </c>
    </row>
    <row r="268" spans="2:12" x14ac:dyDescent="0.3">
      <c r="B268" s="25">
        <v>265</v>
      </c>
      <c r="C268" s="33">
        <v>5049</v>
      </c>
      <c r="D268" s="33" t="s">
        <v>403</v>
      </c>
      <c r="E268" s="35">
        <v>44278</v>
      </c>
      <c r="F268" s="33">
        <v>1</v>
      </c>
      <c r="G268" s="33" t="s">
        <v>122</v>
      </c>
      <c r="H268" s="33" t="s">
        <v>69</v>
      </c>
      <c r="I268" s="33" t="s">
        <v>196</v>
      </c>
      <c r="J268" s="34">
        <v>1833.5</v>
      </c>
      <c r="K268" s="34"/>
      <c r="L268" s="34">
        <v>1833.5</v>
      </c>
    </row>
    <row r="269" spans="2:12" x14ac:dyDescent="0.3">
      <c r="B269" s="25">
        <v>266</v>
      </c>
      <c r="C269" s="33">
        <v>51361</v>
      </c>
      <c r="D269" s="33" t="s">
        <v>411</v>
      </c>
      <c r="E269" s="35">
        <v>44280</v>
      </c>
      <c r="F269" s="33">
        <v>1</v>
      </c>
      <c r="G269" s="33" t="s">
        <v>122</v>
      </c>
      <c r="H269" s="33" t="s">
        <v>69</v>
      </c>
      <c r="I269" s="33" t="s">
        <v>196</v>
      </c>
      <c r="J269" s="34">
        <v>563</v>
      </c>
      <c r="K269" s="34"/>
      <c r="L269" s="34">
        <v>563</v>
      </c>
    </row>
    <row r="270" spans="2:12" x14ac:dyDescent="0.3">
      <c r="B270" s="25">
        <v>267</v>
      </c>
      <c r="C270" s="33">
        <v>51364</v>
      </c>
      <c r="D270" s="33" t="s">
        <v>442</v>
      </c>
      <c r="E270" s="35">
        <v>44280</v>
      </c>
      <c r="F270" s="33">
        <v>1</v>
      </c>
      <c r="G270" s="33" t="s">
        <v>122</v>
      </c>
      <c r="H270" s="33" t="s">
        <v>69</v>
      </c>
      <c r="I270" s="33" t="s">
        <v>196</v>
      </c>
      <c r="J270" s="34">
        <v>47</v>
      </c>
      <c r="K270" s="34"/>
      <c r="L270" s="34">
        <v>47</v>
      </c>
    </row>
    <row r="271" spans="2:12" x14ac:dyDescent="0.3">
      <c r="B271" s="25">
        <v>268</v>
      </c>
      <c r="C271" s="33">
        <v>51368</v>
      </c>
      <c r="D271" s="33" t="s">
        <v>400</v>
      </c>
      <c r="E271" s="35">
        <v>44280</v>
      </c>
      <c r="F271" s="33">
        <v>1</v>
      </c>
      <c r="G271" s="33" t="s">
        <v>231</v>
      </c>
      <c r="H271" s="33" t="s">
        <v>69</v>
      </c>
      <c r="I271" s="33" t="s">
        <v>198</v>
      </c>
      <c r="J271" s="34">
        <v>1820.64</v>
      </c>
      <c r="K271" s="34"/>
      <c r="L271" s="34">
        <v>1820.64</v>
      </c>
    </row>
    <row r="272" spans="2:12" x14ac:dyDescent="0.3">
      <c r="B272" s="25">
        <v>269</v>
      </c>
      <c r="C272" s="33">
        <v>51369</v>
      </c>
      <c r="D272" s="33" t="s">
        <v>400</v>
      </c>
      <c r="E272" s="35">
        <v>44280</v>
      </c>
      <c r="F272" s="33">
        <v>1</v>
      </c>
      <c r="G272" s="33" t="s">
        <v>231</v>
      </c>
      <c r="H272" s="33" t="s">
        <v>69</v>
      </c>
      <c r="I272" s="33" t="s">
        <v>198</v>
      </c>
      <c r="J272" s="34">
        <v>403.51</v>
      </c>
      <c r="K272" s="34"/>
      <c r="L272" s="34">
        <v>403.51</v>
      </c>
    </row>
    <row r="273" spans="2:12" x14ac:dyDescent="0.3">
      <c r="B273" s="25">
        <v>270</v>
      </c>
      <c r="C273" s="33">
        <v>51370</v>
      </c>
      <c r="D273" s="33" t="s">
        <v>400</v>
      </c>
      <c r="E273" s="35">
        <v>44280</v>
      </c>
      <c r="F273" s="33">
        <v>1</v>
      </c>
      <c r="G273" s="33" t="s">
        <v>231</v>
      </c>
      <c r="H273" s="33" t="s">
        <v>69</v>
      </c>
      <c r="I273" s="33" t="s">
        <v>198</v>
      </c>
      <c r="J273" s="34">
        <v>1926.81</v>
      </c>
      <c r="K273" s="34"/>
      <c r="L273" s="34">
        <v>1926.81</v>
      </c>
    </row>
    <row r="274" spans="2:12" x14ac:dyDescent="0.3">
      <c r="B274" s="25">
        <v>271</v>
      </c>
      <c r="C274" s="33">
        <v>51381</v>
      </c>
      <c r="D274" s="33" t="s">
        <v>412</v>
      </c>
      <c r="E274" s="35">
        <v>44280</v>
      </c>
      <c r="F274" s="33">
        <v>1</v>
      </c>
      <c r="G274" s="33" t="s">
        <v>231</v>
      </c>
      <c r="H274" s="33" t="s">
        <v>69</v>
      </c>
      <c r="I274" s="33" t="s">
        <v>198</v>
      </c>
      <c r="J274" s="34">
        <v>3180.52</v>
      </c>
      <c r="K274" s="34"/>
      <c r="L274" s="34">
        <v>3180.52</v>
      </c>
    </row>
    <row r="275" spans="2:12" x14ac:dyDescent="0.3">
      <c r="B275" s="25">
        <v>272</v>
      </c>
      <c r="C275" s="33">
        <v>51384</v>
      </c>
      <c r="D275" s="33" t="s">
        <v>412</v>
      </c>
      <c r="E275" s="35">
        <v>44280</v>
      </c>
      <c r="F275" s="33">
        <v>1</v>
      </c>
      <c r="G275" s="33" t="s">
        <v>231</v>
      </c>
      <c r="H275" s="33" t="s">
        <v>69</v>
      </c>
      <c r="I275" s="33" t="s">
        <v>198</v>
      </c>
      <c r="J275" s="34">
        <v>1927</v>
      </c>
      <c r="K275" s="34"/>
      <c r="L275" s="34">
        <v>1927</v>
      </c>
    </row>
    <row r="276" spans="2:12" x14ac:dyDescent="0.3">
      <c r="B276" s="25">
        <v>273</v>
      </c>
      <c r="C276" s="33">
        <v>51387</v>
      </c>
      <c r="D276" s="33" t="s">
        <v>367</v>
      </c>
      <c r="E276" s="35">
        <v>44280</v>
      </c>
      <c r="F276" s="33">
        <v>1</v>
      </c>
      <c r="G276" s="33" t="s">
        <v>124</v>
      </c>
      <c r="H276" s="33" t="s">
        <v>69</v>
      </c>
      <c r="I276" s="33" t="s">
        <v>197</v>
      </c>
      <c r="J276" s="34">
        <v>66</v>
      </c>
      <c r="K276" s="34"/>
      <c r="L276" s="34">
        <v>66</v>
      </c>
    </row>
    <row r="277" spans="2:12" x14ac:dyDescent="0.3">
      <c r="B277" s="25">
        <v>274</v>
      </c>
      <c r="C277" s="33">
        <v>51479</v>
      </c>
      <c r="D277" s="33" t="s">
        <v>484</v>
      </c>
      <c r="E277" s="35">
        <v>44287</v>
      </c>
      <c r="F277" s="33">
        <v>2</v>
      </c>
      <c r="G277" s="33" t="s">
        <v>122</v>
      </c>
      <c r="H277" s="33" t="s">
        <v>69</v>
      </c>
      <c r="I277" s="33" t="s">
        <v>196</v>
      </c>
      <c r="J277" s="34">
        <v>2093.4</v>
      </c>
      <c r="K277" s="34"/>
      <c r="L277" s="34">
        <v>2093.4</v>
      </c>
    </row>
    <row r="278" spans="2:12" x14ac:dyDescent="0.3">
      <c r="B278" s="25">
        <v>275</v>
      </c>
      <c r="C278" s="33">
        <v>51481</v>
      </c>
      <c r="D278" s="33" t="s">
        <v>416</v>
      </c>
      <c r="E278" s="35">
        <v>44287</v>
      </c>
      <c r="F278" s="33">
        <v>2</v>
      </c>
      <c r="G278" s="33" t="s">
        <v>231</v>
      </c>
      <c r="H278" s="33" t="s">
        <v>69</v>
      </c>
      <c r="I278" s="33" t="s">
        <v>198</v>
      </c>
      <c r="J278" s="34">
        <v>204</v>
      </c>
      <c r="K278" s="34"/>
      <c r="L278" s="34">
        <v>204</v>
      </c>
    </row>
    <row r="279" spans="2:12" x14ac:dyDescent="0.3">
      <c r="B279" s="25">
        <v>276</v>
      </c>
      <c r="C279" s="33">
        <v>51485</v>
      </c>
      <c r="D279" s="33" t="s">
        <v>412</v>
      </c>
      <c r="E279" s="35">
        <v>44287</v>
      </c>
      <c r="F279" s="33">
        <v>2</v>
      </c>
      <c r="G279" s="33" t="s">
        <v>231</v>
      </c>
      <c r="H279" s="33" t="s">
        <v>69</v>
      </c>
      <c r="I279" s="33" t="s">
        <v>198</v>
      </c>
      <c r="J279" s="34">
        <v>526</v>
      </c>
      <c r="K279" s="34"/>
      <c r="L279" s="34">
        <v>526</v>
      </c>
    </row>
    <row r="280" spans="2:12" x14ac:dyDescent="0.3">
      <c r="B280" s="25">
        <v>277</v>
      </c>
      <c r="C280" s="33">
        <v>51486</v>
      </c>
      <c r="D280" s="33" t="s">
        <v>281</v>
      </c>
      <c r="E280" s="35">
        <v>44287</v>
      </c>
      <c r="F280" s="33">
        <v>2</v>
      </c>
      <c r="G280" s="33" t="s">
        <v>124</v>
      </c>
      <c r="H280" s="33" t="s">
        <v>69</v>
      </c>
      <c r="I280" s="33" t="s">
        <v>197</v>
      </c>
      <c r="J280" s="34">
        <v>1396.5</v>
      </c>
      <c r="K280" s="34"/>
      <c r="L280" s="34">
        <v>1396.5</v>
      </c>
    </row>
    <row r="281" spans="2:12" x14ac:dyDescent="0.3">
      <c r="B281" s="25">
        <v>278</v>
      </c>
      <c r="C281" s="33">
        <v>51487</v>
      </c>
      <c r="D281" s="33" t="s">
        <v>400</v>
      </c>
      <c r="E281" s="35">
        <v>44287</v>
      </c>
      <c r="F281" s="33">
        <v>2</v>
      </c>
      <c r="G281" s="33" t="s">
        <v>231</v>
      </c>
      <c r="H281" s="33" t="s">
        <v>69</v>
      </c>
      <c r="I281" s="33" t="s">
        <v>198</v>
      </c>
      <c r="J281" s="34">
        <v>290.5</v>
      </c>
      <c r="K281" s="34"/>
      <c r="L281" s="34">
        <v>290.5</v>
      </c>
    </row>
    <row r="282" spans="2:12" x14ac:dyDescent="0.3">
      <c r="B282" s="25">
        <v>279</v>
      </c>
      <c r="C282" s="33">
        <v>51488</v>
      </c>
      <c r="D282" s="33" t="s">
        <v>400</v>
      </c>
      <c r="E282" s="35">
        <v>44287</v>
      </c>
      <c r="F282" s="33">
        <v>2</v>
      </c>
      <c r="G282" s="33" t="s">
        <v>231</v>
      </c>
      <c r="H282" s="33" t="s">
        <v>69</v>
      </c>
      <c r="I282" s="33" t="s">
        <v>198</v>
      </c>
      <c r="J282" s="34">
        <v>112.03</v>
      </c>
      <c r="K282" s="34"/>
      <c r="L282" s="34">
        <v>112.03</v>
      </c>
    </row>
    <row r="283" spans="2:12" x14ac:dyDescent="0.3">
      <c r="B283" s="25">
        <v>280</v>
      </c>
      <c r="C283" s="33">
        <v>51489</v>
      </c>
      <c r="D283" s="33" t="s">
        <v>400</v>
      </c>
      <c r="E283" s="35">
        <v>44287</v>
      </c>
      <c r="F283" s="33">
        <v>2</v>
      </c>
      <c r="G283" s="33" t="s">
        <v>231</v>
      </c>
      <c r="H283" s="33" t="s">
        <v>69</v>
      </c>
      <c r="I283" s="33" t="s">
        <v>198</v>
      </c>
      <c r="J283" s="34">
        <v>40.74</v>
      </c>
      <c r="K283" s="34"/>
      <c r="L283" s="34">
        <v>40.74</v>
      </c>
    </row>
    <row r="284" spans="2:12" x14ac:dyDescent="0.3">
      <c r="B284" s="25">
        <v>281</v>
      </c>
      <c r="C284" s="33">
        <v>51490</v>
      </c>
      <c r="D284" s="33" t="s">
        <v>400</v>
      </c>
      <c r="E284" s="35">
        <v>44287</v>
      </c>
      <c r="F284" s="33">
        <v>2</v>
      </c>
      <c r="G284" s="33" t="s">
        <v>231</v>
      </c>
      <c r="H284" s="33" t="s">
        <v>69</v>
      </c>
      <c r="I284" s="33" t="s">
        <v>198</v>
      </c>
      <c r="J284" s="34">
        <v>14.54</v>
      </c>
      <c r="K284" s="34"/>
      <c r="L284" s="34">
        <v>14.54</v>
      </c>
    </row>
    <row r="285" spans="2:12" x14ac:dyDescent="0.3">
      <c r="B285" s="25">
        <v>282</v>
      </c>
      <c r="C285" s="33">
        <v>6137</v>
      </c>
      <c r="D285" s="33" t="s">
        <v>410</v>
      </c>
      <c r="E285" s="35">
        <v>44294</v>
      </c>
      <c r="F285" s="33">
        <v>2</v>
      </c>
      <c r="G285" s="33" t="s">
        <v>231</v>
      </c>
      <c r="H285" s="33" t="s">
        <v>69</v>
      </c>
      <c r="I285" s="33" t="s">
        <v>198</v>
      </c>
      <c r="J285" s="34">
        <v>7066.93</v>
      </c>
      <c r="K285" s="34"/>
      <c r="L285" s="34">
        <v>7066.93</v>
      </c>
    </row>
    <row r="286" spans="2:12" x14ac:dyDescent="0.3">
      <c r="B286" s="25">
        <v>283</v>
      </c>
      <c r="C286" s="33">
        <v>50971</v>
      </c>
      <c r="D286" s="33" t="s">
        <v>234</v>
      </c>
      <c r="E286" s="35">
        <v>44273</v>
      </c>
      <c r="F286" s="33">
        <v>1</v>
      </c>
      <c r="G286" s="33" t="s">
        <v>122</v>
      </c>
      <c r="H286" s="33" t="s">
        <v>73</v>
      </c>
      <c r="I286" s="33" t="s">
        <v>196</v>
      </c>
      <c r="J286" s="34">
        <v>3855.15</v>
      </c>
      <c r="K286" s="34"/>
      <c r="L286" s="34">
        <v>3855.15</v>
      </c>
    </row>
    <row r="287" spans="2:12" x14ac:dyDescent="0.3">
      <c r="B287" s="25">
        <v>284</v>
      </c>
      <c r="C287" s="33">
        <v>51047</v>
      </c>
      <c r="D287" s="33" t="s">
        <v>234</v>
      </c>
      <c r="E287" s="35">
        <v>44280</v>
      </c>
      <c r="F287" s="33">
        <v>1</v>
      </c>
      <c r="G287" s="33" t="s">
        <v>122</v>
      </c>
      <c r="H287" s="33">
        <v>53</v>
      </c>
      <c r="I287" s="33" t="s">
        <v>196</v>
      </c>
      <c r="J287" s="34">
        <v>372.5</v>
      </c>
      <c r="K287" s="34"/>
      <c r="L287" s="34">
        <v>372.5</v>
      </c>
    </row>
    <row r="288" spans="2:12" x14ac:dyDescent="0.3">
      <c r="B288" s="25">
        <v>285</v>
      </c>
      <c r="C288" s="33">
        <v>51207</v>
      </c>
      <c r="D288" s="33" t="s">
        <v>234</v>
      </c>
      <c r="E288" s="35">
        <v>44287</v>
      </c>
      <c r="F288" s="33">
        <v>2</v>
      </c>
      <c r="G288" s="33" t="s">
        <v>122</v>
      </c>
      <c r="H288" s="33" t="s">
        <v>73</v>
      </c>
      <c r="I288" s="33" t="s">
        <v>196</v>
      </c>
      <c r="J288" s="34">
        <v>668.15</v>
      </c>
      <c r="K288" s="34"/>
      <c r="L288" s="34">
        <v>668.15</v>
      </c>
    </row>
    <row r="289" spans="2:12" x14ac:dyDescent="0.3">
      <c r="B289" s="25">
        <v>286</v>
      </c>
      <c r="C289" s="33">
        <v>-51207</v>
      </c>
      <c r="D289" s="33" t="s">
        <v>234</v>
      </c>
      <c r="E289" s="35">
        <v>44287</v>
      </c>
      <c r="F289" s="33">
        <v>2</v>
      </c>
      <c r="G289" s="33" t="s">
        <v>122</v>
      </c>
      <c r="H289" s="33">
        <v>53</v>
      </c>
      <c r="I289" s="33" t="s">
        <v>196</v>
      </c>
      <c r="J289" s="34">
        <v>296.26</v>
      </c>
      <c r="K289" s="34"/>
      <c r="L289" s="34">
        <v>296.26</v>
      </c>
    </row>
    <row r="290" spans="2:12" x14ac:dyDescent="0.3">
      <c r="B290" s="25">
        <v>287</v>
      </c>
      <c r="C290" s="33">
        <v>50766</v>
      </c>
      <c r="D290" s="33" t="s">
        <v>400</v>
      </c>
      <c r="E290" s="35">
        <v>44258</v>
      </c>
      <c r="F290" s="33">
        <v>1</v>
      </c>
      <c r="G290" s="33" t="s">
        <v>231</v>
      </c>
      <c r="H290" s="33" t="s">
        <v>73</v>
      </c>
      <c r="I290" s="33" t="s">
        <v>198</v>
      </c>
      <c r="J290" s="34">
        <v>1225.55</v>
      </c>
      <c r="K290" s="34"/>
      <c r="L290" s="34">
        <v>1225.55</v>
      </c>
    </row>
    <row r="291" spans="2:12" x14ac:dyDescent="0.3">
      <c r="B291" s="25">
        <v>288</v>
      </c>
      <c r="C291" s="33">
        <v>50767</v>
      </c>
      <c r="D291" s="33" t="s">
        <v>400</v>
      </c>
      <c r="E291" s="35">
        <v>44258</v>
      </c>
      <c r="F291" s="33">
        <v>1</v>
      </c>
      <c r="G291" s="33" t="s">
        <v>231</v>
      </c>
      <c r="H291" s="33">
        <v>53</v>
      </c>
      <c r="I291" s="33" t="s">
        <v>198</v>
      </c>
      <c r="J291" s="34">
        <v>712.75</v>
      </c>
      <c r="K291" s="34"/>
      <c r="L291" s="34">
        <v>712.75</v>
      </c>
    </row>
    <row r="292" spans="2:12" x14ac:dyDescent="0.3">
      <c r="B292" s="25">
        <v>289</v>
      </c>
      <c r="C292" s="33">
        <v>50773</v>
      </c>
      <c r="D292" s="33" t="s">
        <v>438</v>
      </c>
      <c r="E292" s="35">
        <v>44259</v>
      </c>
      <c r="F292" s="33">
        <v>1</v>
      </c>
      <c r="G292" s="33" t="s">
        <v>122</v>
      </c>
      <c r="H292" s="33" t="s">
        <v>73</v>
      </c>
      <c r="I292" s="33" t="s">
        <v>196</v>
      </c>
      <c r="J292" s="34">
        <v>311</v>
      </c>
      <c r="K292" s="34"/>
      <c r="L292" s="34">
        <v>311</v>
      </c>
    </row>
    <row r="293" spans="2:12" x14ac:dyDescent="0.3">
      <c r="B293" s="25">
        <v>290</v>
      </c>
      <c r="C293" s="33">
        <v>50775</v>
      </c>
      <c r="D293" s="33" t="s">
        <v>391</v>
      </c>
      <c r="E293" s="35">
        <v>44259</v>
      </c>
      <c r="F293" s="33">
        <v>1</v>
      </c>
      <c r="G293" s="33" t="s">
        <v>122</v>
      </c>
      <c r="H293" s="33" t="s">
        <v>73</v>
      </c>
      <c r="I293" s="33" t="s">
        <v>196</v>
      </c>
      <c r="J293" s="34">
        <v>89</v>
      </c>
      <c r="K293" s="34"/>
      <c r="L293" s="34">
        <v>89</v>
      </c>
    </row>
    <row r="294" spans="2:12" x14ac:dyDescent="0.3">
      <c r="B294" s="25">
        <v>291</v>
      </c>
      <c r="C294" s="33">
        <v>50776</v>
      </c>
      <c r="D294" s="33" t="s">
        <v>411</v>
      </c>
      <c r="E294" s="35">
        <v>44259</v>
      </c>
      <c r="F294" s="33">
        <v>1</v>
      </c>
      <c r="G294" s="33" t="s">
        <v>122</v>
      </c>
      <c r="H294" s="33">
        <v>53</v>
      </c>
      <c r="I294" s="33" t="s">
        <v>196</v>
      </c>
      <c r="J294" s="34">
        <v>236.25</v>
      </c>
      <c r="K294" s="34"/>
      <c r="L294" s="34">
        <v>236.25</v>
      </c>
    </row>
    <row r="295" spans="2:12" x14ac:dyDescent="0.3">
      <c r="B295" s="25">
        <v>292</v>
      </c>
      <c r="C295" s="33" t="s">
        <v>368</v>
      </c>
      <c r="D295" s="33" t="s">
        <v>369</v>
      </c>
      <c r="E295" s="35">
        <v>44267</v>
      </c>
      <c r="F295" s="33">
        <v>1</v>
      </c>
      <c r="G295" s="33" t="s">
        <v>124</v>
      </c>
      <c r="H295" s="33" t="s">
        <v>73</v>
      </c>
      <c r="I295" s="33" t="s">
        <v>197</v>
      </c>
      <c r="J295" s="34">
        <v>277.89999999999998</v>
      </c>
      <c r="K295" s="34"/>
      <c r="L295" s="34">
        <v>277.89999999999998</v>
      </c>
    </row>
    <row r="296" spans="2:12" x14ac:dyDescent="0.3">
      <c r="B296" s="25">
        <v>293</v>
      </c>
      <c r="C296" s="33" t="s">
        <v>485</v>
      </c>
      <c r="D296" s="33" t="s">
        <v>438</v>
      </c>
      <c r="E296" s="35">
        <v>44266</v>
      </c>
      <c r="F296" s="33">
        <v>1</v>
      </c>
      <c r="G296" s="33" t="s">
        <v>122</v>
      </c>
      <c r="H296" s="33" t="s">
        <v>73</v>
      </c>
      <c r="I296" s="33" t="s">
        <v>196</v>
      </c>
      <c r="J296" s="34">
        <v>233.5</v>
      </c>
      <c r="K296" s="34"/>
      <c r="L296" s="34">
        <v>233.5</v>
      </c>
    </row>
    <row r="297" spans="2:12" x14ac:dyDescent="0.3">
      <c r="B297" s="25">
        <v>294</v>
      </c>
      <c r="C297" s="33">
        <v>50873</v>
      </c>
      <c r="D297" s="33" t="s">
        <v>442</v>
      </c>
      <c r="E297" s="35">
        <v>44266</v>
      </c>
      <c r="F297" s="33">
        <v>1</v>
      </c>
      <c r="G297" s="33" t="s">
        <v>122</v>
      </c>
      <c r="H297" s="33" t="s">
        <v>73</v>
      </c>
      <c r="I297" s="33" t="s">
        <v>196</v>
      </c>
      <c r="J297" s="34">
        <v>416</v>
      </c>
      <c r="K297" s="34"/>
      <c r="L297" s="34">
        <v>416</v>
      </c>
    </row>
    <row r="298" spans="2:12" x14ac:dyDescent="0.3">
      <c r="B298" s="25">
        <v>295</v>
      </c>
      <c r="C298" s="33">
        <v>50874</v>
      </c>
      <c r="D298" s="33" t="s">
        <v>411</v>
      </c>
      <c r="E298" s="35">
        <v>44266</v>
      </c>
      <c r="F298" s="33">
        <v>1</v>
      </c>
      <c r="G298" s="33" t="s">
        <v>122</v>
      </c>
      <c r="H298" s="33">
        <v>53</v>
      </c>
      <c r="I298" s="33" t="s">
        <v>196</v>
      </c>
      <c r="J298" s="34">
        <v>199.8</v>
      </c>
      <c r="K298" s="34"/>
      <c r="L298" s="34">
        <v>199.8</v>
      </c>
    </row>
    <row r="299" spans="2:12" x14ac:dyDescent="0.3">
      <c r="B299" s="25">
        <v>296</v>
      </c>
      <c r="C299" s="33">
        <v>50962</v>
      </c>
      <c r="D299" s="33" t="s">
        <v>400</v>
      </c>
      <c r="E299" s="35">
        <v>44272</v>
      </c>
      <c r="F299" s="33">
        <v>1</v>
      </c>
      <c r="G299" s="33" t="s">
        <v>231</v>
      </c>
      <c r="H299" s="33" t="s">
        <v>73</v>
      </c>
      <c r="I299" s="33" t="s">
        <v>198</v>
      </c>
      <c r="J299" s="34">
        <v>733.3</v>
      </c>
      <c r="K299" s="34"/>
      <c r="L299" s="34">
        <v>733.3</v>
      </c>
    </row>
    <row r="300" spans="2:12" x14ac:dyDescent="0.3">
      <c r="B300" s="25">
        <v>297</v>
      </c>
      <c r="C300" s="33">
        <v>50963</v>
      </c>
      <c r="D300" s="33" t="s">
        <v>400</v>
      </c>
      <c r="E300" s="35">
        <v>44272</v>
      </c>
      <c r="F300" s="33">
        <v>1</v>
      </c>
      <c r="G300" s="33" t="s">
        <v>231</v>
      </c>
      <c r="H300" s="33" t="s">
        <v>73</v>
      </c>
      <c r="I300" s="33" t="s">
        <v>198</v>
      </c>
      <c r="J300" s="34">
        <v>390.9</v>
      </c>
      <c r="K300" s="34"/>
      <c r="L300" s="34">
        <v>390.9</v>
      </c>
    </row>
    <row r="301" spans="2:12" x14ac:dyDescent="0.3">
      <c r="B301" s="25">
        <v>298</v>
      </c>
      <c r="C301" s="33">
        <v>50964</v>
      </c>
      <c r="D301" s="33" t="s">
        <v>400</v>
      </c>
      <c r="E301" s="35">
        <v>44272</v>
      </c>
      <c r="F301" s="33">
        <v>1</v>
      </c>
      <c r="G301" s="33" t="s">
        <v>231</v>
      </c>
      <c r="H301" s="33" t="s">
        <v>73</v>
      </c>
      <c r="I301" s="33" t="s">
        <v>198</v>
      </c>
      <c r="J301" s="34">
        <v>496.64</v>
      </c>
      <c r="K301" s="34"/>
      <c r="L301" s="34">
        <v>496.64</v>
      </c>
    </row>
    <row r="302" spans="2:12" x14ac:dyDescent="0.3">
      <c r="B302" s="25">
        <v>299</v>
      </c>
      <c r="C302" s="33">
        <v>50969</v>
      </c>
      <c r="D302" s="33" t="s">
        <v>411</v>
      </c>
      <c r="E302" s="35">
        <v>44273</v>
      </c>
      <c r="F302" s="33">
        <v>1</v>
      </c>
      <c r="G302" s="33" t="s">
        <v>122</v>
      </c>
      <c r="H302" s="33" t="s">
        <v>73</v>
      </c>
      <c r="I302" s="33" t="s">
        <v>196</v>
      </c>
      <c r="J302" s="34">
        <v>920.7</v>
      </c>
      <c r="K302" s="34"/>
      <c r="L302" s="34">
        <v>920.7</v>
      </c>
    </row>
    <row r="303" spans="2:12" x14ac:dyDescent="0.3">
      <c r="B303" s="25">
        <v>300</v>
      </c>
      <c r="C303" s="33">
        <v>51037</v>
      </c>
      <c r="D303" s="33" t="s">
        <v>400</v>
      </c>
      <c r="E303" s="35">
        <v>44279</v>
      </c>
      <c r="F303" s="33">
        <v>1</v>
      </c>
      <c r="G303" s="33" t="s">
        <v>231</v>
      </c>
      <c r="H303" s="33">
        <v>53</v>
      </c>
      <c r="I303" s="33" t="s">
        <v>198</v>
      </c>
      <c r="J303" s="34">
        <v>815.41</v>
      </c>
      <c r="K303" s="34"/>
      <c r="L303" s="34">
        <v>815.41</v>
      </c>
    </row>
    <row r="304" spans="2:12" x14ac:dyDescent="0.3">
      <c r="B304" s="25">
        <v>301</v>
      </c>
      <c r="C304" s="33">
        <v>51038</v>
      </c>
      <c r="D304" s="33" t="s">
        <v>400</v>
      </c>
      <c r="E304" s="35">
        <v>44279</v>
      </c>
      <c r="F304" s="33">
        <v>1</v>
      </c>
      <c r="G304" s="33" t="s">
        <v>231</v>
      </c>
      <c r="H304" s="33">
        <v>53</v>
      </c>
      <c r="I304" s="33" t="s">
        <v>198</v>
      </c>
      <c r="J304" s="34">
        <v>1789.65</v>
      </c>
      <c r="K304" s="34"/>
      <c r="L304" s="34">
        <v>1789.65</v>
      </c>
    </row>
    <row r="305" spans="2:12" x14ac:dyDescent="0.3">
      <c r="B305" s="25">
        <v>302</v>
      </c>
      <c r="C305" s="33">
        <v>51039</v>
      </c>
      <c r="D305" s="33" t="s">
        <v>400</v>
      </c>
      <c r="E305" s="35">
        <v>44279</v>
      </c>
      <c r="F305" s="33">
        <v>1</v>
      </c>
      <c r="G305" s="33" t="s">
        <v>231</v>
      </c>
      <c r="H305" s="33">
        <v>53</v>
      </c>
      <c r="I305" s="33" t="s">
        <v>198</v>
      </c>
      <c r="J305" s="34">
        <v>61.59</v>
      </c>
      <c r="K305" s="34"/>
      <c r="L305" s="34">
        <v>61.59</v>
      </c>
    </row>
    <row r="306" spans="2:12" x14ac:dyDescent="0.3">
      <c r="B306" s="25">
        <v>303</v>
      </c>
      <c r="C306" s="33">
        <v>51040</v>
      </c>
      <c r="D306" s="33" t="s">
        <v>400</v>
      </c>
      <c r="E306" s="35">
        <v>44279</v>
      </c>
      <c r="F306" s="33">
        <v>1</v>
      </c>
      <c r="G306" s="33" t="s">
        <v>231</v>
      </c>
      <c r="H306" s="33">
        <v>53</v>
      </c>
      <c r="I306" s="33" t="s">
        <v>198</v>
      </c>
      <c r="J306" s="34">
        <v>61.59</v>
      </c>
      <c r="K306" s="34"/>
      <c r="L306" s="34">
        <v>61.59</v>
      </c>
    </row>
    <row r="307" spans="2:12" x14ac:dyDescent="0.3">
      <c r="B307" s="25">
        <v>304</v>
      </c>
      <c r="C307" s="33">
        <v>51045</v>
      </c>
      <c r="D307" s="33" t="s">
        <v>442</v>
      </c>
      <c r="E307" s="35">
        <v>44280</v>
      </c>
      <c r="F307" s="33">
        <v>1</v>
      </c>
      <c r="G307" s="33" t="s">
        <v>122</v>
      </c>
      <c r="H307" s="33" t="s">
        <v>73</v>
      </c>
      <c r="I307" s="33" t="s">
        <v>196</v>
      </c>
      <c r="J307" s="34">
        <v>2178.5</v>
      </c>
      <c r="K307" s="34"/>
      <c r="L307" s="34">
        <v>2178.5</v>
      </c>
    </row>
    <row r="308" spans="2:12" x14ac:dyDescent="0.3">
      <c r="B308" s="25">
        <v>305</v>
      </c>
      <c r="C308" s="33">
        <v>51159</v>
      </c>
      <c r="D308" s="33" t="s">
        <v>400</v>
      </c>
      <c r="E308" s="35">
        <v>44286</v>
      </c>
      <c r="F308" s="33">
        <v>1</v>
      </c>
      <c r="G308" s="33" t="s">
        <v>231</v>
      </c>
      <c r="H308" s="33">
        <v>53</v>
      </c>
      <c r="I308" s="33" t="s">
        <v>198</v>
      </c>
      <c r="J308" s="34">
        <v>565.51</v>
      </c>
      <c r="K308" s="34"/>
      <c r="L308" s="34">
        <v>565.51</v>
      </c>
    </row>
    <row r="309" spans="2:12" x14ac:dyDescent="0.3">
      <c r="B309" s="25">
        <v>306</v>
      </c>
      <c r="C309" s="33">
        <v>51160</v>
      </c>
      <c r="D309" s="33" t="s">
        <v>400</v>
      </c>
      <c r="E309" s="35">
        <v>44286</v>
      </c>
      <c r="F309" s="33">
        <v>1</v>
      </c>
      <c r="G309" s="33" t="s">
        <v>231</v>
      </c>
      <c r="H309" s="33">
        <v>53</v>
      </c>
      <c r="I309" s="33" t="s">
        <v>198</v>
      </c>
      <c r="J309" s="34">
        <v>589.1</v>
      </c>
      <c r="K309" s="34"/>
      <c r="L309" s="34">
        <v>589.1</v>
      </c>
    </row>
    <row r="310" spans="2:12" x14ac:dyDescent="0.3">
      <c r="B310" s="25">
        <v>307</v>
      </c>
      <c r="C310" s="33">
        <v>51161</v>
      </c>
      <c r="D310" s="33" t="s">
        <v>400</v>
      </c>
      <c r="E310" s="35">
        <v>44286</v>
      </c>
      <c r="F310" s="33">
        <v>1</v>
      </c>
      <c r="G310" s="33" t="s">
        <v>231</v>
      </c>
      <c r="H310" s="33" t="s">
        <v>73</v>
      </c>
      <c r="I310" s="33" t="s">
        <v>198</v>
      </c>
      <c r="J310" s="34">
        <v>691.58</v>
      </c>
      <c r="K310" s="34"/>
      <c r="L310" s="34">
        <v>691.58</v>
      </c>
    </row>
    <row r="311" spans="2:12" x14ac:dyDescent="0.3">
      <c r="B311" s="25">
        <v>308</v>
      </c>
      <c r="C311" s="33">
        <v>51201</v>
      </c>
      <c r="D311" s="33" t="s">
        <v>411</v>
      </c>
      <c r="E311" s="35">
        <v>44287</v>
      </c>
      <c r="F311" s="33">
        <v>2</v>
      </c>
      <c r="G311" s="33" t="s">
        <v>122</v>
      </c>
      <c r="H311" s="33" t="s">
        <v>73</v>
      </c>
      <c r="I311" s="33" t="s">
        <v>196</v>
      </c>
      <c r="J311" s="34">
        <v>969.75</v>
      </c>
      <c r="K311" s="34"/>
      <c r="L311" s="34">
        <v>969.75</v>
      </c>
    </row>
    <row r="312" spans="2:12" x14ac:dyDescent="0.3">
      <c r="B312" s="25">
        <v>309</v>
      </c>
      <c r="C312" s="33">
        <v>51291</v>
      </c>
      <c r="D312" s="33" t="s">
        <v>411</v>
      </c>
      <c r="E312" s="35">
        <v>44294</v>
      </c>
      <c r="F312" s="33">
        <v>2</v>
      </c>
      <c r="G312" s="33" t="s">
        <v>122</v>
      </c>
      <c r="H312" s="33" t="s">
        <v>73</v>
      </c>
      <c r="I312" s="33" t="s">
        <v>196</v>
      </c>
      <c r="J312" s="34">
        <v>461</v>
      </c>
      <c r="K312" s="34"/>
      <c r="L312" s="34">
        <v>461</v>
      </c>
    </row>
    <row r="313" spans="2:12" x14ac:dyDescent="0.3">
      <c r="B313" s="25">
        <v>310</v>
      </c>
      <c r="C313" s="33">
        <v>8779</v>
      </c>
      <c r="D313" s="33" t="s">
        <v>402</v>
      </c>
      <c r="E313" s="35">
        <v>44294</v>
      </c>
      <c r="F313" s="33">
        <v>2</v>
      </c>
      <c r="G313" s="33" t="s">
        <v>122</v>
      </c>
      <c r="H313" s="33" t="s">
        <v>73</v>
      </c>
      <c r="I313" s="33" t="s">
        <v>196</v>
      </c>
      <c r="J313" s="34">
        <v>3241.84</v>
      </c>
      <c r="K313" s="34"/>
      <c r="L313" s="34">
        <v>3241.84</v>
      </c>
    </row>
    <row r="314" spans="2:12" x14ac:dyDescent="0.3">
      <c r="B314" s="25">
        <v>311</v>
      </c>
      <c r="C314" s="33">
        <v>9114</v>
      </c>
      <c r="D314" s="33" t="s">
        <v>402</v>
      </c>
      <c r="E314" s="35">
        <v>44299</v>
      </c>
      <c r="F314" s="33">
        <v>2</v>
      </c>
      <c r="G314" s="33" t="s">
        <v>122</v>
      </c>
      <c r="H314" s="33" t="s">
        <v>73</v>
      </c>
      <c r="I314" s="33" t="s">
        <v>196</v>
      </c>
      <c r="J314" s="34">
        <v>1218.1400000000001</v>
      </c>
      <c r="K314" s="34"/>
      <c r="L314" s="34">
        <v>1218.1400000000001</v>
      </c>
    </row>
    <row r="315" spans="2:12" x14ac:dyDescent="0.3">
      <c r="B315" s="25">
        <v>313</v>
      </c>
      <c r="C315" s="33" t="s">
        <v>486</v>
      </c>
      <c r="D315" s="33" t="s">
        <v>477</v>
      </c>
      <c r="E315" s="35">
        <v>44225</v>
      </c>
      <c r="F315" s="33">
        <v>1</v>
      </c>
      <c r="G315" s="33" t="s">
        <v>231</v>
      </c>
      <c r="H315" s="33" t="s">
        <v>70</v>
      </c>
      <c r="I315" s="33" t="s">
        <v>198</v>
      </c>
      <c r="J315" s="34">
        <v>1001</v>
      </c>
      <c r="K315" s="34">
        <v>80</v>
      </c>
      <c r="L315" s="34">
        <v>921</v>
      </c>
    </row>
    <row r="316" spans="2:12" x14ac:dyDescent="0.3">
      <c r="B316" s="25">
        <v>314</v>
      </c>
      <c r="C316" s="33" t="s">
        <v>487</v>
      </c>
      <c r="D316" s="33" t="s">
        <v>477</v>
      </c>
      <c r="E316" s="35">
        <v>44225</v>
      </c>
      <c r="F316" s="33">
        <v>1</v>
      </c>
      <c r="G316" s="33" t="s">
        <v>231</v>
      </c>
      <c r="H316" s="33" t="s">
        <v>70</v>
      </c>
      <c r="I316" s="33" t="s">
        <v>198</v>
      </c>
      <c r="J316" s="34">
        <v>2127</v>
      </c>
      <c r="K316" s="34">
        <v>165</v>
      </c>
      <c r="L316" s="34">
        <v>1962</v>
      </c>
    </row>
    <row r="317" spans="2:12" x14ac:dyDescent="0.3">
      <c r="B317" s="25">
        <v>315</v>
      </c>
      <c r="C317" s="33" t="s">
        <v>488</v>
      </c>
      <c r="D317" s="33" t="s">
        <v>489</v>
      </c>
      <c r="E317" s="35">
        <v>44225</v>
      </c>
      <c r="F317" s="33">
        <v>1</v>
      </c>
      <c r="G317" s="33" t="s">
        <v>231</v>
      </c>
      <c r="H317" s="33" t="s">
        <v>70</v>
      </c>
      <c r="I317" s="33" t="s">
        <v>198</v>
      </c>
      <c r="J317" s="34">
        <v>2171</v>
      </c>
      <c r="K317" s="34">
        <v>170</v>
      </c>
      <c r="L317" s="34">
        <v>2001</v>
      </c>
    </row>
    <row r="318" spans="2:12" x14ac:dyDescent="0.3">
      <c r="B318" s="25">
        <v>316</v>
      </c>
      <c r="C318" s="33" t="s">
        <v>490</v>
      </c>
      <c r="D318" s="33" t="s">
        <v>477</v>
      </c>
      <c r="E318" s="35">
        <v>44253</v>
      </c>
      <c r="F318" s="33">
        <v>1</v>
      </c>
      <c r="G318" s="33" t="s">
        <v>231</v>
      </c>
      <c r="H318" s="33" t="s">
        <v>70</v>
      </c>
      <c r="I318" s="33" t="s">
        <v>198</v>
      </c>
      <c r="J318" s="34">
        <v>1898</v>
      </c>
      <c r="K318" s="34">
        <v>125</v>
      </c>
      <c r="L318" s="34">
        <v>1773</v>
      </c>
    </row>
    <row r="319" spans="2:12" x14ac:dyDescent="0.3">
      <c r="B319" s="25">
        <v>317</v>
      </c>
      <c r="C319" s="33" t="s">
        <v>491</v>
      </c>
      <c r="D319" s="33" t="s">
        <v>477</v>
      </c>
      <c r="E319" s="35">
        <v>44253</v>
      </c>
      <c r="F319" s="33">
        <v>1</v>
      </c>
      <c r="G319" s="33" t="s">
        <v>231</v>
      </c>
      <c r="H319" s="33" t="s">
        <v>70</v>
      </c>
      <c r="I319" s="33" t="s">
        <v>198</v>
      </c>
      <c r="J319" s="34">
        <v>829</v>
      </c>
      <c r="K319" s="34">
        <v>55</v>
      </c>
      <c r="L319" s="34">
        <v>774</v>
      </c>
    </row>
    <row r="320" spans="2:12" x14ac:dyDescent="0.3">
      <c r="B320" s="25">
        <v>318</v>
      </c>
      <c r="C320" s="33" t="s">
        <v>492</v>
      </c>
      <c r="D320" s="33" t="s">
        <v>493</v>
      </c>
      <c r="E320" s="35">
        <v>44253</v>
      </c>
      <c r="F320" s="33">
        <v>1</v>
      </c>
      <c r="G320" s="33" t="s">
        <v>122</v>
      </c>
      <c r="H320" s="33" t="s">
        <v>70</v>
      </c>
      <c r="I320" s="33" t="s">
        <v>196</v>
      </c>
      <c r="J320" s="34">
        <v>45</v>
      </c>
      <c r="K320" s="34"/>
      <c r="L320" s="34">
        <v>45</v>
      </c>
    </row>
    <row r="321" spans="2:12" x14ac:dyDescent="0.3">
      <c r="B321" s="25">
        <v>319</v>
      </c>
      <c r="C321" s="33" t="s">
        <v>494</v>
      </c>
      <c r="D321" s="33" t="s">
        <v>348</v>
      </c>
      <c r="E321" s="35">
        <v>44286</v>
      </c>
      <c r="F321" s="33">
        <v>1</v>
      </c>
      <c r="G321" s="33" t="s">
        <v>231</v>
      </c>
      <c r="H321" s="33" t="s">
        <v>70</v>
      </c>
      <c r="I321" s="33" t="s">
        <v>198</v>
      </c>
      <c r="J321" s="34">
        <v>5034.45</v>
      </c>
      <c r="K321" s="34"/>
      <c r="L321" s="34">
        <v>5034.45</v>
      </c>
    </row>
    <row r="322" spans="2:12" x14ac:dyDescent="0.3">
      <c r="B322" s="25">
        <v>320</v>
      </c>
      <c r="C322" s="33" t="s">
        <v>495</v>
      </c>
      <c r="D322" s="33" t="s">
        <v>420</v>
      </c>
      <c r="E322" s="35">
        <v>44286</v>
      </c>
      <c r="F322" s="33">
        <v>1</v>
      </c>
      <c r="G322" s="33" t="s">
        <v>231</v>
      </c>
      <c r="H322" s="33" t="s">
        <v>70</v>
      </c>
      <c r="I322" s="33" t="s">
        <v>198</v>
      </c>
      <c r="J322" s="34">
        <v>303.8</v>
      </c>
      <c r="K322" s="34">
        <v>95</v>
      </c>
      <c r="L322" s="34">
        <v>208.8</v>
      </c>
    </row>
    <row r="323" spans="2:12" x14ac:dyDescent="0.3">
      <c r="B323" s="25">
        <v>321</v>
      </c>
      <c r="C323" s="33">
        <v>4232</v>
      </c>
      <c r="D323" s="33" t="s">
        <v>496</v>
      </c>
      <c r="E323" s="35">
        <v>44250</v>
      </c>
      <c r="F323" s="33">
        <v>1</v>
      </c>
      <c r="G323" s="33" t="s">
        <v>122</v>
      </c>
      <c r="H323" s="33" t="s">
        <v>73</v>
      </c>
      <c r="I323" s="33" t="s">
        <v>196</v>
      </c>
      <c r="J323" s="34">
        <v>1322.23</v>
      </c>
      <c r="K323" s="34"/>
      <c r="L323" s="34">
        <v>1322.23</v>
      </c>
    </row>
    <row r="324" spans="2:12" x14ac:dyDescent="0.3">
      <c r="B324" s="25">
        <v>322</v>
      </c>
      <c r="C324" s="33">
        <v>9753</v>
      </c>
      <c r="D324" s="33" t="s">
        <v>370</v>
      </c>
      <c r="E324" s="35">
        <v>44306</v>
      </c>
      <c r="F324" s="33">
        <v>2</v>
      </c>
      <c r="G324" s="33" t="s">
        <v>122</v>
      </c>
      <c r="H324" s="33" t="s">
        <v>73</v>
      </c>
      <c r="I324" s="33" t="s">
        <v>196</v>
      </c>
      <c r="J324" s="34">
        <v>766.63</v>
      </c>
      <c r="K324" s="34"/>
      <c r="L324" s="34">
        <v>766.63</v>
      </c>
    </row>
    <row r="325" spans="2:12" x14ac:dyDescent="0.3">
      <c r="B325" s="25">
        <v>323</v>
      </c>
      <c r="C325" s="33" t="s">
        <v>308</v>
      </c>
      <c r="D325" s="33" t="s">
        <v>370</v>
      </c>
      <c r="E325" s="35">
        <v>44307</v>
      </c>
      <c r="F325" s="33">
        <v>2</v>
      </c>
      <c r="G325" s="33" t="s">
        <v>124</v>
      </c>
      <c r="H325" s="33" t="s">
        <v>73</v>
      </c>
      <c r="I325" s="33" t="s">
        <v>197</v>
      </c>
      <c r="J325" s="34">
        <v>1403.1</v>
      </c>
      <c r="K325" s="34"/>
      <c r="L325" s="34">
        <v>1403.1</v>
      </c>
    </row>
    <row r="326" spans="2:12" x14ac:dyDescent="0.3">
      <c r="B326" s="25">
        <v>324</v>
      </c>
      <c r="C326" s="33">
        <v>30584</v>
      </c>
      <c r="D326" s="33" t="s">
        <v>394</v>
      </c>
      <c r="E326" s="35">
        <v>44222</v>
      </c>
      <c r="F326" s="33">
        <v>1</v>
      </c>
      <c r="G326" s="33" t="s">
        <v>122</v>
      </c>
      <c r="H326" s="33" t="s">
        <v>72</v>
      </c>
      <c r="I326" s="33" t="s">
        <v>196</v>
      </c>
      <c r="J326" s="34">
        <v>3062.5</v>
      </c>
      <c r="K326" s="34"/>
      <c r="L326" s="34">
        <v>3062.5</v>
      </c>
    </row>
    <row r="327" spans="2:12" x14ac:dyDescent="0.3">
      <c r="B327" s="25">
        <v>325</v>
      </c>
      <c r="C327" s="33">
        <v>30654</v>
      </c>
      <c r="D327" s="33" t="s">
        <v>371</v>
      </c>
      <c r="E327" s="35">
        <v>44238</v>
      </c>
      <c r="F327" s="33">
        <v>1</v>
      </c>
      <c r="G327" s="33" t="s">
        <v>124</v>
      </c>
      <c r="H327" s="33" t="s">
        <v>72</v>
      </c>
      <c r="I327" s="33" t="s">
        <v>197</v>
      </c>
      <c r="J327" s="34">
        <v>1063</v>
      </c>
      <c r="K327" s="34"/>
      <c r="L327" s="34">
        <v>1063</v>
      </c>
    </row>
    <row r="328" spans="2:12" x14ac:dyDescent="0.3">
      <c r="B328" s="25">
        <v>326</v>
      </c>
      <c r="C328" s="33">
        <v>30677</v>
      </c>
      <c r="D328" s="33" t="s">
        <v>394</v>
      </c>
      <c r="E328" s="35">
        <v>44239</v>
      </c>
      <c r="F328" s="33">
        <v>1</v>
      </c>
      <c r="G328" s="33" t="s">
        <v>122</v>
      </c>
      <c r="H328" s="33" t="s">
        <v>72</v>
      </c>
      <c r="I328" s="33" t="s">
        <v>196</v>
      </c>
      <c r="J328" s="34">
        <v>3061</v>
      </c>
      <c r="K328" s="34"/>
      <c r="L328" s="34">
        <v>3061</v>
      </c>
    </row>
    <row r="329" spans="2:12" x14ac:dyDescent="0.3">
      <c r="B329" s="25">
        <v>327</v>
      </c>
      <c r="C329" s="33">
        <v>31037</v>
      </c>
      <c r="D329" s="33" t="s">
        <v>497</v>
      </c>
      <c r="E329" s="35">
        <v>44313</v>
      </c>
      <c r="F329" s="33">
        <v>2</v>
      </c>
      <c r="G329" s="33" t="s">
        <v>122</v>
      </c>
      <c r="H329" s="33" t="s">
        <v>72</v>
      </c>
      <c r="I329" s="33" t="s">
        <v>196</v>
      </c>
      <c r="J329" s="34">
        <v>3814</v>
      </c>
      <c r="K329" s="34"/>
      <c r="L329" s="34">
        <v>3814</v>
      </c>
    </row>
    <row r="330" spans="2:12" x14ac:dyDescent="0.3">
      <c r="B330" s="25">
        <v>328</v>
      </c>
      <c r="C330" s="33">
        <v>1128</v>
      </c>
      <c r="D330" s="33" t="s">
        <v>498</v>
      </c>
      <c r="E330" s="35">
        <v>44300</v>
      </c>
      <c r="F330" s="33">
        <v>2</v>
      </c>
      <c r="G330" s="33" t="s">
        <v>122</v>
      </c>
      <c r="H330" s="33" t="s">
        <v>201</v>
      </c>
      <c r="I330" s="33" t="s">
        <v>196</v>
      </c>
      <c r="J330" s="34">
        <v>2195.8200000000002</v>
      </c>
      <c r="K330" s="34"/>
      <c r="L330" s="34">
        <v>2195.8200000000002</v>
      </c>
    </row>
    <row r="331" spans="2:12" x14ac:dyDescent="0.3">
      <c r="B331" s="25">
        <v>329</v>
      </c>
      <c r="C331" s="33">
        <v>31058</v>
      </c>
      <c r="D331" s="33" t="s">
        <v>462</v>
      </c>
      <c r="E331" s="35">
        <v>44315</v>
      </c>
      <c r="F331" s="33">
        <v>2</v>
      </c>
      <c r="G331" s="33" t="s">
        <v>122</v>
      </c>
      <c r="H331" s="33" t="s">
        <v>72</v>
      </c>
      <c r="I331" s="33" t="s">
        <v>196</v>
      </c>
      <c r="J331" s="34">
        <v>14136.1</v>
      </c>
      <c r="K331" s="34"/>
      <c r="L331" s="34">
        <v>14136.1</v>
      </c>
    </row>
    <row r="332" spans="2:12" x14ac:dyDescent="0.3">
      <c r="B332" s="25">
        <v>330</v>
      </c>
      <c r="C332" s="33">
        <v>31076</v>
      </c>
      <c r="D332" s="33" t="s">
        <v>394</v>
      </c>
      <c r="E332" s="35">
        <v>44319</v>
      </c>
      <c r="F332" s="33">
        <v>2</v>
      </c>
      <c r="G332" s="33" t="s">
        <v>122</v>
      </c>
      <c r="H332" s="33" t="s">
        <v>72</v>
      </c>
      <c r="I332" s="33" t="s">
        <v>196</v>
      </c>
      <c r="J332" s="34">
        <v>2498</v>
      </c>
      <c r="K332" s="34"/>
      <c r="L332" s="34">
        <v>2498</v>
      </c>
    </row>
    <row r="333" spans="2:12" x14ac:dyDescent="0.3">
      <c r="B333" s="25">
        <v>331</v>
      </c>
      <c r="C333" s="33">
        <v>31077</v>
      </c>
      <c r="D333" s="33" t="s">
        <v>394</v>
      </c>
      <c r="E333" s="35">
        <v>44319</v>
      </c>
      <c r="F333" s="33">
        <v>2</v>
      </c>
      <c r="G333" s="33" t="s">
        <v>122</v>
      </c>
      <c r="H333" s="33" t="s">
        <v>72</v>
      </c>
      <c r="I333" s="33" t="s">
        <v>196</v>
      </c>
      <c r="J333" s="34">
        <v>1588</v>
      </c>
      <c r="K333" s="34"/>
      <c r="L333" s="34">
        <v>1588</v>
      </c>
    </row>
    <row r="334" spans="2:12" x14ac:dyDescent="0.3">
      <c r="B334" s="25">
        <v>332</v>
      </c>
      <c r="C334" s="33">
        <v>1503</v>
      </c>
      <c r="D334" s="33" t="s">
        <v>499</v>
      </c>
      <c r="E334" s="35">
        <v>44301</v>
      </c>
      <c r="F334" s="33">
        <v>2</v>
      </c>
      <c r="G334" s="33" t="s">
        <v>122</v>
      </c>
      <c r="H334" s="33" t="s">
        <v>71</v>
      </c>
      <c r="I334" s="33" t="s">
        <v>196</v>
      </c>
      <c r="J334" s="34">
        <v>2034.37</v>
      </c>
      <c r="K334" s="34"/>
      <c r="L334" s="34">
        <v>2034.37</v>
      </c>
    </row>
    <row r="335" spans="2:12" x14ac:dyDescent="0.3">
      <c r="B335" s="25">
        <v>334</v>
      </c>
      <c r="C335" s="33">
        <v>31087</v>
      </c>
      <c r="D335" s="33" t="s">
        <v>500</v>
      </c>
      <c r="E335" s="35">
        <v>44322</v>
      </c>
      <c r="F335" s="33">
        <v>2</v>
      </c>
      <c r="G335" s="33" t="s">
        <v>122</v>
      </c>
      <c r="H335" s="33" t="s">
        <v>72</v>
      </c>
      <c r="I335" s="33" t="s">
        <v>196</v>
      </c>
      <c r="J335" s="34">
        <v>2012</v>
      </c>
      <c r="K335" s="34"/>
      <c r="L335" s="34">
        <v>2012</v>
      </c>
    </row>
    <row r="336" spans="2:12" x14ac:dyDescent="0.3">
      <c r="B336" s="25">
        <v>335</v>
      </c>
      <c r="C336" s="33" t="s">
        <v>501</v>
      </c>
      <c r="D336" s="33" t="s">
        <v>502</v>
      </c>
      <c r="E336" s="35">
        <v>44306</v>
      </c>
      <c r="F336" s="33">
        <v>2</v>
      </c>
      <c r="G336" s="33" t="s">
        <v>122</v>
      </c>
      <c r="H336" s="33" t="s">
        <v>69</v>
      </c>
      <c r="I336" s="33" t="s">
        <v>196</v>
      </c>
      <c r="J336" s="34">
        <v>5544.17</v>
      </c>
      <c r="K336" s="34"/>
      <c r="L336" s="34">
        <v>5544.17</v>
      </c>
    </row>
    <row r="337" spans="2:12" x14ac:dyDescent="0.3">
      <c r="B337" s="25">
        <v>336</v>
      </c>
      <c r="C337" s="33">
        <v>31093</v>
      </c>
      <c r="D337" s="33" t="s">
        <v>233</v>
      </c>
      <c r="E337" s="35">
        <v>44326</v>
      </c>
      <c r="F337" s="33">
        <v>2</v>
      </c>
      <c r="G337" s="33" t="s">
        <v>122</v>
      </c>
      <c r="H337" s="33" t="s">
        <v>72</v>
      </c>
      <c r="I337" s="33" t="s">
        <v>196</v>
      </c>
      <c r="J337" s="34">
        <v>7743</v>
      </c>
      <c r="K337" s="34"/>
      <c r="L337" s="34">
        <v>7743</v>
      </c>
    </row>
    <row r="338" spans="2:12" x14ac:dyDescent="0.3">
      <c r="B338" s="25">
        <v>337</v>
      </c>
      <c r="C338" s="33">
        <v>31094</v>
      </c>
      <c r="D338" s="33" t="s">
        <v>475</v>
      </c>
      <c r="E338" s="35">
        <v>44326</v>
      </c>
      <c r="F338" s="33">
        <v>2</v>
      </c>
      <c r="G338" s="33" t="s">
        <v>231</v>
      </c>
      <c r="H338" s="33" t="s">
        <v>72</v>
      </c>
      <c r="I338" s="33" t="s">
        <v>198</v>
      </c>
      <c r="J338" s="34">
        <v>8946</v>
      </c>
      <c r="K338" s="34"/>
      <c r="L338" s="34">
        <v>8946</v>
      </c>
    </row>
    <row r="339" spans="2:12" x14ac:dyDescent="0.3">
      <c r="B339" s="25">
        <v>338</v>
      </c>
      <c r="C339" s="33">
        <v>1301</v>
      </c>
      <c r="D339" s="33" t="s">
        <v>277</v>
      </c>
      <c r="E339" s="35">
        <v>44287</v>
      </c>
      <c r="F339" s="33">
        <v>2</v>
      </c>
      <c r="G339" s="33" t="s">
        <v>124</v>
      </c>
      <c r="H339" s="33" t="s">
        <v>71</v>
      </c>
      <c r="I339" s="33" t="s">
        <v>197</v>
      </c>
      <c r="J339" s="34">
        <v>1909.68</v>
      </c>
      <c r="K339" s="34"/>
      <c r="L339" s="34">
        <v>1909.68</v>
      </c>
    </row>
    <row r="340" spans="2:12" x14ac:dyDescent="0.3">
      <c r="B340" s="25">
        <v>339</v>
      </c>
      <c r="C340" s="33">
        <v>1327</v>
      </c>
      <c r="D340" s="33" t="s">
        <v>363</v>
      </c>
      <c r="E340" s="35">
        <v>44292</v>
      </c>
      <c r="F340" s="33">
        <v>2</v>
      </c>
      <c r="G340" s="33" t="s">
        <v>124</v>
      </c>
      <c r="H340" s="33" t="s">
        <v>71</v>
      </c>
      <c r="I340" s="33" t="s">
        <v>197</v>
      </c>
      <c r="J340" s="34">
        <v>834.59</v>
      </c>
      <c r="K340" s="34">
        <v>80</v>
      </c>
      <c r="L340" s="34">
        <v>754.59</v>
      </c>
    </row>
    <row r="341" spans="2:12" x14ac:dyDescent="0.3">
      <c r="B341" s="25">
        <v>340</v>
      </c>
      <c r="C341" s="33">
        <v>1379</v>
      </c>
      <c r="D341" s="33" t="s">
        <v>503</v>
      </c>
      <c r="E341" s="35">
        <v>44295</v>
      </c>
      <c r="F341" s="33">
        <v>2</v>
      </c>
      <c r="G341" s="33" t="s">
        <v>232</v>
      </c>
      <c r="H341" s="33" t="s">
        <v>71</v>
      </c>
      <c r="I341" s="33" t="s">
        <v>75</v>
      </c>
      <c r="J341" s="34">
        <v>698.68</v>
      </c>
      <c r="K341" s="34">
        <v>80</v>
      </c>
      <c r="L341" s="34">
        <v>618.67999999999995</v>
      </c>
    </row>
    <row r="342" spans="2:12" x14ac:dyDescent="0.3">
      <c r="B342" s="25">
        <v>341</v>
      </c>
      <c r="C342" s="33">
        <v>1385</v>
      </c>
      <c r="D342" s="33" t="s">
        <v>438</v>
      </c>
      <c r="E342" s="35">
        <v>44295</v>
      </c>
      <c r="F342" s="33">
        <v>2</v>
      </c>
      <c r="G342" s="33" t="s">
        <v>122</v>
      </c>
      <c r="H342" s="33" t="s">
        <v>71</v>
      </c>
      <c r="I342" s="33" t="s">
        <v>196</v>
      </c>
      <c r="J342" s="34">
        <v>694.62</v>
      </c>
      <c r="K342" s="34">
        <v>80</v>
      </c>
      <c r="L342" s="34">
        <v>614.62</v>
      </c>
    </row>
    <row r="343" spans="2:12" x14ac:dyDescent="0.3">
      <c r="B343" s="25">
        <v>342</v>
      </c>
      <c r="C343" s="33">
        <v>1407</v>
      </c>
      <c r="D343" s="33" t="s">
        <v>429</v>
      </c>
      <c r="E343" s="35">
        <v>44299</v>
      </c>
      <c r="F343" s="33">
        <v>2</v>
      </c>
      <c r="G343" s="33" t="s">
        <v>232</v>
      </c>
      <c r="H343" s="33" t="s">
        <v>71</v>
      </c>
      <c r="I343" s="33" t="s">
        <v>75</v>
      </c>
      <c r="J343" s="34">
        <v>449.19</v>
      </c>
      <c r="K343" s="34">
        <v>80</v>
      </c>
      <c r="L343" s="34">
        <v>369.19</v>
      </c>
    </row>
    <row r="344" spans="2:12" x14ac:dyDescent="0.3">
      <c r="B344" s="25">
        <v>343</v>
      </c>
      <c r="C344" s="33" t="s">
        <v>504</v>
      </c>
      <c r="D344" s="33" t="s">
        <v>423</v>
      </c>
      <c r="E344" s="35">
        <v>44299</v>
      </c>
      <c r="F344" s="33">
        <v>2</v>
      </c>
      <c r="G344" s="33" t="s">
        <v>231</v>
      </c>
      <c r="H344" s="33" t="s">
        <v>71</v>
      </c>
      <c r="I344" s="33" t="s">
        <v>198</v>
      </c>
      <c r="J344" s="34">
        <v>586.71</v>
      </c>
      <c r="K344" s="34">
        <v>100</v>
      </c>
      <c r="L344" s="34">
        <v>486.71</v>
      </c>
    </row>
    <row r="345" spans="2:12" x14ac:dyDescent="0.3">
      <c r="B345" s="25">
        <v>344</v>
      </c>
      <c r="C345" s="33">
        <v>1421</v>
      </c>
      <c r="D345" s="33" t="s">
        <v>505</v>
      </c>
      <c r="E345" s="35">
        <v>44300</v>
      </c>
      <c r="F345" s="33">
        <v>2</v>
      </c>
      <c r="G345" s="33" t="s">
        <v>232</v>
      </c>
      <c r="H345" s="33" t="s">
        <v>71</v>
      </c>
      <c r="I345" s="33" t="s">
        <v>75</v>
      </c>
      <c r="J345" s="34">
        <v>772.56</v>
      </c>
      <c r="K345" s="34">
        <v>80</v>
      </c>
      <c r="L345" s="34">
        <v>692.56</v>
      </c>
    </row>
    <row r="346" spans="2:12" x14ac:dyDescent="0.3">
      <c r="B346" s="25">
        <v>345</v>
      </c>
      <c r="C346" s="33">
        <v>1424</v>
      </c>
      <c r="D346" s="33" t="s">
        <v>285</v>
      </c>
      <c r="E346" s="35">
        <v>44300</v>
      </c>
      <c r="F346" s="33">
        <v>2</v>
      </c>
      <c r="G346" s="33" t="s">
        <v>124</v>
      </c>
      <c r="H346" s="33" t="s">
        <v>71</v>
      </c>
      <c r="I346" s="33" t="s">
        <v>197</v>
      </c>
      <c r="J346" s="34">
        <v>116.15</v>
      </c>
      <c r="K346" s="34"/>
      <c r="L346" s="34">
        <v>116.15</v>
      </c>
    </row>
    <row r="347" spans="2:12" x14ac:dyDescent="0.3">
      <c r="B347" s="25">
        <v>346</v>
      </c>
      <c r="C347" s="33">
        <v>1474</v>
      </c>
      <c r="D347" s="33" t="s">
        <v>372</v>
      </c>
      <c r="E347" s="35">
        <v>44301</v>
      </c>
      <c r="F347" s="33">
        <v>2</v>
      </c>
      <c r="G347" s="33" t="s">
        <v>124</v>
      </c>
      <c r="H347" s="33" t="s">
        <v>71</v>
      </c>
      <c r="I347" s="33" t="s">
        <v>197</v>
      </c>
      <c r="J347" s="34">
        <v>1717.85</v>
      </c>
      <c r="K347" s="34"/>
      <c r="L347" s="34">
        <v>1717.85</v>
      </c>
    </row>
    <row r="348" spans="2:12" x14ac:dyDescent="0.3">
      <c r="B348" s="25">
        <v>347</v>
      </c>
      <c r="C348" s="33">
        <v>1541</v>
      </c>
      <c r="D348" s="33" t="s">
        <v>286</v>
      </c>
      <c r="E348" s="35">
        <v>44305</v>
      </c>
      <c r="F348" s="33">
        <v>2</v>
      </c>
      <c r="G348" s="33" t="s">
        <v>124</v>
      </c>
      <c r="H348" s="33" t="s">
        <v>71</v>
      </c>
      <c r="I348" s="33" t="s">
        <v>197</v>
      </c>
      <c r="J348" s="34">
        <v>593</v>
      </c>
      <c r="K348" s="34">
        <v>80</v>
      </c>
      <c r="L348" s="34">
        <v>513</v>
      </c>
    </row>
    <row r="349" spans="2:12" x14ac:dyDescent="0.3">
      <c r="B349" s="25">
        <v>348</v>
      </c>
      <c r="C349" s="33">
        <v>1543</v>
      </c>
      <c r="D349" s="33" t="s">
        <v>277</v>
      </c>
      <c r="E349" s="35">
        <v>44305</v>
      </c>
      <c r="F349" s="33">
        <v>2</v>
      </c>
      <c r="G349" s="33" t="s">
        <v>124</v>
      </c>
      <c r="H349" s="33" t="s">
        <v>71</v>
      </c>
      <c r="I349" s="33" t="s">
        <v>197</v>
      </c>
      <c r="J349" s="34">
        <v>1444.11</v>
      </c>
      <c r="K349" s="34"/>
      <c r="L349" s="34">
        <v>1444.11</v>
      </c>
    </row>
    <row r="350" spans="2:12" x14ac:dyDescent="0.3">
      <c r="B350" s="25">
        <v>349</v>
      </c>
      <c r="C350" s="33">
        <v>1578</v>
      </c>
      <c r="D350" s="33" t="s">
        <v>430</v>
      </c>
      <c r="E350" s="35">
        <v>44308</v>
      </c>
      <c r="F350" s="33">
        <v>2</v>
      </c>
      <c r="G350" s="33" t="s">
        <v>231</v>
      </c>
      <c r="H350" s="33" t="s">
        <v>71</v>
      </c>
      <c r="I350" s="33" t="s">
        <v>198</v>
      </c>
      <c r="J350" s="34">
        <v>757.16</v>
      </c>
      <c r="K350" s="34">
        <v>80</v>
      </c>
      <c r="L350" s="34">
        <v>677.16</v>
      </c>
    </row>
    <row r="351" spans="2:12" x14ac:dyDescent="0.3">
      <c r="B351" s="25">
        <v>350</v>
      </c>
      <c r="C351" s="33">
        <v>1675</v>
      </c>
      <c r="D351" s="33" t="s">
        <v>407</v>
      </c>
      <c r="E351" s="35">
        <v>44312</v>
      </c>
      <c r="F351" s="33">
        <v>2</v>
      </c>
      <c r="G351" s="33" t="s">
        <v>231</v>
      </c>
      <c r="H351" s="33" t="s">
        <v>71</v>
      </c>
      <c r="I351" s="33" t="s">
        <v>198</v>
      </c>
      <c r="J351" s="34">
        <v>750.3</v>
      </c>
      <c r="K351" s="34">
        <v>80</v>
      </c>
      <c r="L351" s="34">
        <v>670.3</v>
      </c>
    </row>
    <row r="352" spans="2:12" x14ac:dyDescent="0.3">
      <c r="B352" s="25">
        <v>351</v>
      </c>
      <c r="C352" s="33">
        <v>1717</v>
      </c>
      <c r="D352" s="33" t="s">
        <v>391</v>
      </c>
      <c r="E352" s="35">
        <v>44314</v>
      </c>
      <c r="F352" s="33">
        <v>2</v>
      </c>
      <c r="G352" s="33" t="s">
        <v>122</v>
      </c>
      <c r="H352" s="33" t="s">
        <v>71</v>
      </c>
      <c r="I352" s="33" t="s">
        <v>196</v>
      </c>
      <c r="J352" s="34">
        <v>705.24</v>
      </c>
      <c r="K352" s="34">
        <v>80</v>
      </c>
      <c r="L352" s="34">
        <v>625.24</v>
      </c>
    </row>
    <row r="353" spans="2:12" x14ac:dyDescent="0.3">
      <c r="B353" s="25">
        <v>352</v>
      </c>
      <c r="C353" s="33">
        <v>1734</v>
      </c>
      <c r="D353" s="33" t="s">
        <v>471</v>
      </c>
      <c r="E353" s="35">
        <v>44315</v>
      </c>
      <c r="F353" s="33">
        <v>2</v>
      </c>
      <c r="G353" s="33" t="s">
        <v>122</v>
      </c>
      <c r="H353" s="33" t="s">
        <v>71</v>
      </c>
      <c r="I353" s="33" t="s">
        <v>196</v>
      </c>
      <c r="J353" s="34">
        <v>866.97</v>
      </c>
      <c r="K353" s="34"/>
      <c r="L353" s="34">
        <v>866.97</v>
      </c>
    </row>
    <row r="354" spans="2:12" x14ac:dyDescent="0.3">
      <c r="B354" s="25">
        <v>353</v>
      </c>
      <c r="C354" s="33">
        <v>1152</v>
      </c>
      <c r="D354" s="33" t="s">
        <v>277</v>
      </c>
      <c r="E354" s="35">
        <v>44288</v>
      </c>
      <c r="F354" s="33">
        <v>2</v>
      </c>
      <c r="G354" s="33" t="s">
        <v>124</v>
      </c>
      <c r="H354" s="33" t="s">
        <v>71</v>
      </c>
      <c r="I354" s="33" t="s">
        <v>197</v>
      </c>
      <c r="J354" s="34">
        <v>813.59</v>
      </c>
      <c r="K354" s="34">
        <v>80</v>
      </c>
      <c r="L354" s="34">
        <v>733.59</v>
      </c>
    </row>
    <row r="355" spans="2:12" x14ac:dyDescent="0.3">
      <c r="B355" s="25">
        <v>354</v>
      </c>
      <c r="C355" s="33">
        <v>31130</v>
      </c>
      <c r="D355" s="33" t="s">
        <v>371</v>
      </c>
      <c r="E355" s="35">
        <v>44328</v>
      </c>
      <c r="F355" s="33">
        <v>2</v>
      </c>
      <c r="G355" s="33" t="s">
        <v>124</v>
      </c>
      <c r="H355" s="33" t="s">
        <v>72</v>
      </c>
      <c r="I355" s="33" t="s">
        <v>197</v>
      </c>
      <c r="J355" s="34">
        <v>2480.1</v>
      </c>
      <c r="K355" s="34"/>
      <c r="L355" s="34">
        <v>2480.1</v>
      </c>
    </row>
    <row r="356" spans="2:12" x14ac:dyDescent="0.3">
      <c r="B356" s="25">
        <v>356</v>
      </c>
      <c r="C356" s="33" t="s">
        <v>506</v>
      </c>
      <c r="D356" s="33" t="s">
        <v>477</v>
      </c>
      <c r="E356" s="35">
        <v>44316</v>
      </c>
      <c r="F356" s="33">
        <v>2</v>
      </c>
      <c r="G356" s="33" t="s">
        <v>231</v>
      </c>
      <c r="H356" s="33" t="s">
        <v>70</v>
      </c>
      <c r="I356" s="33" t="s">
        <v>198</v>
      </c>
      <c r="J356" s="34">
        <v>2826</v>
      </c>
      <c r="K356" s="34">
        <v>90</v>
      </c>
      <c r="L356" s="34">
        <v>2736</v>
      </c>
    </row>
    <row r="357" spans="2:12" x14ac:dyDescent="0.3">
      <c r="B357" s="25">
        <v>357</v>
      </c>
      <c r="C357" s="33" t="s">
        <v>507</v>
      </c>
      <c r="D357" s="33" t="s">
        <v>477</v>
      </c>
      <c r="E357" s="35">
        <v>44316</v>
      </c>
      <c r="F357" s="33">
        <v>2</v>
      </c>
      <c r="G357" s="33" t="s">
        <v>231</v>
      </c>
      <c r="H357" s="33" t="s">
        <v>70</v>
      </c>
      <c r="I357" s="33" t="s">
        <v>198</v>
      </c>
      <c r="J357" s="34">
        <v>3555</v>
      </c>
      <c r="K357" s="34"/>
      <c r="L357" s="34">
        <v>3555</v>
      </c>
    </row>
    <row r="358" spans="2:12" x14ac:dyDescent="0.3">
      <c r="B358" s="25">
        <v>358</v>
      </c>
      <c r="C358" s="33" t="s">
        <v>508</v>
      </c>
      <c r="D358" s="33" t="s">
        <v>348</v>
      </c>
      <c r="E358" s="35">
        <v>44316</v>
      </c>
      <c r="F358" s="33">
        <v>2</v>
      </c>
      <c r="G358" s="33" t="s">
        <v>231</v>
      </c>
      <c r="H358" s="33" t="s">
        <v>70</v>
      </c>
      <c r="I358" s="33" t="s">
        <v>198</v>
      </c>
      <c r="J358" s="34">
        <v>728</v>
      </c>
      <c r="K358" s="34">
        <v>50</v>
      </c>
      <c r="L358" s="34">
        <v>678</v>
      </c>
    </row>
    <row r="359" spans="2:12" x14ac:dyDescent="0.3">
      <c r="B359" s="25">
        <v>359</v>
      </c>
      <c r="C359" s="33">
        <v>31152</v>
      </c>
      <c r="D359" s="33" t="s">
        <v>373</v>
      </c>
      <c r="E359" s="35">
        <v>44335</v>
      </c>
      <c r="F359" s="33">
        <v>2</v>
      </c>
      <c r="G359" s="33" t="s">
        <v>124</v>
      </c>
      <c r="H359" s="33" t="s">
        <v>72</v>
      </c>
      <c r="I359" s="33" t="s">
        <v>197</v>
      </c>
      <c r="J359" s="34">
        <v>625.29999999999995</v>
      </c>
      <c r="K359" s="34">
        <v>100</v>
      </c>
      <c r="L359" s="34">
        <v>525.29999999999995</v>
      </c>
    </row>
    <row r="360" spans="2:12" x14ac:dyDescent="0.3">
      <c r="B360" s="25">
        <v>360</v>
      </c>
      <c r="C360" s="33">
        <v>31153</v>
      </c>
      <c r="D360" s="33" t="s">
        <v>450</v>
      </c>
      <c r="E360" s="35">
        <v>44335</v>
      </c>
      <c r="F360" s="33">
        <v>2</v>
      </c>
      <c r="G360" s="33" t="s">
        <v>122</v>
      </c>
      <c r="H360" s="33" t="s">
        <v>72</v>
      </c>
      <c r="I360" s="33" t="s">
        <v>196</v>
      </c>
      <c r="J360" s="34">
        <v>1345.2</v>
      </c>
      <c r="K360" s="34">
        <v>100</v>
      </c>
      <c r="L360" s="34">
        <v>1245.2</v>
      </c>
    </row>
    <row r="361" spans="2:12" x14ac:dyDescent="0.3">
      <c r="B361" s="25">
        <v>361</v>
      </c>
      <c r="C361" s="33">
        <v>51285</v>
      </c>
      <c r="D361" s="33" t="s">
        <v>443</v>
      </c>
      <c r="E361" s="35">
        <v>44294</v>
      </c>
      <c r="F361" s="33">
        <v>2</v>
      </c>
      <c r="G361" s="33" t="s">
        <v>122</v>
      </c>
      <c r="H361" s="33" t="s">
        <v>73</v>
      </c>
      <c r="I361" s="33" t="s">
        <v>196</v>
      </c>
      <c r="J361" s="34">
        <v>29.58</v>
      </c>
      <c r="K361" s="34">
        <v>25</v>
      </c>
      <c r="L361" s="34">
        <v>4.58</v>
      </c>
    </row>
    <row r="362" spans="2:12" x14ac:dyDescent="0.3">
      <c r="B362" s="25">
        <v>363</v>
      </c>
      <c r="C362" s="33">
        <v>51545</v>
      </c>
      <c r="D362" s="33" t="s">
        <v>400</v>
      </c>
      <c r="E362" s="35">
        <v>44294</v>
      </c>
      <c r="F362" s="33">
        <v>2</v>
      </c>
      <c r="G362" s="33" t="s">
        <v>231</v>
      </c>
      <c r="H362" s="33" t="s">
        <v>69</v>
      </c>
      <c r="I362" s="33" t="s">
        <v>198</v>
      </c>
      <c r="J362" s="34">
        <v>613.03</v>
      </c>
      <c r="K362" s="34"/>
      <c r="L362" s="34">
        <v>613.03</v>
      </c>
    </row>
    <row r="363" spans="2:12" x14ac:dyDescent="0.3">
      <c r="B363" s="25">
        <v>364</v>
      </c>
      <c r="C363" s="33">
        <v>51546</v>
      </c>
      <c r="D363" s="33" t="s">
        <v>405</v>
      </c>
      <c r="E363" s="35">
        <v>44294</v>
      </c>
      <c r="F363" s="33">
        <v>2</v>
      </c>
      <c r="G363" s="33" t="s">
        <v>122</v>
      </c>
      <c r="H363" s="33" t="s">
        <v>69</v>
      </c>
      <c r="I363" s="33" t="s">
        <v>196</v>
      </c>
      <c r="J363" s="34">
        <v>2667</v>
      </c>
      <c r="K363" s="34"/>
      <c r="L363" s="34">
        <v>2667</v>
      </c>
    </row>
    <row r="364" spans="2:12" x14ac:dyDescent="0.3">
      <c r="B364" s="25">
        <v>365</v>
      </c>
      <c r="C364" s="33">
        <v>51548</v>
      </c>
      <c r="D364" s="33" t="s">
        <v>509</v>
      </c>
      <c r="E364" s="35">
        <v>44294</v>
      </c>
      <c r="F364" s="33">
        <v>2</v>
      </c>
      <c r="G364" s="33" t="s">
        <v>122</v>
      </c>
      <c r="H364" s="33" t="s">
        <v>69</v>
      </c>
      <c r="I364" s="33" t="s">
        <v>196</v>
      </c>
      <c r="J364" s="34">
        <v>2154</v>
      </c>
      <c r="K364" s="34"/>
      <c r="L364" s="34">
        <v>2154</v>
      </c>
    </row>
    <row r="365" spans="2:12" x14ac:dyDescent="0.3">
      <c r="B365" s="25">
        <v>366</v>
      </c>
      <c r="C365" s="33">
        <v>51558</v>
      </c>
      <c r="D365" s="33" t="s">
        <v>400</v>
      </c>
      <c r="E365" s="35">
        <v>44295</v>
      </c>
      <c r="F365" s="33">
        <v>2</v>
      </c>
      <c r="G365" s="33" t="s">
        <v>231</v>
      </c>
      <c r="H365" s="33" t="s">
        <v>69</v>
      </c>
      <c r="I365" s="33" t="s">
        <v>198</v>
      </c>
      <c r="J365" s="34">
        <v>99.41</v>
      </c>
      <c r="K365" s="34"/>
      <c r="L365" s="34">
        <v>99.41</v>
      </c>
    </row>
    <row r="366" spans="2:12" x14ac:dyDescent="0.3">
      <c r="B366" s="25">
        <v>367</v>
      </c>
      <c r="C366" s="33">
        <v>51559</v>
      </c>
      <c r="D366" s="33" t="s">
        <v>400</v>
      </c>
      <c r="E366" s="35">
        <v>44295</v>
      </c>
      <c r="F366" s="33">
        <v>2</v>
      </c>
      <c r="G366" s="33" t="s">
        <v>231</v>
      </c>
      <c r="H366" s="33" t="s">
        <v>69</v>
      </c>
      <c r="I366" s="33" t="s">
        <v>75</v>
      </c>
      <c r="J366" s="34">
        <v>797.31</v>
      </c>
      <c r="K366" s="34"/>
      <c r="L366" s="34">
        <v>797.31</v>
      </c>
    </row>
    <row r="367" spans="2:12" x14ac:dyDescent="0.3">
      <c r="B367" s="25">
        <v>368</v>
      </c>
      <c r="C367" s="33">
        <v>51560</v>
      </c>
      <c r="D367" s="33" t="s">
        <v>409</v>
      </c>
      <c r="E367" s="35">
        <v>44295</v>
      </c>
      <c r="F367" s="33">
        <v>2</v>
      </c>
      <c r="G367" s="33" t="s">
        <v>231</v>
      </c>
      <c r="H367" s="33" t="s">
        <v>69</v>
      </c>
      <c r="I367" s="33" t="s">
        <v>198</v>
      </c>
      <c r="J367" s="34">
        <v>836</v>
      </c>
      <c r="K367" s="34"/>
      <c r="L367" s="34">
        <v>836</v>
      </c>
    </row>
    <row r="368" spans="2:12" x14ac:dyDescent="0.3">
      <c r="B368" s="25">
        <v>369</v>
      </c>
      <c r="C368" s="33">
        <v>51626</v>
      </c>
      <c r="D368" s="33" t="s">
        <v>369</v>
      </c>
      <c r="E368" s="35">
        <v>44298</v>
      </c>
      <c r="F368" s="33">
        <v>2</v>
      </c>
      <c r="G368" s="33" t="s">
        <v>124</v>
      </c>
      <c r="H368" s="33" t="s">
        <v>69</v>
      </c>
      <c r="I368" s="33" t="s">
        <v>197</v>
      </c>
      <c r="J368" s="34">
        <v>1765.33</v>
      </c>
      <c r="K368" s="34"/>
      <c r="L368" s="34">
        <v>1765.33</v>
      </c>
    </row>
    <row r="369" spans="2:12" x14ac:dyDescent="0.3">
      <c r="B369" s="25">
        <v>370</v>
      </c>
      <c r="C369" s="33">
        <v>51669</v>
      </c>
      <c r="D369" s="33" t="s">
        <v>407</v>
      </c>
      <c r="E369" s="35">
        <v>44301</v>
      </c>
      <c r="F369" s="33">
        <v>2</v>
      </c>
      <c r="G369" s="33" t="s">
        <v>231</v>
      </c>
      <c r="H369" s="33" t="s">
        <v>69</v>
      </c>
      <c r="I369" s="33" t="s">
        <v>198</v>
      </c>
      <c r="J369" s="34">
        <v>102.5</v>
      </c>
      <c r="K369" s="34"/>
      <c r="L369" s="34">
        <v>102.5</v>
      </c>
    </row>
    <row r="370" spans="2:12" x14ac:dyDescent="0.3">
      <c r="B370" s="25">
        <v>371</v>
      </c>
      <c r="C370" s="33">
        <v>51670</v>
      </c>
      <c r="D370" s="33" t="s">
        <v>281</v>
      </c>
      <c r="E370" s="35">
        <v>44301</v>
      </c>
      <c r="F370" s="33">
        <v>2</v>
      </c>
      <c r="G370" s="33" t="s">
        <v>124</v>
      </c>
      <c r="H370" s="33" t="s">
        <v>69</v>
      </c>
      <c r="I370" s="33" t="s">
        <v>197</v>
      </c>
      <c r="J370" s="34">
        <v>1979</v>
      </c>
      <c r="K370" s="34"/>
      <c r="L370" s="34">
        <v>1979</v>
      </c>
    </row>
    <row r="371" spans="2:12" x14ac:dyDescent="0.3">
      <c r="B371" s="25">
        <v>372</v>
      </c>
      <c r="C371" s="33">
        <v>51671</v>
      </c>
      <c r="D371" s="33" t="s">
        <v>510</v>
      </c>
      <c r="E371" s="35">
        <v>44301</v>
      </c>
      <c r="F371" s="33">
        <v>2</v>
      </c>
      <c r="G371" s="33" t="s">
        <v>122</v>
      </c>
      <c r="H371" s="33" t="s">
        <v>69</v>
      </c>
      <c r="I371" s="33" t="s">
        <v>196</v>
      </c>
      <c r="J371" s="34">
        <v>8338.43</v>
      </c>
      <c r="K371" s="34"/>
      <c r="L371" s="34">
        <v>8338.43</v>
      </c>
    </row>
    <row r="372" spans="2:12" x14ac:dyDescent="0.3">
      <c r="B372" s="25">
        <v>373</v>
      </c>
      <c r="C372" s="33">
        <v>51827</v>
      </c>
      <c r="D372" s="33" t="s">
        <v>234</v>
      </c>
      <c r="E372" s="35">
        <v>44308</v>
      </c>
      <c r="F372" s="33">
        <v>2</v>
      </c>
      <c r="G372" s="33" t="s">
        <v>122</v>
      </c>
      <c r="H372" s="33" t="s">
        <v>69</v>
      </c>
      <c r="I372" s="33" t="s">
        <v>196</v>
      </c>
      <c r="J372" s="34">
        <v>6650.98</v>
      </c>
      <c r="K372" s="34"/>
      <c r="L372" s="34">
        <v>6650.98</v>
      </c>
    </row>
    <row r="373" spans="2:12" x14ac:dyDescent="0.3">
      <c r="B373" s="25">
        <v>374</v>
      </c>
      <c r="C373" s="33">
        <v>7921</v>
      </c>
      <c r="D373" s="33" t="s">
        <v>402</v>
      </c>
      <c r="E373" s="35">
        <v>44316</v>
      </c>
      <c r="F373" s="33">
        <v>2</v>
      </c>
      <c r="G373" s="33" t="s">
        <v>122</v>
      </c>
      <c r="H373" s="33" t="s">
        <v>69</v>
      </c>
      <c r="I373" s="33" t="s">
        <v>196</v>
      </c>
      <c r="J373" s="34">
        <v>259.20999999999998</v>
      </c>
      <c r="K373" s="34"/>
      <c r="L373" s="34">
        <v>259.20999999999998</v>
      </c>
    </row>
    <row r="374" spans="2:12" x14ac:dyDescent="0.3">
      <c r="B374" s="25">
        <v>375</v>
      </c>
      <c r="C374" s="33">
        <v>51931</v>
      </c>
      <c r="D374" s="33" t="s">
        <v>509</v>
      </c>
      <c r="E374" s="35">
        <v>44316</v>
      </c>
      <c r="F374" s="33">
        <v>2</v>
      </c>
      <c r="G374" s="33" t="s">
        <v>122</v>
      </c>
      <c r="H374" s="33" t="s">
        <v>69</v>
      </c>
      <c r="I374" s="33" t="s">
        <v>196</v>
      </c>
      <c r="J374" s="34">
        <v>3903</v>
      </c>
      <c r="K374" s="34"/>
      <c r="L374" s="34">
        <v>3903</v>
      </c>
    </row>
    <row r="375" spans="2:12" x14ac:dyDescent="0.3">
      <c r="B375" s="25">
        <v>376</v>
      </c>
      <c r="C375" s="33">
        <v>51067</v>
      </c>
      <c r="D375" s="33" t="s">
        <v>511</v>
      </c>
      <c r="E375" s="35">
        <v>44323</v>
      </c>
      <c r="F375" s="33">
        <v>2</v>
      </c>
      <c r="G375" s="33" t="s">
        <v>122</v>
      </c>
      <c r="H375" s="33" t="s">
        <v>69</v>
      </c>
      <c r="I375" s="33" t="s">
        <v>196</v>
      </c>
      <c r="J375" s="34">
        <v>813.6</v>
      </c>
      <c r="K375" s="34"/>
      <c r="L375" s="34">
        <v>813.6</v>
      </c>
    </row>
    <row r="376" spans="2:12" x14ac:dyDescent="0.3">
      <c r="B376" s="25">
        <v>377</v>
      </c>
      <c r="C376" s="33">
        <v>51635</v>
      </c>
      <c r="D376" s="33" t="s">
        <v>275</v>
      </c>
      <c r="E376" s="35">
        <v>44298</v>
      </c>
      <c r="F376" s="33">
        <v>2</v>
      </c>
      <c r="G376" s="33" t="s">
        <v>124</v>
      </c>
      <c r="H376" s="33" t="s">
        <v>69</v>
      </c>
      <c r="I376" s="33" t="s">
        <v>197</v>
      </c>
      <c r="J376" s="34">
        <v>928.39</v>
      </c>
      <c r="K376" s="34"/>
      <c r="L376" s="34">
        <v>928.39</v>
      </c>
    </row>
    <row r="377" spans="2:12" x14ac:dyDescent="0.3">
      <c r="B377" s="25">
        <v>378</v>
      </c>
      <c r="C377" s="33">
        <v>51677</v>
      </c>
      <c r="D377" s="33" t="s">
        <v>400</v>
      </c>
      <c r="E377" s="35">
        <v>44301</v>
      </c>
      <c r="F377" s="33">
        <v>2</v>
      </c>
      <c r="G377" s="33" t="s">
        <v>231</v>
      </c>
      <c r="H377" s="33" t="s">
        <v>69</v>
      </c>
      <c r="I377" s="33" t="s">
        <v>198</v>
      </c>
      <c r="J377" s="34">
        <v>90.21</v>
      </c>
      <c r="K377" s="34"/>
      <c r="L377" s="34">
        <v>90.21</v>
      </c>
    </row>
    <row r="378" spans="2:12" x14ac:dyDescent="0.3">
      <c r="B378" s="25">
        <v>379</v>
      </c>
      <c r="C378" s="33">
        <v>51678</v>
      </c>
      <c r="D378" s="33" t="s">
        <v>400</v>
      </c>
      <c r="E378" s="35">
        <v>44301</v>
      </c>
      <c r="F378" s="33">
        <v>2</v>
      </c>
      <c r="G378" s="33" t="s">
        <v>231</v>
      </c>
      <c r="H378" s="33" t="s">
        <v>69</v>
      </c>
      <c r="I378" s="33" t="s">
        <v>198</v>
      </c>
      <c r="J378" s="34">
        <v>42.68</v>
      </c>
      <c r="K378" s="34"/>
      <c r="L378" s="34">
        <v>42.68</v>
      </c>
    </row>
    <row r="379" spans="2:12" x14ac:dyDescent="0.3">
      <c r="B379" s="25">
        <v>380</v>
      </c>
      <c r="C379" s="33">
        <v>51782</v>
      </c>
      <c r="D379" s="33" t="s">
        <v>441</v>
      </c>
      <c r="E379" s="35">
        <v>44305</v>
      </c>
      <c r="F379" s="33">
        <v>2</v>
      </c>
      <c r="G379" s="33" t="s">
        <v>122</v>
      </c>
      <c r="H379" s="33" t="s">
        <v>69</v>
      </c>
      <c r="I379" s="33" t="s">
        <v>196</v>
      </c>
      <c r="J379" s="34">
        <v>9154.93</v>
      </c>
      <c r="K379" s="34"/>
      <c r="L379" s="34">
        <v>9154.93</v>
      </c>
    </row>
    <row r="380" spans="2:12" x14ac:dyDescent="0.3">
      <c r="B380" s="25">
        <v>381</v>
      </c>
      <c r="C380" s="33">
        <v>6920</v>
      </c>
      <c r="D380" s="33" t="s">
        <v>403</v>
      </c>
      <c r="E380" s="35">
        <v>44306</v>
      </c>
      <c r="F380" s="33">
        <v>2</v>
      </c>
      <c r="G380" s="33" t="s">
        <v>122</v>
      </c>
      <c r="H380" s="33" t="s">
        <v>69</v>
      </c>
      <c r="I380" s="33" t="s">
        <v>196</v>
      </c>
      <c r="J380" s="34">
        <v>3967.5</v>
      </c>
      <c r="K380" s="34"/>
      <c r="L380" s="34">
        <v>3967.5</v>
      </c>
    </row>
    <row r="381" spans="2:12" x14ac:dyDescent="0.3">
      <c r="B381" s="25">
        <v>382</v>
      </c>
      <c r="C381" s="33">
        <v>51813</v>
      </c>
      <c r="D381" s="33" t="s">
        <v>484</v>
      </c>
      <c r="E381" s="35">
        <v>44308</v>
      </c>
      <c r="F381" s="33">
        <v>2</v>
      </c>
      <c r="G381" s="33" t="s">
        <v>122</v>
      </c>
      <c r="H381" s="33" t="s">
        <v>69</v>
      </c>
      <c r="I381" s="33" t="s">
        <v>196</v>
      </c>
      <c r="J381" s="34">
        <v>133.5</v>
      </c>
      <c r="K381" s="34"/>
      <c r="L381" s="34">
        <v>133.5</v>
      </c>
    </row>
    <row r="382" spans="2:12" x14ac:dyDescent="0.3">
      <c r="B382" s="25">
        <v>383</v>
      </c>
      <c r="C382" s="33">
        <v>51189</v>
      </c>
      <c r="D382" s="33" t="s">
        <v>404</v>
      </c>
      <c r="E382" s="35">
        <v>44308</v>
      </c>
      <c r="F382" s="33">
        <v>2</v>
      </c>
      <c r="G382" s="33" t="s">
        <v>122</v>
      </c>
      <c r="H382" s="33" t="s">
        <v>69</v>
      </c>
      <c r="I382" s="33" t="s">
        <v>196</v>
      </c>
      <c r="J382" s="34">
        <v>3139</v>
      </c>
      <c r="K382" s="34"/>
      <c r="L382" s="34">
        <v>3139</v>
      </c>
    </row>
    <row r="383" spans="2:12" x14ac:dyDescent="0.3">
      <c r="B383" s="25">
        <v>384</v>
      </c>
      <c r="C383" s="33">
        <v>51824</v>
      </c>
      <c r="D383" s="33" t="s">
        <v>512</v>
      </c>
      <c r="E383" s="35">
        <v>44308</v>
      </c>
      <c r="F383" s="33">
        <v>2</v>
      </c>
      <c r="G383" s="33" t="s">
        <v>122</v>
      </c>
      <c r="H383" s="33" t="s">
        <v>69</v>
      </c>
      <c r="I383" s="33" t="s">
        <v>196</v>
      </c>
      <c r="J383" s="34">
        <v>1468.35</v>
      </c>
      <c r="K383" s="34"/>
      <c r="L383" s="34">
        <v>1468.35</v>
      </c>
    </row>
    <row r="384" spans="2:12" x14ac:dyDescent="0.3">
      <c r="B384" s="25">
        <v>385</v>
      </c>
      <c r="C384" s="33">
        <v>51839</v>
      </c>
      <c r="D384" s="33" t="s">
        <v>400</v>
      </c>
      <c r="E384" s="35">
        <v>44309</v>
      </c>
      <c r="F384" s="33">
        <v>2</v>
      </c>
      <c r="G384" s="33" t="s">
        <v>231</v>
      </c>
      <c r="H384" s="33" t="s">
        <v>69</v>
      </c>
      <c r="I384" s="33" t="s">
        <v>198</v>
      </c>
      <c r="J384" s="34">
        <v>332.22</v>
      </c>
      <c r="K384" s="34"/>
      <c r="L384" s="34">
        <v>332.22</v>
      </c>
    </row>
    <row r="385" spans="2:12" x14ac:dyDescent="0.3">
      <c r="B385" s="25">
        <v>386</v>
      </c>
      <c r="C385" s="33">
        <v>51840</v>
      </c>
      <c r="D385" s="33" t="s">
        <v>400</v>
      </c>
      <c r="E385" s="35">
        <v>44309</v>
      </c>
      <c r="F385" s="33">
        <v>2</v>
      </c>
      <c r="G385" s="33" t="s">
        <v>231</v>
      </c>
      <c r="H385" s="33" t="s">
        <v>69</v>
      </c>
      <c r="I385" s="33" t="s">
        <v>198</v>
      </c>
      <c r="J385" s="34">
        <v>552.88</v>
      </c>
      <c r="K385" s="34"/>
      <c r="L385" s="34">
        <v>552.88</v>
      </c>
    </row>
    <row r="386" spans="2:12" x14ac:dyDescent="0.3">
      <c r="B386" s="25">
        <v>387</v>
      </c>
      <c r="C386" s="33">
        <v>51841</v>
      </c>
      <c r="D386" s="33" t="s">
        <v>400</v>
      </c>
      <c r="E386" s="35">
        <v>44309</v>
      </c>
      <c r="F386" s="33">
        <v>2</v>
      </c>
      <c r="G386" s="33" t="s">
        <v>231</v>
      </c>
      <c r="H386" s="33" t="s">
        <v>69</v>
      </c>
      <c r="I386" s="33" t="s">
        <v>198</v>
      </c>
      <c r="J386" s="34">
        <v>2562.1799999999998</v>
      </c>
      <c r="K386" s="34"/>
      <c r="L386" s="34">
        <v>2562.1799999999998</v>
      </c>
    </row>
    <row r="387" spans="2:12" x14ac:dyDescent="0.3">
      <c r="B387" s="25">
        <v>388</v>
      </c>
      <c r="C387" s="33">
        <v>51842</v>
      </c>
      <c r="D387" s="33" t="s">
        <v>400</v>
      </c>
      <c r="E387" s="35">
        <v>44309</v>
      </c>
      <c r="F387" s="33">
        <v>2</v>
      </c>
      <c r="G387" s="33" t="s">
        <v>231</v>
      </c>
      <c r="H387" s="33" t="s">
        <v>69</v>
      </c>
      <c r="I387" s="33" t="s">
        <v>198</v>
      </c>
      <c r="J387" s="34">
        <v>661.05</v>
      </c>
      <c r="K387" s="34"/>
      <c r="L387" s="34">
        <v>661.05</v>
      </c>
    </row>
    <row r="388" spans="2:12" x14ac:dyDescent="0.3">
      <c r="B388" s="25">
        <v>389</v>
      </c>
      <c r="C388" s="33">
        <v>51929</v>
      </c>
      <c r="D388" s="33" t="s">
        <v>401</v>
      </c>
      <c r="E388" s="35">
        <v>44316</v>
      </c>
      <c r="F388" s="33">
        <v>2</v>
      </c>
      <c r="G388" s="33" t="s">
        <v>231</v>
      </c>
      <c r="H388" s="33" t="s">
        <v>69</v>
      </c>
      <c r="I388" s="33" t="s">
        <v>198</v>
      </c>
      <c r="J388" s="34">
        <v>1725.5</v>
      </c>
      <c r="K388" s="34"/>
      <c r="L388" s="34">
        <v>1725.5</v>
      </c>
    </row>
    <row r="389" spans="2:12" x14ac:dyDescent="0.3">
      <c r="B389" s="25">
        <v>390</v>
      </c>
      <c r="C389" s="33">
        <v>51942</v>
      </c>
      <c r="D389" s="33" t="s">
        <v>412</v>
      </c>
      <c r="E389" s="35">
        <v>44316</v>
      </c>
      <c r="F389" s="33">
        <v>2</v>
      </c>
      <c r="G389" s="33" t="s">
        <v>231</v>
      </c>
      <c r="H389" s="33" t="s">
        <v>69</v>
      </c>
      <c r="I389" s="33" t="s">
        <v>198</v>
      </c>
      <c r="J389" s="34">
        <v>1285.1400000000001</v>
      </c>
      <c r="K389" s="34"/>
      <c r="L389" s="34">
        <v>1285.1400000000001</v>
      </c>
    </row>
    <row r="390" spans="2:12" x14ac:dyDescent="0.3">
      <c r="B390" s="25">
        <v>391</v>
      </c>
      <c r="C390" s="33">
        <v>51985</v>
      </c>
      <c r="D390" s="33" t="s">
        <v>400</v>
      </c>
      <c r="E390" s="35">
        <v>44316</v>
      </c>
      <c r="F390" s="33">
        <v>2</v>
      </c>
      <c r="G390" s="33" t="s">
        <v>231</v>
      </c>
      <c r="H390" s="33" t="s">
        <v>69</v>
      </c>
      <c r="I390" s="33" t="s">
        <v>198</v>
      </c>
      <c r="J390" s="34">
        <v>4358.17</v>
      </c>
      <c r="K390" s="34"/>
      <c r="L390" s="34">
        <v>4358.17</v>
      </c>
    </row>
    <row r="391" spans="2:12" x14ac:dyDescent="0.3">
      <c r="B391" s="25">
        <v>392</v>
      </c>
      <c r="C391" s="33">
        <v>51986</v>
      </c>
      <c r="D391" s="33" t="s">
        <v>400</v>
      </c>
      <c r="E391" s="35">
        <v>44316</v>
      </c>
      <c r="F391" s="33">
        <v>2</v>
      </c>
      <c r="G391" s="33" t="s">
        <v>231</v>
      </c>
      <c r="H391" s="33" t="s">
        <v>69</v>
      </c>
      <c r="I391" s="33" t="s">
        <v>198</v>
      </c>
      <c r="J391" s="34">
        <v>3171.37</v>
      </c>
      <c r="K391" s="34"/>
      <c r="L391" s="34">
        <v>3171.37</v>
      </c>
    </row>
    <row r="392" spans="2:12" x14ac:dyDescent="0.3">
      <c r="B392" s="25">
        <v>393</v>
      </c>
      <c r="C392" s="33">
        <v>51987</v>
      </c>
      <c r="D392" s="33" t="s">
        <v>400</v>
      </c>
      <c r="E392" s="35">
        <v>44316</v>
      </c>
      <c r="F392" s="33">
        <v>2</v>
      </c>
      <c r="G392" s="33" t="s">
        <v>231</v>
      </c>
      <c r="H392" s="33" t="s">
        <v>69</v>
      </c>
      <c r="I392" s="33" t="s">
        <v>198</v>
      </c>
      <c r="J392" s="34">
        <v>597.49</v>
      </c>
      <c r="K392" s="34"/>
      <c r="L392" s="34">
        <v>597.49</v>
      </c>
    </row>
    <row r="393" spans="2:12" x14ac:dyDescent="0.3">
      <c r="B393" s="25">
        <v>394</v>
      </c>
      <c r="C393" s="33">
        <v>51988</v>
      </c>
      <c r="D393" s="33" t="s">
        <v>400</v>
      </c>
      <c r="E393" s="35">
        <v>44316</v>
      </c>
      <c r="F393" s="33">
        <v>2</v>
      </c>
      <c r="G393" s="33" t="s">
        <v>231</v>
      </c>
      <c r="H393" s="33" t="s">
        <v>69</v>
      </c>
      <c r="I393" s="33" t="s">
        <v>198</v>
      </c>
      <c r="J393" s="34">
        <v>147.93</v>
      </c>
      <c r="K393" s="34"/>
      <c r="L393" s="34">
        <v>147.93</v>
      </c>
    </row>
    <row r="394" spans="2:12" x14ac:dyDescent="0.3">
      <c r="B394" s="25">
        <v>395</v>
      </c>
      <c r="C394" s="33">
        <v>51989</v>
      </c>
      <c r="D394" s="33" t="s">
        <v>400</v>
      </c>
      <c r="E394" s="35">
        <v>44316</v>
      </c>
      <c r="F394" s="33">
        <v>2</v>
      </c>
      <c r="G394" s="33" t="s">
        <v>231</v>
      </c>
      <c r="H394" s="33" t="s">
        <v>69</v>
      </c>
      <c r="I394" s="33" t="s">
        <v>198</v>
      </c>
      <c r="J394" s="34">
        <v>561.6</v>
      </c>
      <c r="K394" s="34"/>
      <c r="L394" s="34">
        <v>561.6</v>
      </c>
    </row>
    <row r="395" spans="2:12" x14ac:dyDescent="0.3">
      <c r="B395" s="25">
        <v>396</v>
      </c>
      <c r="C395" s="33">
        <v>51990</v>
      </c>
      <c r="D395" s="33" t="s">
        <v>400</v>
      </c>
      <c r="E395" s="35">
        <v>44316</v>
      </c>
      <c r="F395" s="33">
        <v>2</v>
      </c>
      <c r="G395" s="33" t="s">
        <v>231</v>
      </c>
      <c r="H395" s="33" t="s">
        <v>69</v>
      </c>
      <c r="I395" s="33" t="s">
        <v>198</v>
      </c>
      <c r="J395" s="34">
        <v>123.68</v>
      </c>
      <c r="K395" s="34"/>
      <c r="L395" s="34">
        <v>123.68</v>
      </c>
    </row>
    <row r="396" spans="2:12" x14ac:dyDescent="0.3">
      <c r="B396" s="25">
        <v>397</v>
      </c>
      <c r="C396" s="33">
        <v>52035</v>
      </c>
      <c r="D396" s="33" t="s">
        <v>484</v>
      </c>
      <c r="E396" s="35">
        <v>44323</v>
      </c>
      <c r="F396" s="33">
        <v>2</v>
      </c>
      <c r="G396" s="33" t="s">
        <v>122</v>
      </c>
      <c r="H396" s="33" t="s">
        <v>69</v>
      </c>
      <c r="I396" s="33" t="s">
        <v>196</v>
      </c>
      <c r="J396" s="34">
        <v>3006.5</v>
      </c>
      <c r="K396" s="34"/>
      <c r="L396" s="34">
        <v>3006.5</v>
      </c>
    </row>
    <row r="397" spans="2:12" x14ac:dyDescent="0.3">
      <c r="B397" s="25">
        <v>398</v>
      </c>
      <c r="C397" s="33">
        <v>52042</v>
      </c>
      <c r="D397" s="33" t="s">
        <v>411</v>
      </c>
      <c r="E397" s="35">
        <v>44323</v>
      </c>
      <c r="F397" s="33">
        <v>2</v>
      </c>
      <c r="G397" s="33" t="s">
        <v>122</v>
      </c>
      <c r="H397" s="33" t="s">
        <v>69</v>
      </c>
      <c r="I397" s="33" t="s">
        <v>196</v>
      </c>
      <c r="J397" s="34">
        <v>1621.59</v>
      </c>
      <c r="K397" s="34"/>
      <c r="L397" s="34">
        <v>1621.59</v>
      </c>
    </row>
    <row r="398" spans="2:12" x14ac:dyDescent="0.3">
      <c r="B398" s="25">
        <v>399</v>
      </c>
      <c r="C398" s="33">
        <v>52102</v>
      </c>
      <c r="D398" s="33" t="s">
        <v>400</v>
      </c>
      <c r="E398" s="35">
        <v>44323</v>
      </c>
      <c r="F398" s="33">
        <v>2</v>
      </c>
      <c r="G398" s="33" t="s">
        <v>231</v>
      </c>
      <c r="H398" s="33" t="s">
        <v>69</v>
      </c>
      <c r="I398" s="33" t="s">
        <v>198</v>
      </c>
      <c r="J398" s="34">
        <v>1442.36</v>
      </c>
      <c r="K398" s="34"/>
      <c r="L398" s="34">
        <v>1442.36</v>
      </c>
    </row>
    <row r="399" spans="2:12" x14ac:dyDescent="0.3">
      <c r="B399" s="25">
        <v>400</v>
      </c>
      <c r="C399" s="33">
        <v>52103</v>
      </c>
      <c r="D399" s="33" t="s">
        <v>400</v>
      </c>
      <c r="E399" s="35">
        <v>44323</v>
      </c>
      <c r="F399" s="33">
        <v>2</v>
      </c>
      <c r="G399" s="33" t="s">
        <v>231</v>
      </c>
      <c r="H399" s="33" t="s">
        <v>69</v>
      </c>
      <c r="I399" s="33" t="s">
        <v>198</v>
      </c>
      <c r="J399" s="34">
        <v>1563.63</v>
      </c>
      <c r="K399" s="34"/>
      <c r="L399" s="34">
        <v>1563.63</v>
      </c>
    </row>
    <row r="400" spans="2:12" x14ac:dyDescent="0.3">
      <c r="B400" s="25">
        <v>401</v>
      </c>
      <c r="C400" s="33">
        <v>52104</v>
      </c>
      <c r="D400" s="33" t="s">
        <v>400</v>
      </c>
      <c r="E400" s="35">
        <v>44323</v>
      </c>
      <c r="F400" s="33">
        <v>2</v>
      </c>
      <c r="G400" s="33" t="s">
        <v>231</v>
      </c>
      <c r="H400" s="33" t="s">
        <v>69</v>
      </c>
      <c r="I400" s="33" t="s">
        <v>198</v>
      </c>
      <c r="J400" s="34">
        <v>766</v>
      </c>
      <c r="K400" s="34"/>
      <c r="L400" s="34">
        <v>766</v>
      </c>
    </row>
    <row r="401" spans="2:12" x14ac:dyDescent="0.3">
      <c r="B401" s="25">
        <v>402</v>
      </c>
      <c r="C401" s="33">
        <v>52105</v>
      </c>
      <c r="D401" s="33" t="s">
        <v>400</v>
      </c>
      <c r="E401" s="35">
        <v>44323</v>
      </c>
      <c r="F401" s="33">
        <v>2</v>
      </c>
      <c r="G401" s="33" t="s">
        <v>231</v>
      </c>
      <c r="H401" s="33" t="s">
        <v>69</v>
      </c>
      <c r="I401" s="33" t="s">
        <v>198</v>
      </c>
      <c r="J401" s="34">
        <v>879.2</v>
      </c>
      <c r="K401" s="34"/>
      <c r="L401" s="34">
        <v>879.2</v>
      </c>
    </row>
    <row r="402" spans="2:12" x14ac:dyDescent="0.3">
      <c r="B402" s="25">
        <v>403</v>
      </c>
      <c r="C402" s="33">
        <v>52106</v>
      </c>
      <c r="D402" s="33" t="s">
        <v>400</v>
      </c>
      <c r="E402" s="35">
        <v>44323</v>
      </c>
      <c r="F402" s="33">
        <v>2</v>
      </c>
      <c r="G402" s="33" t="s">
        <v>231</v>
      </c>
      <c r="H402" s="33" t="s">
        <v>69</v>
      </c>
      <c r="I402" s="33" t="s">
        <v>198</v>
      </c>
      <c r="J402" s="34">
        <v>405.6</v>
      </c>
      <c r="K402" s="34"/>
      <c r="L402" s="34">
        <v>405.6</v>
      </c>
    </row>
    <row r="403" spans="2:12" x14ac:dyDescent="0.3">
      <c r="B403" s="25">
        <v>404</v>
      </c>
      <c r="C403" s="33">
        <v>8480</v>
      </c>
      <c r="D403" s="33" t="s">
        <v>410</v>
      </c>
      <c r="E403" s="35">
        <v>44328</v>
      </c>
      <c r="F403" s="33">
        <v>2</v>
      </c>
      <c r="G403" s="33" t="s">
        <v>231</v>
      </c>
      <c r="H403" s="33" t="s">
        <v>69</v>
      </c>
      <c r="I403" s="33" t="s">
        <v>198</v>
      </c>
      <c r="J403" s="34">
        <v>577.01</v>
      </c>
      <c r="K403" s="34"/>
      <c r="L403" s="34">
        <v>577.01</v>
      </c>
    </row>
    <row r="404" spans="2:12" x14ac:dyDescent="0.3">
      <c r="B404" s="25">
        <v>405</v>
      </c>
      <c r="C404" s="33">
        <v>8483</v>
      </c>
      <c r="D404" s="33" t="s">
        <v>403</v>
      </c>
      <c r="E404" s="35">
        <v>44328</v>
      </c>
      <c r="F404" s="33">
        <v>2</v>
      </c>
      <c r="G404" s="33" t="s">
        <v>122</v>
      </c>
      <c r="H404" s="33" t="s">
        <v>69</v>
      </c>
      <c r="I404" s="33" t="s">
        <v>196</v>
      </c>
      <c r="J404" s="34">
        <v>322.5</v>
      </c>
      <c r="K404" s="34"/>
      <c r="L404" s="34">
        <v>322.5</v>
      </c>
    </row>
    <row r="405" spans="2:12" x14ac:dyDescent="0.3">
      <c r="B405" s="25">
        <v>406</v>
      </c>
      <c r="C405" s="33">
        <v>52156</v>
      </c>
      <c r="D405" s="33" t="s">
        <v>483</v>
      </c>
      <c r="E405" s="35">
        <v>44329</v>
      </c>
      <c r="F405" s="33">
        <v>2</v>
      </c>
      <c r="G405" s="33" t="s">
        <v>122</v>
      </c>
      <c r="H405" s="33" t="s">
        <v>69</v>
      </c>
      <c r="I405" s="33" t="s">
        <v>196</v>
      </c>
      <c r="J405" s="34">
        <v>111.5</v>
      </c>
      <c r="K405" s="34"/>
      <c r="L405" s="34">
        <v>111.5</v>
      </c>
    </row>
    <row r="406" spans="2:12" x14ac:dyDescent="0.3">
      <c r="B406" s="25">
        <v>407</v>
      </c>
      <c r="C406" s="33">
        <v>52157</v>
      </c>
      <c r="D406" s="33" t="s">
        <v>413</v>
      </c>
      <c r="E406" s="35">
        <v>44329</v>
      </c>
      <c r="F406" s="33">
        <v>2</v>
      </c>
      <c r="G406" s="33" t="s">
        <v>122</v>
      </c>
      <c r="H406" s="33" t="s">
        <v>69</v>
      </c>
      <c r="I406" s="33" t="s">
        <v>196</v>
      </c>
      <c r="J406" s="34">
        <v>663</v>
      </c>
      <c r="K406" s="34"/>
      <c r="L406" s="34">
        <v>663</v>
      </c>
    </row>
    <row r="407" spans="2:12" x14ac:dyDescent="0.3">
      <c r="B407" s="25">
        <v>408</v>
      </c>
      <c r="C407" s="33">
        <v>52158</v>
      </c>
      <c r="D407" s="33" t="s">
        <v>374</v>
      </c>
      <c r="E407" s="35">
        <v>44329</v>
      </c>
      <c r="F407" s="33">
        <v>2</v>
      </c>
      <c r="G407" s="33" t="s">
        <v>124</v>
      </c>
      <c r="H407" s="33" t="s">
        <v>69</v>
      </c>
      <c r="I407" s="33" t="s">
        <v>197</v>
      </c>
      <c r="J407" s="34">
        <v>1064.4000000000001</v>
      </c>
      <c r="K407" s="34"/>
      <c r="L407" s="34">
        <v>1064.4000000000001</v>
      </c>
    </row>
    <row r="408" spans="2:12" x14ac:dyDescent="0.3">
      <c r="B408" s="25">
        <v>409</v>
      </c>
      <c r="C408" s="33">
        <v>52193</v>
      </c>
      <c r="D408" s="33" t="s">
        <v>400</v>
      </c>
      <c r="E408" s="35">
        <v>44330</v>
      </c>
      <c r="F408" s="33">
        <v>2</v>
      </c>
      <c r="G408" s="33" t="s">
        <v>231</v>
      </c>
      <c r="H408" s="33" t="s">
        <v>69</v>
      </c>
      <c r="I408" s="33" t="s">
        <v>198</v>
      </c>
      <c r="J408" s="34">
        <v>1040.32</v>
      </c>
      <c r="K408" s="34"/>
      <c r="L408" s="34">
        <v>1040.32</v>
      </c>
    </row>
    <row r="409" spans="2:12" x14ac:dyDescent="0.3">
      <c r="B409" s="25">
        <v>410</v>
      </c>
      <c r="C409" s="33">
        <v>52194</v>
      </c>
      <c r="D409" s="33" t="s">
        <v>400</v>
      </c>
      <c r="E409" s="35">
        <v>44330</v>
      </c>
      <c r="F409" s="33">
        <v>2</v>
      </c>
      <c r="G409" s="33" t="s">
        <v>231</v>
      </c>
      <c r="H409" s="33" t="s">
        <v>69</v>
      </c>
      <c r="I409" s="33" t="s">
        <v>198</v>
      </c>
      <c r="J409" s="34">
        <v>389.45</v>
      </c>
      <c r="K409" s="34"/>
      <c r="L409" s="34">
        <v>389.45</v>
      </c>
    </row>
    <row r="410" spans="2:12" x14ac:dyDescent="0.3">
      <c r="B410" s="25">
        <v>411</v>
      </c>
      <c r="C410" s="33">
        <v>52197</v>
      </c>
      <c r="D410" s="33" t="s">
        <v>416</v>
      </c>
      <c r="E410" s="35">
        <v>44330</v>
      </c>
      <c r="F410" s="33">
        <v>2</v>
      </c>
      <c r="G410" s="33" t="s">
        <v>231</v>
      </c>
      <c r="H410" s="33" t="s">
        <v>69</v>
      </c>
      <c r="I410" s="33" t="s">
        <v>198</v>
      </c>
      <c r="J410" s="34">
        <v>1444.86</v>
      </c>
      <c r="K410" s="34"/>
      <c r="L410" s="34">
        <v>1444.86</v>
      </c>
    </row>
    <row r="411" spans="2:12" x14ac:dyDescent="0.3">
      <c r="B411" s="25">
        <v>412</v>
      </c>
      <c r="C411" s="33">
        <v>52199</v>
      </c>
      <c r="D411" s="33" t="s">
        <v>401</v>
      </c>
      <c r="E411" s="35">
        <v>44330</v>
      </c>
      <c r="F411" s="33">
        <v>2</v>
      </c>
      <c r="G411" s="33" t="s">
        <v>231</v>
      </c>
      <c r="H411" s="33" t="s">
        <v>69</v>
      </c>
      <c r="I411" s="33" t="s">
        <v>198</v>
      </c>
      <c r="J411" s="34">
        <v>620.5</v>
      </c>
      <c r="K411" s="34"/>
      <c r="L411" s="34">
        <v>620.5</v>
      </c>
    </row>
    <row r="412" spans="2:12" x14ac:dyDescent="0.3">
      <c r="B412" s="25">
        <v>413</v>
      </c>
      <c r="C412" s="33">
        <v>52364</v>
      </c>
      <c r="D412" s="33" t="s">
        <v>275</v>
      </c>
      <c r="E412" s="35">
        <v>44337</v>
      </c>
      <c r="F412" s="33">
        <v>2</v>
      </c>
      <c r="G412" s="33" t="s">
        <v>124</v>
      </c>
      <c r="H412" s="33" t="s">
        <v>69</v>
      </c>
      <c r="I412" s="33" t="s">
        <v>197</v>
      </c>
      <c r="J412" s="34">
        <v>20.5</v>
      </c>
      <c r="K412" s="34"/>
      <c r="L412" s="34">
        <v>20.5</v>
      </c>
    </row>
    <row r="413" spans="2:12" x14ac:dyDescent="0.3">
      <c r="B413" s="25">
        <v>414</v>
      </c>
      <c r="C413" s="33">
        <v>31209</v>
      </c>
      <c r="D413" s="33" t="s">
        <v>513</v>
      </c>
      <c r="E413" s="35">
        <v>44343</v>
      </c>
      <c r="F413" s="33">
        <v>2</v>
      </c>
      <c r="G413" s="33" t="s">
        <v>122</v>
      </c>
      <c r="H413" s="33" t="s">
        <v>72</v>
      </c>
      <c r="I413" s="33" t="s">
        <v>196</v>
      </c>
      <c r="J413" s="34">
        <v>2577</v>
      </c>
      <c r="K413" s="34"/>
      <c r="L413" s="34">
        <v>2577</v>
      </c>
    </row>
    <row r="414" spans="2:12" x14ac:dyDescent="0.3">
      <c r="B414" s="25">
        <v>415</v>
      </c>
      <c r="C414" s="33">
        <v>31249</v>
      </c>
      <c r="D414" s="33" t="s">
        <v>394</v>
      </c>
      <c r="E414" s="35">
        <v>44347</v>
      </c>
      <c r="F414" s="33">
        <v>2</v>
      </c>
      <c r="G414" s="33" t="s">
        <v>122</v>
      </c>
      <c r="H414" s="33" t="s">
        <v>72</v>
      </c>
      <c r="I414" s="33" t="s">
        <v>196</v>
      </c>
      <c r="J414" s="34">
        <v>4018.5</v>
      </c>
      <c r="K414" s="34"/>
      <c r="L414" s="34">
        <v>4018.5</v>
      </c>
    </row>
    <row r="415" spans="2:12" x14ac:dyDescent="0.3">
      <c r="B415" s="25">
        <v>416</v>
      </c>
      <c r="C415" s="33">
        <v>31253</v>
      </c>
      <c r="D415" s="33" t="s">
        <v>461</v>
      </c>
      <c r="E415" s="35">
        <v>44347</v>
      </c>
      <c r="F415" s="33">
        <v>2</v>
      </c>
      <c r="G415" s="33" t="s">
        <v>122</v>
      </c>
      <c r="H415" s="33" t="s">
        <v>72</v>
      </c>
      <c r="I415" s="33" t="s">
        <v>196</v>
      </c>
      <c r="J415" s="34">
        <v>3978.2</v>
      </c>
      <c r="K415" s="34"/>
      <c r="L415" s="34">
        <v>3978.2</v>
      </c>
    </row>
    <row r="416" spans="2:12" x14ac:dyDescent="0.3">
      <c r="B416" s="25">
        <v>417</v>
      </c>
      <c r="C416" s="33">
        <v>31281</v>
      </c>
      <c r="D416" s="33" t="s">
        <v>394</v>
      </c>
      <c r="E416" s="35">
        <v>44347</v>
      </c>
      <c r="F416" s="33">
        <v>2</v>
      </c>
      <c r="G416" s="33" t="s">
        <v>122</v>
      </c>
      <c r="H416" s="33" t="s">
        <v>72</v>
      </c>
      <c r="I416" s="33" t="s">
        <v>196</v>
      </c>
      <c r="J416" s="34">
        <v>1125</v>
      </c>
      <c r="K416" s="34"/>
      <c r="L416" s="34">
        <v>1125</v>
      </c>
    </row>
    <row r="417" spans="2:12" x14ac:dyDescent="0.3">
      <c r="B417" s="25">
        <v>418</v>
      </c>
      <c r="C417" s="33">
        <v>1814</v>
      </c>
      <c r="D417" s="33" t="s">
        <v>375</v>
      </c>
      <c r="E417" s="35">
        <v>44321</v>
      </c>
      <c r="F417" s="33">
        <v>2</v>
      </c>
      <c r="G417" s="33" t="s">
        <v>124</v>
      </c>
      <c r="H417" s="33" t="s">
        <v>71</v>
      </c>
      <c r="I417" s="33" t="s">
        <v>197</v>
      </c>
      <c r="J417" s="34">
        <v>1262.01</v>
      </c>
      <c r="K417" s="34"/>
      <c r="L417" s="34">
        <v>1262.01</v>
      </c>
    </row>
    <row r="418" spans="2:12" x14ac:dyDescent="0.3">
      <c r="B418" s="25">
        <v>419</v>
      </c>
      <c r="C418" s="33" t="s">
        <v>514</v>
      </c>
      <c r="D418" s="33" t="s">
        <v>515</v>
      </c>
      <c r="E418" s="35">
        <v>44335</v>
      </c>
      <c r="F418" s="33">
        <v>2</v>
      </c>
      <c r="G418" s="33" t="s">
        <v>122</v>
      </c>
      <c r="H418" s="33" t="s">
        <v>69</v>
      </c>
      <c r="I418" s="33" t="s">
        <v>196</v>
      </c>
      <c r="J418" s="34">
        <v>5157.75</v>
      </c>
      <c r="K418" s="34"/>
      <c r="L418" s="34">
        <v>5157.75</v>
      </c>
    </row>
    <row r="419" spans="2:12" x14ac:dyDescent="0.3">
      <c r="B419" s="25">
        <v>420</v>
      </c>
      <c r="C419" s="33">
        <v>1778</v>
      </c>
      <c r="D419" s="33" t="s">
        <v>516</v>
      </c>
      <c r="E419" s="35">
        <v>44319</v>
      </c>
      <c r="F419" s="33">
        <v>2</v>
      </c>
      <c r="G419" s="33" t="s">
        <v>232</v>
      </c>
      <c r="H419" s="33" t="s">
        <v>71</v>
      </c>
      <c r="I419" s="33" t="s">
        <v>75</v>
      </c>
      <c r="J419" s="34">
        <v>545.29999999999995</v>
      </c>
      <c r="K419" s="34">
        <v>80</v>
      </c>
      <c r="L419" s="34">
        <v>465.3</v>
      </c>
    </row>
    <row r="420" spans="2:12" x14ac:dyDescent="0.3">
      <c r="B420" s="25">
        <v>421</v>
      </c>
      <c r="C420" s="33" t="s">
        <v>326</v>
      </c>
      <c r="D420" s="33" t="s">
        <v>517</v>
      </c>
      <c r="E420" s="35">
        <v>44347</v>
      </c>
      <c r="F420" s="33">
        <v>2</v>
      </c>
      <c r="G420" s="33" t="s">
        <v>122</v>
      </c>
      <c r="H420" s="33" t="s">
        <v>70</v>
      </c>
      <c r="I420" s="33" t="s">
        <v>196</v>
      </c>
      <c r="J420" s="34">
        <v>4044.15</v>
      </c>
      <c r="K420" s="34"/>
      <c r="L420" s="34">
        <v>4044.15</v>
      </c>
    </row>
    <row r="421" spans="2:12" x14ac:dyDescent="0.3">
      <c r="B421" s="25">
        <v>422</v>
      </c>
      <c r="C421" s="33">
        <v>1848</v>
      </c>
      <c r="D421" s="33" t="s">
        <v>518</v>
      </c>
      <c r="E421" s="35">
        <v>44323</v>
      </c>
      <c r="F421" s="33">
        <v>2</v>
      </c>
      <c r="G421" s="33" t="s">
        <v>231</v>
      </c>
      <c r="H421" s="33" t="s">
        <v>71</v>
      </c>
      <c r="I421" s="33" t="s">
        <v>198</v>
      </c>
      <c r="J421" s="34">
        <v>1739.07</v>
      </c>
      <c r="K421" s="34"/>
      <c r="L421" s="34">
        <v>1739.07</v>
      </c>
    </row>
    <row r="422" spans="2:12" x14ac:dyDescent="0.3">
      <c r="B422" s="25">
        <v>423</v>
      </c>
      <c r="C422" s="33">
        <v>1822</v>
      </c>
      <c r="D422" s="33" t="s">
        <v>363</v>
      </c>
      <c r="E422" s="35">
        <v>44322</v>
      </c>
      <c r="F422" s="33">
        <v>2</v>
      </c>
      <c r="G422" s="33" t="s">
        <v>124</v>
      </c>
      <c r="H422" s="33" t="s">
        <v>71</v>
      </c>
      <c r="I422" s="33" t="s">
        <v>197</v>
      </c>
      <c r="J422" s="34">
        <v>268.17</v>
      </c>
      <c r="K422" s="34">
        <v>80</v>
      </c>
      <c r="L422" s="34">
        <v>188.17</v>
      </c>
    </row>
    <row r="423" spans="2:12" x14ac:dyDescent="0.3">
      <c r="B423" s="25">
        <v>424</v>
      </c>
      <c r="C423" s="33">
        <v>1858</v>
      </c>
      <c r="D423" s="33" t="s">
        <v>430</v>
      </c>
      <c r="E423" s="35">
        <v>44326</v>
      </c>
      <c r="F423" s="33">
        <v>2</v>
      </c>
      <c r="G423" s="33" t="s">
        <v>231</v>
      </c>
      <c r="H423" s="33" t="s">
        <v>71</v>
      </c>
      <c r="I423" s="33" t="s">
        <v>198</v>
      </c>
      <c r="J423" s="34">
        <v>578.47</v>
      </c>
      <c r="K423" s="34">
        <v>80</v>
      </c>
      <c r="L423" s="34">
        <v>498.47</v>
      </c>
    </row>
    <row r="424" spans="2:12" x14ac:dyDescent="0.3">
      <c r="B424" s="25">
        <v>425</v>
      </c>
      <c r="C424" s="33">
        <v>1884</v>
      </c>
      <c r="D424" s="33" t="s">
        <v>430</v>
      </c>
      <c r="E424" s="35">
        <v>44328</v>
      </c>
      <c r="F424" s="33">
        <v>2</v>
      </c>
      <c r="G424" s="33" t="s">
        <v>231</v>
      </c>
      <c r="H424" s="33" t="s">
        <v>71</v>
      </c>
      <c r="I424" s="33" t="s">
        <v>198</v>
      </c>
      <c r="J424" s="34">
        <v>1083.46</v>
      </c>
      <c r="K424" s="34"/>
      <c r="L424" s="34">
        <v>1083.46</v>
      </c>
    </row>
    <row r="425" spans="2:12" x14ac:dyDescent="0.3">
      <c r="B425" s="25">
        <v>426</v>
      </c>
      <c r="C425" s="33">
        <v>1894</v>
      </c>
      <c r="D425" s="33" t="s">
        <v>519</v>
      </c>
      <c r="E425" s="35">
        <v>44328</v>
      </c>
      <c r="F425" s="33">
        <v>2</v>
      </c>
      <c r="G425" s="33" t="s">
        <v>232</v>
      </c>
      <c r="H425" s="33" t="s">
        <v>71</v>
      </c>
      <c r="I425" s="33" t="s">
        <v>75</v>
      </c>
      <c r="J425" s="34">
        <v>926.28</v>
      </c>
      <c r="K425" s="34"/>
      <c r="L425" s="34">
        <v>926.28</v>
      </c>
    </row>
    <row r="426" spans="2:12" x14ac:dyDescent="0.3">
      <c r="B426" s="25">
        <v>427</v>
      </c>
      <c r="C426" s="33">
        <v>1986</v>
      </c>
      <c r="D426" s="33" t="s">
        <v>426</v>
      </c>
      <c r="E426" s="35">
        <v>44330</v>
      </c>
      <c r="F426" s="33">
        <v>2</v>
      </c>
      <c r="G426" s="33" t="s">
        <v>232</v>
      </c>
      <c r="H426" s="33" t="s">
        <v>71</v>
      </c>
      <c r="I426" s="33" t="s">
        <v>75</v>
      </c>
      <c r="J426" s="34">
        <v>1557</v>
      </c>
      <c r="K426" s="34"/>
      <c r="L426" s="34">
        <v>1557</v>
      </c>
    </row>
    <row r="427" spans="2:12" x14ac:dyDescent="0.3">
      <c r="B427" s="25">
        <v>428</v>
      </c>
      <c r="C427" s="33">
        <v>2003</v>
      </c>
      <c r="D427" s="33" t="s">
        <v>415</v>
      </c>
      <c r="E427" s="35">
        <v>44333</v>
      </c>
      <c r="F427" s="33">
        <v>2</v>
      </c>
      <c r="G427" s="33" t="s">
        <v>122</v>
      </c>
      <c r="H427" s="33" t="s">
        <v>71</v>
      </c>
      <c r="I427" s="33" t="s">
        <v>196</v>
      </c>
      <c r="J427" s="34">
        <v>644.29999999999995</v>
      </c>
      <c r="K427" s="34">
        <v>80</v>
      </c>
      <c r="L427" s="34">
        <v>564.29999999999995</v>
      </c>
    </row>
    <row r="428" spans="2:12" x14ac:dyDescent="0.3">
      <c r="B428" s="25">
        <v>429</v>
      </c>
      <c r="C428" s="33">
        <v>2005</v>
      </c>
      <c r="D428" s="33" t="s">
        <v>363</v>
      </c>
      <c r="E428" s="35">
        <v>44334</v>
      </c>
      <c r="F428" s="33">
        <v>2</v>
      </c>
      <c r="G428" s="33" t="s">
        <v>124</v>
      </c>
      <c r="H428" s="33" t="s">
        <v>71</v>
      </c>
      <c r="I428" s="33" t="s">
        <v>197</v>
      </c>
      <c r="J428" s="34">
        <v>2097.75</v>
      </c>
      <c r="K428" s="34"/>
      <c r="L428" s="34">
        <v>2097.75</v>
      </c>
    </row>
    <row r="429" spans="2:12" x14ac:dyDescent="0.3">
      <c r="B429" s="25">
        <v>430</v>
      </c>
      <c r="C429" s="33">
        <v>2013</v>
      </c>
      <c r="D429" s="33" t="s">
        <v>376</v>
      </c>
      <c r="E429" s="35">
        <v>44334</v>
      </c>
      <c r="F429" s="33">
        <v>2</v>
      </c>
      <c r="G429" s="33" t="s">
        <v>124</v>
      </c>
      <c r="H429" s="33" t="s">
        <v>71</v>
      </c>
      <c r="I429" s="33" t="s">
        <v>197</v>
      </c>
      <c r="J429" s="34">
        <v>3526.88</v>
      </c>
      <c r="K429" s="34"/>
      <c r="L429" s="34">
        <v>3526.88</v>
      </c>
    </row>
    <row r="430" spans="2:12" x14ac:dyDescent="0.3">
      <c r="B430" s="25">
        <v>431</v>
      </c>
      <c r="C430" s="33">
        <v>2016</v>
      </c>
      <c r="D430" s="33" t="s">
        <v>377</v>
      </c>
      <c r="E430" s="35">
        <v>44334</v>
      </c>
      <c r="F430" s="33">
        <v>2</v>
      </c>
      <c r="G430" s="33" t="s">
        <v>124</v>
      </c>
      <c r="H430" s="33" t="s">
        <v>71</v>
      </c>
      <c r="I430" s="33" t="s">
        <v>197</v>
      </c>
      <c r="J430" s="34">
        <v>691.33</v>
      </c>
      <c r="K430" s="34">
        <v>80</v>
      </c>
      <c r="L430" s="34">
        <v>611.33000000000004</v>
      </c>
    </row>
    <row r="431" spans="2:12" x14ac:dyDescent="0.3">
      <c r="B431" s="25">
        <v>432</v>
      </c>
      <c r="C431" s="33">
        <v>2117</v>
      </c>
      <c r="D431" s="33" t="s">
        <v>275</v>
      </c>
      <c r="E431" s="35">
        <v>44336</v>
      </c>
      <c r="F431" s="33">
        <v>2</v>
      </c>
      <c r="G431" s="33" t="s">
        <v>124</v>
      </c>
      <c r="H431" s="33" t="s">
        <v>71</v>
      </c>
      <c r="I431" s="33" t="s">
        <v>197</v>
      </c>
      <c r="J431" s="34">
        <v>962.04</v>
      </c>
      <c r="K431" s="34">
        <v>25</v>
      </c>
      <c r="L431" s="34">
        <v>937.04</v>
      </c>
    </row>
    <row r="432" spans="2:12" x14ac:dyDescent="0.3">
      <c r="B432" s="25">
        <v>433</v>
      </c>
      <c r="C432" s="33">
        <v>2123</v>
      </c>
      <c r="D432" s="33" t="s">
        <v>277</v>
      </c>
      <c r="E432" s="35">
        <v>44337</v>
      </c>
      <c r="F432" s="33">
        <v>2</v>
      </c>
      <c r="G432" s="33" t="s">
        <v>124</v>
      </c>
      <c r="H432" s="33" t="s">
        <v>71</v>
      </c>
      <c r="I432" s="33" t="s">
        <v>197</v>
      </c>
      <c r="J432" s="34">
        <v>879.18</v>
      </c>
      <c r="K432" s="34"/>
      <c r="L432" s="34">
        <v>879.18</v>
      </c>
    </row>
    <row r="433" spans="2:12" x14ac:dyDescent="0.3">
      <c r="B433" s="25">
        <v>434</v>
      </c>
      <c r="C433" s="33">
        <v>2214</v>
      </c>
      <c r="D433" s="33" t="s">
        <v>392</v>
      </c>
      <c r="E433" s="35">
        <v>44343</v>
      </c>
      <c r="F433" s="33">
        <v>2</v>
      </c>
      <c r="G433" s="33" t="s">
        <v>122</v>
      </c>
      <c r="H433" s="33" t="s">
        <v>71</v>
      </c>
      <c r="I433" s="33" t="s">
        <v>196</v>
      </c>
      <c r="J433" s="34">
        <v>667.81</v>
      </c>
      <c r="K433" s="34">
        <v>80</v>
      </c>
      <c r="L433" s="34">
        <v>587.80999999999995</v>
      </c>
    </row>
    <row r="434" spans="2:12" x14ac:dyDescent="0.3">
      <c r="B434" s="25">
        <v>435</v>
      </c>
      <c r="C434" s="33">
        <v>2231</v>
      </c>
      <c r="D434" s="33" t="s">
        <v>412</v>
      </c>
      <c r="E434" s="35">
        <v>44344</v>
      </c>
      <c r="F434" s="33">
        <v>2</v>
      </c>
      <c r="G434" s="33" t="s">
        <v>231</v>
      </c>
      <c r="H434" s="33" t="s">
        <v>71</v>
      </c>
      <c r="I434" s="33" t="s">
        <v>198</v>
      </c>
      <c r="J434" s="34">
        <v>285.64</v>
      </c>
      <c r="K434" s="34">
        <v>35</v>
      </c>
      <c r="L434" s="34">
        <v>250.64</v>
      </c>
    </row>
    <row r="435" spans="2:12" x14ac:dyDescent="0.3">
      <c r="B435" s="25">
        <v>436</v>
      </c>
      <c r="C435" s="33">
        <v>2289</v>
      </c>
      <c r="D435" s="33" t="s">
        <v>430</v>
      </c>
      <c r="E435" s="35">
        <v>44347</v>
      </c>
      <c r="F435" s="33">
        <v>2</v>
      </c>
      <c r="G435" s="33" t="s">
        <v>231</v>
      </c>
      <c r="H435" s="33" t="s">
        <v>71</v>
      </c>
      <c r="I435" s="33" t="s">
        <v>198</v>
      </c>
      <c r="J435" s="34">
        <v>525.79999999999995</v>
      </c>
      <c r="K435" s="34">
        <v>80</v>
      </c>
      <c r="L435" s="34">
        <v>445.8</v>
      </c>
    </row>
    <row r="436" spans="2:12" x14ac:dyDescent="0.3">
      <c r="B436" s="25">
        <v>437</v>
      </c>
      <c r="C436" s="33">
        <v>2434</v>
      </c>
      <c r="D436" s="33" t="s">
        <v>361</v>
      </c>
      <c r="E436" s="35">
        <v>44321</v>
      </c>
      <c r="F436" s="33">
        <v>2</v>
      </c>
      <c r="G436" s="33" t="s">
        <v>231</v>
      </c>
      <c r="H436" s="33" t="s">
        <v>71</v>
      </c>
      <c r="I436" s="33" t="s">
        <v>198</v>
      </c>
      <c r="J436" s="34">
        <v>999.46</v>
      </c>
      <c r="K436" s="34">
        <v>80</v>
      </c>
      <c r="L436" s="34">
        <v>919.46</v>
      </c>
    </row>
    <row r="437" spans="2:12" x14ac:dyDescent="0.3">
      <c r="B437" s="25">
        <v>438</v>
      </c>
      <c r="C437" s="33">
        <v>1854</v>
      </c>
      <c r="D437" s="33" t="s">
        <v>520</v>
      </c>
      <c r="E437" s="35">
        <v>44326</v>
      </c>
      <c r="F437" s="33">
        <v>2</v>
      </c>
      <c r="G437" s="33" t="s">
        <v>122</v>
      </c>
      <c r="H437" s="33" t="s">
        <v>71</v>
      </c>
      <c r="I437" s="33" t="s">
        <v>196</v>
      </c>
      <c r="J437" s="34">
        <v>1161.52</v>
      </c>
      <c r="K437" s="34"/>
      <c r="L437" s="34">
        <v>1161.52</v>
      </c>
    </row>
    <row r="438" spans="2:12" x14ac:dyDescent="0.3">
      <c r="B438" s="25">
        <v>439</v>
      </c>
      <c r="C438" s="33">
        <v>2121</v>
      </c>
      <c r="D438" s="33" t="s">
        <v>521</v>
      </c>
      <c r="E438" s="35">
        <v>44337</v>
      </c>
      <c r="F438" s="33">
        <v>2</v>
      </c>
      <c r="G438" s="33" t="s">
        <v>122</v>
      </c>
      <c r="H438" s="33" t="s">
        <v>71</v>
      </c>
      <c r="I438" s="33" t="s">
        <v>196</v>
      </c>
      <c r="J438" s="34">
        <v>835.46</v>
      </c>
      <c r="K438" s="34">
        <v>80</v>
      </c>
      <c r="L438" s="34">
        <v>755.46</v>
      </c>
    </row>
    <row r="439" spans="2:12" x14ac:dyDescent="0.3">
      <c r="B439" s="25">
        <v>440</v>
      </c>
      <c r="C439" s="33">
        <v>2092</v>
      </c>
      <c r="D439" s="33" t="s">
        <v>378</v>
      </c>
      <c r="E439" s="35">
        <v>44336</v>
      </c>
      <c r="F439" s="33">
        <v>2</v>
      </c>
      <c r="G439" s="33" t="s">
        <v>122</v>
      </c>
      <c r="H439" s="33" t="s">
        <v>71</v>
      </c>
      <c r="I439" s="33" t="s">
        <v>196</v>
      </c>
      <c r="J439" s="34">
        <v>680.12</v>
      </c>
      <c r="K439" s="34">
        <v>80</v>
      </c>
      <c r="L439" s="34">
        <v>600.12</v>
      </c>
    </row>
    <row r="440" spans="2:12" x14ac:dyDescent="0.3">
      <c r="B440" s="25">
        <v>441</v>
      </c>
      <c r="C440" s="33" t="s">
        <v>379</v>
      </c>
      <c r="D440" s="33" t="s">
        <v>378</v>
      </c>
      <c r="E440" s="35">
        <v>44335</v>
      </c>
      <c r="F440" s="33">
        <v>2</v>
      </c>
      <c r="G440" s="33" t="s">
        <v>124</v>
      </c>
      <c r="H440" s="33" t="s">
        <v>71</v>
      </c>
      <c r="I440" s="33" t="s">
        <v>197</v>
      </c>
      <c r="J440" s="34">
        <v>975.12</v>
      </c>
      <c r="K440" s="34">
        <v>80</v>
      </c>
      <c r="L440" s="34">
        <v>895.12</v>
      </c>
    </row>
    <row r="441" spans="2:12" x14ac:dyDescent="0.3">
      <c r="B441" s="25">
        <v>442</v>
      </c>
      <c r="C441" s="33">
        <v>13935</v>
      </c>
      <c r="D441" s="33" t="s">
        <v>522</v>
      </c>
      <c r="E441" s="35">
        <v>44347</v>
      </c>
      <c r="F441" s="33">
        <v>2</v>
      </c>
      <c r="G441" s="33" t="s">
        <v>122</v>
      </c>
      <c r="H441" s="33" t="s">
        <v>73</v>
      </c>
      <c r="I441" s="33" t="s">
        <v>196</v>
      </c>
      <c r="J441" s="34">
        <v>1370.66</v>
      </c>
      <c r="K441" s="34"/>
      <c r="L441" s="34">
        <v>1370.66</v>
      </c>
    </row>
    <row r="442" spans="2:12" x14ac:dyDescent="0.3">
      <c r="B442" s="25">
        <v>443</v>
      </c>
      <c r="C442" s="33" t="s">
        <v>335</v>
      </c>
      <c r="D442" s="33" t="s">
        <v>523</v>
      </c>
      <c r="E442" s="35">
        <v>44316</v>
      </c>
      <c r="F442" s="33">
        <v>2</v>
      </c>
      <c r="G442" s="33" t="s">
        <v>122</v>
      </c>
      <c r="H442" s="33" t="s">
        <v>70</v>
      </c>
      <c r="I442" s="33" t="s">
        <v>196</v>
      </c>
      <c r="J442" s="34">
        <v>1717.3</v>
      </c>
      <c r="K442" s="34">
        <v>70</v>
      </c>
      <c r="L442" s="34">
        <v>1647.3</v>
      </c>
    </row>
    <row r="443" spans="2:12" x14ac:dyDescent="0.3">
      <c r="B443" s="25">
        <v>444</v>
      </c>
      <c r="C443" s="33">
        <v>31294</v>
      </c>
      <c r="D443" s="33" t="s">
        <v>500</v>
      </c>
      <c r="E443" s="35">
        <v>44355</v>
      </c>
      <c r="F443" s="33">
        <v>2</v>
      </c>
      <c r="G443" s="33" t="s">
        <v>122</v>
      </c>
      <c r="H443" s="33" t="s">
        <v>72</v>
      </c>
      <c r="I443" s="33" t="s">
        <v>196</v>
      </c>
      <c r="J443" s="34">
        <v>1978</v>
      </c>
      <c r="K443" s="34"/>
      <c r="L443" s="34">
        <v>1978</v>
      </c>
    </row>
    <row r="444" spans="2:12" x14ac:dyDescent="0.3">
      <c r="B444" s="25">
        <v>445</v>
      </c>
      <c r="C444" s="33">
        <v>31298</v>
      </c>
      <c r="D444" s="33" t="s">
        <v>394</v>
      </c>
      <c r="E444" s="35">
        <v>44356</v>
      </c>
      <c r="F444" s="33">
        <v>2</v>
      </c>
      <c r="G444" s="33" t="s">
        <v>122</v>
      </c>
      <c r="H444" s="33" t="s">
        <v>72</v>
      </c>
      <c r="I444" s="33" t="s">
        <v>196</v>
      </c>
      <c r="J444" s="34">
        <v>5749</v>
      </c>
      <c r="K444" s="34"/>
      <c r="L444" s="34">
        <v>5749</v>
      </c>
    </row>
    <row r="445" spans="2:12" x14ac:dyDescent="0.3">
      <c r="B445" s="25">
        <v>446</v>
      </c>
      <c r="C445" s="33">
        <v>31312</v>
      </c>
      <c r="D445" s="33" t="s">
        <v>513</v>
      </c>
      <c r="E445" s="35">
        <v>44358</v>
      </c>
      <c r="F445" s="33">
        <v>2</v>
      </c>
      <c r="G445" s="33" t="s">
        <v>122</v>
      </c>
      <c r="H445" s="33" t="s">
        <v>72</v>
      </c>
      <c r="I445" s="33" t="s">
        <v>196</v>
      </c>
      <c r="J445" s="34">
        <v>2577</v>
      </c>
      <c r="K445" s="34"/>
      <c r="L445" s="34">
        <v>2577</v>
      </c>
    </row>
    <row r="446" spans="2:12" x14ac:dyDescent="0.3">
      <c r="B446" s="25">
        <v>447</v>
      </c>
      <c r="C446" s="33">
        <v>51388</v>
      </c>
      <c r="D446" s="33" t="s">
        <v>400</v>
      </c>
      <c r="E446" s="35">
        <v>44300</v>
      </c>
      <c r="F446" s="33">
        <v>2</v>
      </c>
      <c r="G446" s="33" t="s">
        <v>231</v>
      </c>
      <c r="H446" s="33">
        <v>53</v>
      </c>
      <c r="I446" s="33" t="s">
        <v>198</v>
      </c>
      <c r="J446" s="34">
        <v>1256.1199999999999</v>
      </c>
      <c r="K446" s="34"/>
      <c r="L446" s="34">
        <v>1256.1199999999999</v>
      </c>
    </row>
    <row r="447" spans="2:12" x14ac:dyDescent="0.3">
      <c r="B447" s="25">
        <v>448</v>
      </c>
      <c r="C447" s="33">
        <v>51408</v>
      </c>
      <c r="D447" s="33" t="s">
        <v>401</v>
      </c>
      <c r="E447" s="35">
        <v>44301</v>
      </c>
      <c r="F447" s="33">
        <v>2</v>
      </c>
      <c r="G447" s="33" t="s">
        <v>231</v>
      </c>
      <c r="H447" s="33">
        <v>53</v>
      </c>
      <c r="I447" s="33" t="s">
        <v>198</v>
      </c>
      <c r="J447" s="34">
        <v>767.12</v>
      </c>
      <c r="K447" s="34"/>
      <c r="L447" s="34">
        <v>767.12</v>
      </c>
    </row>
    <row r="448" spans="2:12" x14ac:dyDescent="0.3">
      <c r="B448" s="25">
        <v>449</v>
      </c>
      <c r="C448" s="33">
        <v>51412</v>
      </c>
      <c r="D448" s="33" t="s">
        <v>442</v>
      </c>
      <c r="E448" s="35">
        <v>44301</v>
      </c>
      <c r="F448" s="33">
        <v>2</v>
      </c>
      <c r="G448" s="33" t="s">
        <v>122</v>
      </c>
      <c r="H448" s="33" t="s">
        <v>73</v>
      </c>
      <c r="I448" s="33" t="s">
        <v>196</v>
      </c>
      <c r="J448" s="34">
        <v>47.2</v>
      </c>
      <c r="K448" s="34"/>
      <c r="L448" s="34">
        <v>47.2</v>
      </c>
    </row>
    <row r="449" spans="2:12" x14ac:dyDescent="0.3">
      <c r="B449" s="25">
        <v>450</v>
      </c>
      <c r="C449" s="33">
        <v>51414</v>
      </c>
      <c r="D449" s="33" t="s">
        <v>409</v>
      </c>
      <c r="E449" s="35">
        <v>44301</v>
      </c>
      <c r="F449" s="33">
        <v>2</v>
      </c>
      <c r="G449" s="33" t="s">
        <v>231</v>
      </c>
      <c r="H449" s="33">
        <v>53</v>
      </c>
      <c r="I449" s="33" t="s">
        <v>198</v>
      </c>
      <c r="J449" s="34">
        <v>159</v>
      </c>
      <c r="K449" s="34"/>
      <c r="L449" s="34">
        <v>159</v>
      </c>
    </row>
    <row r="450" spans="2:12" x14ac:dyDescent="0.3">
      <c r="B450" s="25">
        <v>451</v>
      </c>
      <c r="C450" s="33">
        <v>51415</v>
      </c>
      <c r="D450" s="33" t="s">
        <v>275</v>
      </c>
      <c r="E450" s="35">
        <v>44301</v>
      </c>
      <c r="F450" s="33">
        <v>2</v>
      </c>
      <c r="G450" s="33" t="s">
        <v>124</v>
      </c>
      <c r="H450" s="33">
        <v>53</v>
      </c>
      <c r="I450" s="33" t="s">
        <v>197</v>
      </c>
      <c r="J450" s="34">
        <v>1717.2</v>
      </c>
      <c r="K450" s="34"/>
      <c r="L450" s="34">
        <v>1717.2</v>
      </c>
    </row>
    <row r="451" spans="2:12" x14ac:dyDescent="0.3">
      <c r="B451" s="25">
        <v>452</v>
      </c>
      <c r="C451" s="33">
        <v>51528</v>
      </c>
      <c r="D451" s="33" t="s">
        <v>400</v>
      </c>
      <c r="E451" s="35">
        <v>44308</v>
      </c>
      <c r="F451" s="33">
        <v>2</v>
      </c>
      <c r="G451" s="33" t="s">
        <v>231</v>
      </c>
      <c r="H451" s="33">
        <v>53</v>
      </c>
      <c r="I451" s="33" t="s">
        <v>198</v>
      </c>
      <c r="J451" s="34">
        <v>1815.17</v>
      </c>
      <c r="K451" s="34"/>
      <c r="L451" s="34">
        <v>1815.17</v>
      </c>
    </row>
    <row r="452" spans="2:12" x14ac:dyDescent="0.3">
      <c r="B452" s="25">
        <v>453</v>
      </c>
      <c r="C452" s="33">
        <v>51529</v>
      </c>
      <c r="D452" s="33" t="s">
        <v>400</v>
      </c>
      <c r="E452" s="35">
        <v>44308</v>
      </c>
      <c r="F452" s="33">
        <v>2</v>
      </c>
      <c r="G452" s="33" t="s">
        <v>231</v>
      </c>
      <c r="H452" s="33">
        <v>53</v>
      </c>
      <c r="I452" s="33" t="s">
        <v>198</v>
      </c>
      <c r="J452" s="34">
        <v>882.44</v>
      </c>
      <c r="K452" s="34"/>
      <c r="L452" s="34">
        <v>882.44</v>
      </c>
    </row>
    <row r="453" spans="2:12" x14ac:dyDescent="0.3">
      <c r="B453" s="25">
        <v>454</v>
      </c>
      <c r="C453" s="33">
        <v>51530</v>
      </c>
      <c r="D453" s="33" t="s">
        <v>400</v>
      </c>
      <c r="E453" s="35">
        <v>44308</v>
      </c>
      <c r="F453" s="33">
        <v>2</v>
      </c>
      <c r="G453" s="33" t="s">
        <v>231</v>
      </c>
      <c r="H453" s="33">
        <v>53</v>
      </c>
      <c r="I453" s="33" t="s">
        <v>198</v>
      </c>
      <c r="J453" s="34">
        <v>41.02</v>
      </c>
      <c r="K453" s="34"/>
      <c r="L453" s="34">
        <v>41.02</v>
      </c>
    </row>
    <row r="454" spans="2:12" x14ac:dyDescent="0.3">
      <c r="B454" s="25">
        <v>455</v>
      </c>
      <c r="C454" s="33">
        <v>51621</v>
      </c>
      <c r="D454" s="33" t="s">
        <v>400</v>
      </c>
      <c r="E454" s="35">
        <v>44315</v>
      </c>
      <c r="F454" s="33">
        <v>2</v>
      </c>
      <c r="G454" s="33" t="s">
        <v>231</v>
      </c>
      <c r="H454" s="33">
        <v>53</v>
      </c>
      <c r="I454" s="33" t="s">
        <v>198</v>
      </c>
      <c r="J454" s="34">
        <v>101.83</v>
      </c>
      <c r="K454" s="34"/>
      <c r="L454" s="34">
        <v>101.83</v>
      </c>
    </row>
    <row r="455" spans="2:12" x14ac:dyDescent="0.3">
      <c r="B455" s="25">
        <v>456</v>
      </c>
      <c r="C455" s="33">
        <v>51668</v>
      </c>
      <c r="D455" s="33" t="s">
        <v>409</v>
      </c>
      <c r="E455" s="35">
        <v>44319</v>
      </c>
      <c r="F455" s="33">
        <v>2</v>
      </c>
      <c r="G455" s="33" t="s">
        <v>231</v>
      </c>
      <c r="H455" s="33">
        <v>53</v>
      </c>
      <c r="I455" s="33" t="s">
        <v>198</v>
      </c>
      <c r="J455" s="34">
        <v>46</v>
      </c>
      <c r="K455" s="34"/>
      <c r="L455" s="34">
        <v>46</v>
      </c>
    </row>
    <row r="456" spans="2:12" x14ac:dyDescent="0.3">
      <c r="B456" s="25">
        <v>457</v>
      </c>
      <c r="C456" s="33">
        <v>51697</v>
      </c>
      <c r="D456" s="33" t="s">
        <v>443</v>
      </c>
      <c r="E456" s="35">
        <v>44322</v>
      </c>
      <c r="F456" s="33">
        <v>2</v>
      </c>
      <c r="G456" s="33" t="s">
        <v>122</v>
      </c>
      <c r="H456" s="33" t="s">
        <v>73</v>
      </c>
      <c r="I456" s="33" t="s">
        <v>196</v>
      </c>
      <c r="J456" s="34">
        <v>976.5</v>
      </c>
      <c r="K456" s="34"/>
      <c r="L456" s="34">
        <v>976.5</v>
      </c>
    </row>
    <row r="457" spans="2:12" x14ac:dyDescent="0.3">
      <c r="B457" s="25">
        <v>458</v>
      </c>
      <c r="C457" s="33">
        <v>51791</v>
      </c>
      <c r="D457" s="33" t="s">
        <v>438</v>
      </c>
      <c r="E457" s="35">
        <v>44329</v>
      </c>
      <c r="F457" s="33">
        <v>2</v>
      </c>
      <c r="G457" s="33" t="s">
        <v>122</v>
      </c>
      <c r="H457" s="33" t="s">
        <v>73</v>
      </c>
      <c r="I457" s="33" t="s">
        <v>196</v>
      </c>
      <c r="J457" s="34">
        <v>703.8</v>
      </c>
      <c r="K457" s="34"/>
      <c r="L457" s="34">
        <v>703.8</v>
      </c>
    </row>
    <row r="458" spans="2:12" x14ac:dyDescent="0.3">
      <c r="B458" s="25">
        <v>459</v>
      </c>
      <c r="C458" s="33">
        <v>12713</v>
      </c>
      <c r="D458" s="33" t="s">
        <v>402</v>
      </c>
      <c r="E458" s="35">
        <v>44335</v>
      </c>
      <c r="F458" s="33">
        <v>2</v>
      </c>
      <c r="G458" s="33" t="s">
        <v>122</v>
      </c>
      <c r="H458" s="33" t="s">
        <v>73</v>
      </c>
      <c r="I458" s="33" t="s">
        <v>196</v>
      </c>
      <c r="J458" s="34">
        <v>891.8</v>
      </c>
      <c r="K458" s="34"/>
      <c r="L458" s="34">
        <v>891.8</v>
      </c>
    </row>
    <row r="459" spans="2:12" x14ac:dyDescent="0.3">
      <c r="B459" s="25">
        <v>460</v>
      </c>
      <c r="C459" s="33">
        <v>51963</v>
      </c>
      <c r="D459" s="33" t="s">
        <v>400</v>
      </c>
      <c r="E459" s="35">
        <v>44340</v>
      </c>
      <c r="F459" s="33">
        <v>2</v>
      </c>
      <c r="G459" s="33" t="s">
        <v>231</v>
      </c>
      <c r="H459" s="33" t="s">
        <v>73</v>
      </c>
      <c r="I459" s="33" t="s">
        <v>198</v>
      </c>
      <c r="J459" s="34">
        <v>850.97</v>
      </c>
      <c r="K459" s="34"/>
      <c r="L459" s="34">
        <v>850.97</v>
      </c>
    </row>
    <row r="460" spans="2:12" x14ac:dyDescent="0.3">
      <c r="B460" s="25">
        <v>461</v>
      </c>
      <c r="C460" s="33">
        <v>51964</v>
      </c>
      <c r="D460" s="33" t="s">
        <v>400</v>
      </c>
      <c r="E460" s="35">
        <v>44340</v>
      </c>
      <c r="F460" s="33">
        <v>2</v>
      </c>
      <c r="G460" s="33" t="s">
        <v>231</v>
      </c>
      <c r="H460" s="33" t="s">
        <v>73</v>
      </c>
      <c r="I460" s="33" t="s">
        <v>198</v>
      </c>
      <c r="J460" s="34">
        <v>28.13</v>
      </c>
      <c r="K460" s="34"/>
      <c r="L460" s="34">
        <v>28.13</v>
      </c>
    </row>
    <row r="461" spans="2:12" x14ac:dyDescent="0.3">
      <c r="B461" s="25">
        <v>462</v>
      </c>
      <c r="C461" s="33">
        <v>51965</v>
      </c>
      <c r="D461" s="33" t="s">
        <v>400</v>
      </c>
      <c r="E461" s="35">
        <v>44340</v>
      </c>
      <c r="F461" s="33">
        <v>2</v>
      </c>
      <c r="G461" s="33" t="s">
        <v>231</v>
      </c>
      <c r="H461" s="33">
        <v>53</v>
      </c>
      <c r="I461" s="33" t="s">
        <v>198</v>
      </c>
      <c r="J461" s="34">
        <v>1328.22</v>
      </c>
      <c r="K461" s="34"/>
      <c r="L461" s="34">
        <v>1328.22</v>
      </c>
    </row>
    <row r="462" spans="2:12" x14ac:dyDescent="0.3">
      <c r="B462" s="25">
        <v>463</v>
      </c>
      <c r="C462" s="33">
        <v>51966</v>
      </c>
      <c r="D462" s="33" t="s">
        <v>400</v>
      </c>
      <c r="E462" s="35">
        <v>44340</v>
      </c>
      <c r="F462" s="33">
        <v>2</v>
      </c>
      <c r="G462" s="33" t="s">
        <v>231</v>
      </c>
      <c r="H462" s="33">
        <v>53</v>
      </c>
      <c r="I462" s="33" t="s">
        <v>198</v>
      </c>
      <c r="J462" s="34">
        <v>476.58</v>
      </c>
      <c r="K462" s="34"/>
      <c r="L462" s="34">
        <v>476.58</v>
      </c>
    </row>
    <row r="463" spans="2:12" x14ac:dyDescent="0.3">
      <c r="B463" s="25">
        <v>464</v>
      </c>
      <c r="C463" s="33">
        <v>51967</v>
      </c>
      <c r="D463" s="33" t="s">
        <v>400</v>
      </c>
      <c r="E463" s="35">
        <v>44340</v>
      </c>
      <c r="F463" s="33">
        <v>2</v>
      </c>
      <c r="G463" s="33" t="s">
        <v>231</v>
      </c>
      <c r="H463" s="33">
        <v>53</v>
      </c>
      <c r="I463" s="33" t="s">
        <v>198</v>
      </c>
      <c r="J463" s="34">
        <v>1121.42</v>
      </c>
      <c r="K463" s="34"/>
      <c r="L463" s="34">
        <v>1121.42</v>
      </c>
    </row>
    <row r="464" spans="2:12" x14ac:dyDescent="0.3">
      <c r="B464" s="25">
        <v>465</v>
      </c>
      <c r="C464" s="33">
        <v>51968</v>
      </c>
      <c r="D464" s="33" t="s">
        <v>400</v>
      </c>
      <c r="E464" s="35">
        <v>44340</v>
      </c>
      <c r="F464" s="33">
        <v>2</v>
      </c>
      <c r="G464" s="33" t="s">
        <v>231</v>
      </c>
      <c r="H464" s="33">
        <v>53</v>
      </c>
      <c r="I464" s="33" t="s">
        <v>198</v>
      </c>
      <c r="J464" s="34">
        <v>591.26</v>
      </c>
      <c r="K464" s="34"/>
      <c r="L464" s="34">
        <v>591.26</v>
      </c>
    </row>
    <row r="465" spans="2:12" x14ac:dyDescent="0.3">
      <c r="B465" s="25">
        <v>466</v>
      </c>
      <c r="C465" s="33">
        <v>51969</v>
      </c>
      <c r="D465" s="33" t="s">
        <v>401</v>
      </c>
      <c r="E465" s="35">
        <v>44340</v>
      </c>
      <c r="F465" s="33">
        <v>2</v>
      </c>
      <c r="G465" s="33" t="s">
        <v>231</v>
      </c>
      <c r="H465" s="33" t="s">
        <v>73</v>
      </c>
      <c r="I465" s="33" t="s">
        <v>198</v>
      </c>
      <c r="J465" s="34">
        <v>857.99</v>
      </c>
      <c r="K465" s="34"/>
      <c r="L465" s="34">
        <v>857.99</v>
      </c>
    </row>
    <row r="466" spans="2:12" x14ac:dyDescent="0.3">
      <c r="B466" s="25">
        <v>467</v>
      </c>
      <c r="C466" s="33">
        <v>51728</v>
      </c>
      <c r="D466" s="33" t="s">
        <v>400</v>
      </c>
      <c r="E466" s="35">
        <v>44323</v>
      </c>
      <c r="F466" s="33">
        <v>2</v>
      </c>
      <c r="G466" s="33" t="s">
        <v>231</v>
      </c>
      <c r="H466" s="33">
        <v>53</v>
      </c>
      <c r="I466" s="33" t="s">
        <v>198</v>
      </c>
      <c r="J466" s="34">
        <v>60.14</v>
      </c>
      <c r="K466" s="34"/>
      <c r="L466" s="34">
        <v>60.14</v>
      </c>
    </row>
    <row r="467" spans="2:12" x14ac:dyDescent="0.3">
      <c r="B467" s="25">
        <v>468</v>
      </c>
      <c r="C467" s="33">
        <v>52031</v>
      </c>
      <c r="D467" s="33" t="s">
        <v>443</v>
      </c>
      <c r="E467" s="35">
        <v>44343</v>
      </c>
      <c r="F467" s="33">
        <v>2</v>
      </c>
      <c r="G467" s="33" t="s">
        <v>122</v>
      </c>
      <c r="H467" s="33" t="s">
        <v>73</v>
      </c>
      <c r="I467" s="33" t="s">
        <v>196</v>
      </c>
      <c r="J467" s="34">
        <v>649.5</v>
      </c>
      <c r="K467" s="34"/>
      <c r="L467" s="34">
        <v>649.5</v>
      </c>
    </row>
    <row r="468" spans="2:12" x14ac:dyDescent="0.3">
      <c r="B468" s="25">
        <v>469</v>
      </c>
      <c r="C468" s="33">
        <v>52032</v>
      </c>
      <c r="D468" s="33" t="s">
        <v>443</v>
      </c>
      <c r="E468" s="35">
        <v>44343</v>
      </c>
      <c r="F468" s="33">
        <v>2</v>
      </c>
      <c r="G468" s="33" t="s">
        <v>122</v>
      </c>
      <c r="H468" s="33" t="s">
        <v>73</v>
      </c>
      <c r="I468" s="33" t="s">
        <v>196</v>
      </c>
      <c r="J468" s="34">
        <v>366</v>
      </c>
      <c r="K468" s="34"/>
      <c r="L468" s="34">
        <v>366</v>
      </c>
    </row>
    <row r="469" spans="2:12" x14ac:dyDescent="0.3">
      <c r="B469" s="25">
        <v>470</v>
      </c>
      <c r="C469" s="33">
        <v>52033</v>
      </c>
      <c r="D469" s="33" t="s">
        <v>442</v>
      </c>
      <c r="E469" s="35">
        <v>44343</v>
      </c>
      <c r="F469" s="33">
        <v>2</v>
      </c>
      <c r="G469" s="33" t="s">
        <v>122</v>
      </c>
      <c r="H469" s="33" t="s">
        <v>73</v>
      </c>
      <c r="I469" s="33" t="s">
        <v>196</v>
      </c>
      <c r="J469" s="34">
        <v>2140</v>
      </c>
      <c r="K469" s="34"/>
      <c r="L469" s="34">
        <v>2140</v>
      </c>
    </row>
    <row r="470" spans="2:12" x14ac:dyDescent="0.3">
      <c r="B470" s="25">
        <v>471</v>
      </c>
      <c r="C470" s="33">
        <v>52034</v>
      </c>
      <c r="D470" s="33" t="s">
        <v>414</v>
      </c>
      <c r="E470" s="35">
        <v>44343</v>
      </c>
      <c r="F470" s="33">
        <v>2</v>
      </c>
      <c r="G470" s="33" t="s">
        <v>122</v>
      </c>
      <c r="H470" s="33">
        <v>53</v>
      </c>
      <c r="I470" s="33" t="s">
        <v>196</v>
      </c>
      <c r="J470" s="34">
        <v>1936.99</v>
      </c>
      <c r="K470" s="34"/>
      <c r="L470" s="34">
        <v>1936.99</v>
      </c>
    </row>
    <row r="471" spans="2:12" x14ac:dyDescent="0.3">
      <c r="B471" s="25">
        <v>472</v>
      </c>
      <c r="C471" s="33">
        <v>52063</v>
      </c>
      <c r="D471" s="33" t="s">
        <v>400</v>
      </c>
      <c r="E471" s="35">
        <v>44344</v>
      </c>
      <c r="F471" s="33">
        <v>2</v>
      </c>
      <c r="G471" s="33" t="s">
        <v>231</v>
      </c>
      <c r="H471" s="33">
        <v>53</v>
      </c>
      <c r="I471" s="33" t="s">
        <v>198</v>
      </c>
      <c r="J471" s="34">
        <v>209.99</v>
      </c>
      <c r="K471" s="34"/>
      <c r="L471" s="34">
        <v>209.99</v>
      </c>
    </row>
    <row r="472" spans="2:12" x14ac:dyDescent="0.3">
      <c r="B472" s="25">
        <v>473</v>
      </c>
      <c r="C472" s="33">
        <v>14350</v>
      </c>
      <c r="D472" s="33" t="s">
        <v>410</v>
      </c>
      <c r="E472" s="35">
        <v>44355</v>
      </c>
      <c r="F472" s="33">
        <v>2</v>
      </c>
      <c r="G472" s="33" t="s">
        <v>231</v>
      </c>
      <c r="H472" s="33" t="s">
        <v>73</v>
      </c>
      <c r="I472" s="33" t="s">
        <v>198</v>
      </c>
      <c r="J472" s="34">
        <v>3393.49</v>
      </c>
      <c r="K472" s="34"/>
      <c r="L472" s="34">
        <v>3393.49</v>
      </c>
    </row>
    <row r="473" spans="2:12" x14ac:dyDescent="0.3">
      <c r="B473" s="25">
        <v>474</v>
      </c>
      <c r="C473" s="33">
        <v>31323</v>
      </c>
      <c r="D473" s="33" t="s">
        <v>459</v>
      </c>
      <c r="E473" s="35">
        <v>44358</v>
      </c>
      <c r="F473" s="33">
        <v>2</v>
      </c>
      <c r="G473" s="33" t="s">
        <v>231</v>
      </c>
      <c r="H473" s="33" t="s">
        <v>72</v>
      </c>
      <c r="I473" s="33" t="s">
        <v>198</v>
      </c>
      <c r="J473" s="34">
        <v>10126.4</v>
      </c>
      <c r="K473" s="34"/>
      <c r="L473" s="34">
        <v>10126.4</v>
      </c>
    </row>
    <row r="474" spans="2:12" x14ac:dyDescent="0.3">
      <c r="B474" s="25">
        <v>475</v>
      </c>
      <c r="C474" s="33">
        <v>2386</v>
      </c>
      <c r="D474" s="33" t="s">
        <v>524</v>
      </c>
      <c r="E474" s="35">
        <v>44358</v>
      </c>
      <c r="F474" s="33">
        <v>2</v>
      </c>
      <c r="G474" s="33" t="s">
        <v>122</v>
      </c>
      <c r="H474" s="33" t="s">
        <v>201</v>
      </c>
      <c r="I474" s="33" t="s">
        <v>196</v>
      </c>
      <c r="J474" s="34">
        <v>1626.89</v>
      </c>
      <c r="K474" s="34"/>
      <c r="L474" s="34">
        <v>1626.89</v>
      </c>
    </row>
    <row r="475" spans="2:12" x14ac:dyDescent="0.3">
      <c r="B475" s="25">
        <v>476</v>
      </c>
      <c r="C475" s="33" t="s">
        <v>338</v>
      </c>
      <c r="D475" s="33" t="s">
        <v>525</v>
      </c>
      <c r="E475" s="35">
        <v>44327</v>
      </c>
      <c r="F475" s="33">
        <v>2</v>
      </c>
      <c r="G475" s="33" t="s">
        <v>231</v>
      </c>
      <c r="H475" s="33" t="s">
        <v>72</v>
      </c>
      <c r="I475" s="33" t="s">
        <v>198</v>
      </c>
      <c r="J475" s="34">
        <v>1300.8</v>
      </c>
      <c r="K475" s="34"/>
      <c r="L475" s="34">
        <v>1300.8</v>
      </c>
    </row>
    <row r="476" spans="2:12" x14ac:dyDescent="0.3">
      <c r="B476" s="25">
        <v>477</v>
      </c>
      <c r="C476" s="33">
        <v>31334</v>
      </c>
      <c r="D476" s="33" t="s">
        <v>525</v>
      </c>
      <c r="E476" s="35">
        <v>44362</v>
      </c>
      <c r="F476" s="33">
        <v>2</v>
      </c>
      <c r="G476" s="33" t="s">
        <v>122</v>
      </c>
      <c r="H476" s="33" t="s">
        <v>72</v>
      </c>
      <c r="I476" s="33" t="s">
        <v>196</v>
      </c>
      <c r="J476" s="34">
        <v>884.3</v>
      </c>
      <c r="K476" s="34"/>
      <c r="L476" s="34">
        <v>884.3</v>
      </c>
    </row>
    <row r="477" spans="2:12" x14ac:dyDescent="0.3">
      <c r="B477" s="25">
        <v>478</v>
      </c>
      <c r="C477" s="33" t="s">
        <v>526</v>
      </c>
      <c r="D477" s="33" t="s">
        <v>477</v>
      </c>
      <c r="E477" s="35">
        <v>44347</v>
      </c>
      <c r="F477" s="33">
        <v>2</v>
      </c>
      <c r="G477" s="33" t="s">
        <v>231</v>
      </c>
      <c r="H477" s="33" t="s">
        <v>70</v>
      </c>
      <c r="I477" s="33" t="s">
        <v>198</v>
      </c>
      <c r="J477" s="34">
        <v>1800</v>
      </c>
      <c r="K477" s="34">
        <v>90</v>
      </c>
      <c r="L477" s="34">
        <v>1710</v>
      </c>
    </row>
    <row r="478" spans="2:12" x14ac:dyDescent="0.3">
      <c r="B478" s="25">
        <v>479</v>
      </c>
      <c r="C478" s="33" t="s">
        <v>527</v>
      </c>
      <c r="D478" s="33" t="s">
        <v>477</v>
      </c>
      <c r="E478" s="35">
        <v>44347</v>
      </c>
      <c r="F478" s="33">
        <v>2</v>
      </c>
      <c r="G478" s="33" t="s">
        <v>231</v>
      </c>
      <c r="H478" s="33" t="s">
        <v>70</v>
      </c>
      <c r="I478" s="33" t="s">
        <v>198</v>
      </c>
      <c r="J478" s="34">
        <v>242</v>
      </c>
      <c r="K478" s="34">
        <v>50</v>
      </c>
      <c r="L478" s="34">
        <v>192</v>
      </c>
    </row>
    <row r="479" spans="2:12" x14ac:dyDescent="0.3">
      <c r="B479" s="25">
        <v>480</v>
      </c>
      <c r="C479" s="33" t="s">
        <v>528</v>
      </c>
      <c r="D479" s="33" t="s">
        <v>348</v>
      </c>
      <c r="E479" s="35">
        <v>44347</v>
      </c>
      <c r="F479" s="33">
        <v>2</v>
      </c>
      <c r="G479" s="33" t="s">
        <v>231</v>
      </c>
      <c r="H479" s="33" t="s">
        <v>70</v>
      </c>
      <c r="I479" s="33" t="s">
        <v>198</v>
      </c>
      <c r="J479" s="34">
        <v>8949</v>
      </c>
      <c r="K479" s="34"/>
      <c r="L479" s="34">
        <v>8949</v>
      </c>
    </row>
    <row r="480" spans="2:12" x14ac:dyDescent="0.3">
      <c r="B480" s="25">
        <v>481</v>
      </c>
      <c r="C480" s="33" t="s">
        <v>529</v>
      </c>
      <c r="D480" s="33" t="s">
        <v>420</v>
      </c>
      <c r="E480" s="35">
        <v>44347</v>
      </c>
      <c r="F480" s="33">
        <v>2</v>
      </c>
      <c r="G480" s="33" t="s">
        <v>231</v>
      </c>
      <c r="H480" s="33" t="s">
        <v>70</v>
      </c>
      <c r="I480" s="33" t="s">
        <v>198</v>
      </c>
      <c r="J480" s="34">
        <v>915.8</v>
      </c>
      <c r="K480" s="34">
        <v>95</v>
      </c>
      <c r="L480" s="34">
        <v>820.8</v>
      </c>
    </row>
    <row r="481" spans="2:12" x14ac:dyDescent="0.3">
      <c r="B481" s="25">
        <v>482</v>
      </c>
      <c r="C481" s="33">
        <v>31364</v>
      </c>
      <c r="D481" s="33" t="s">
        <v>530</v>
      </c>
      <c r="E481" s="35">
        <v>44365</v>
      </c>
      <c r="F481" s="33">
        <v>2</v>
      </c>
      <c r="G481" s="33" t="s">
        <v>122</v>
      </c>
      <c r="H481" s="33" t="s">
        <v>72</v>
      </c>
      <c r="I481" s="33" t="s">
        <v>196</v>
      </c>
      <c r="J481" s="34">
        <v>344.8</v>
      </c>
      <c r="K481" s="34"/>
      <c r="L481" s="34">
        <v>344.8</v>
      </c>
    </row>
    <row r="482" spans="2:12" x14ac:dyDescent="0.3">
      <c r="B482" s="25">
        <v>483</v>
      </c>
      <c r="C482" s="33">
        <v>31369</v>
      </c>
      <c r="D482" s="33" t="s">
        <v>531</v>
      </c>
      <c r="E482" s="35">
        <v>44365</v>
      </c>
      <c r="F482" s="33">
        <v>2</v>
      </c>
      <c r="G482" s="33" t="s">
        <v>122</v>
      </c>
      <c r="H482" s="33" t="s">
        <v>72</v>
      </c>
      <c r="I482" s="33" t="s">
        <v>196</v>
      </c>
      <c r="J482" s="34">
        <v>1244</v>
      </c>
      <c r="K482" s="34"/>
      <c r="L482" s="34">
        <v>1244</v>
      </c>
    </row>
    <row r="483" spans="2:12" x14ac:dyDescent="0.3">
      <c r="B483" s="25">
        <v>484</v>
      </c>
      <c r="C483" s="33">
        <v>31375</v>
      </c>
      <c r="D483" s="33" t="s">
        <v>532</v>
      </c>
      <c r="E483" s="35">
        <v>44365</v>
      </c>
      <c r="F483" s="33">
        <v>2</v>
      </c>
      <c r="G483" s="33" t="s">
        <v>231</v>
      </c>
      <c r="H483" s="33" t="s">
        <v>72</v>
      </c>
      <c r="I483" s="33" t="s">
        <v>198</v>
      </c>
      <c r="J483" s="34">
        <v>9182</v>
      </c>
      <c r="K483" s="34"/>
      <c r="L483" s="34">
        <v>9182</v>
      </c>
    </row>
    <row r="484" spans="2:12" x14ac:dyDescent="0.3">
      <c r="B484" s="25">
        <v>485</v>
      </c>
      <c r="C484" s="33" t="s">
        <v>344</v>
      </c>
      <c r="D484" s="33" t="s">
        <v>380</v>
      </c>
      <c r="E484" s="35">
        <v>44363</v>
      </c>
      <c r="F484" s="33">
        <v>2</v>
      </c>
      <c r="G484" s="33" t="s">
        <v>122</v>
      </c>
      <c r="H484" s="33" t="s">
        <v>69</v>
      </c>
      <c r="I484" s="33" t="s">
        <v>196</v>
      </c>
      <c r="J484" s="34">
        <v>3259.43</v>
      </c>
      <c r="K484" s="34"/>
      <c r="L484" s="34">
        <v>3259.43</v>
      </c>
    </row>
    <row r="485" spans="2:12" x14ac:dyDescent="0.3">
      <c r="B485" s="25">
        <v>486</v>
      </c>
      <c r="C485" s="33" t="s">
        <v>342</v>
      </c>
      <c r="D485" s="33" t="s">
        <v>380</v>
      </c>
      <c r="E485" s="35">
        <v>44364</v>
      </c>
      <c r="F485" s="33">
        <v>2</v>
      </c>
      <c r="G485" s="33" t="s">
        <v>124</v>
      </c>
      <c r="H485" s="33" t="s">
        <v>69</v>
      </c>
      <c r="I485" s="33" t="s">
        <v>197</v>
      </c>
      <c r="J485" s="34">
        <v>4655.6400000000003</v>
      </c>
      <c r="K485" s="34"/>
      <c r="L485" s="34">
        <v>4655.6400000000003</v>
      </c>
    </row>
    <row r="486" spans="2:12" x14ac:dyDescent="0.3">
      <c r="B486" s="25">
        <v>487</v>
      </c>
      <c r="C486" s="33">
        <v>2093</v>
      </c>
      <c r="D486" s="33" t="s">
        <v>380</v>
      </c>
      <c r="E486" s="35">
        <v>44336</v>
      </c>
      <c r="F486" s="33">
        <v>2</v>
      </c>
      <c r="G486" s="33" t="s">
        <v>122</v>
      </c>
      <c r="H486" s="33" t="s">
        <v>71</v>
      </c>
      <c r="I486" s="33" t="s">
        <v>196</v>
      </c>
      <c r="J486" s="34">
        <v>696.91</v>
      </c>
      <c r="K486" s="34"/>
      <c r="L486" s="34">
        <v>696.91</v>
      </c>
    </row>
    <row r="487" spans="2:12" x14ac:dyDescent="0.3">
      <c r="B487" s="25">
        <v>488</v>
      </c>
      <c r="C487" s="33" t="s">
        <v>345</v>
      </c>
      <c r="D487" s="33" t="s">
        <v>381</v>
      </c>
      <c r="E487" s="35">
        <v>44350</v>
      </c>
      <c r="F487" s="33">
        <v>2</v>
      </c>
      <c r="G487" s="33" t="s">
        <v>124</v>
      </c>
      <c r="H487" s="33" t="s">
        <v>71</v>
      </c>
      <c r="I487" s="33" t="s">
        <v>197</v>
      </c>
      <c r="J487" s="34">
        <v>896.31</v>
      </c>
      <c r="K487" s="34"/>
      <c r="L487" s="34">
        <v>896.31</v>
      </c>
    </row>
    <row r="488" spans="2:12" x14ac:dyDescent="0.3">
      <c r="B488" s="25">
        <v>489</v>
      </c>
      <c r="C488" s="33">
        <v>31380</v>
      </c>
      <c r="D488" s="33" t="s">
        <v>394</v>
      </c>
      <c r="E488" s="35">
        <v>44368</v>
      </c>
      <c r="F488" s="33">
        <v>2</v>
      </c>
      <c r="G488" s="33" t="s">
        <v>122</v>
      </c>
      <c r="H488" s="33" t="s">
        <v>72</v>
      </c>
      <c r="I488" s="33" t="s">
        <v>196</v>
      </c>
      <c r="J488" s="34">
        <v>920</v>
      </c>
      <c r="K488" s="34"/>
      <c r="L488" s="34">
        <v>920</v>
      </c>
    </row>
    <row r="489" spans="2:12" x14ac:dyDescent="0.3">
      <c r="B489" s="25">
        <v>490</v>
      </c>
      <c r="C489" s="33">
        <v>51784</v>
      </c>
      <c r="D489" s="33" t="s">
        <v>409</v>
      </c>
      <c r="E489" s="35">
        <v>44305</v>
      </c>
      <c r="F489" s="33">
        <v>2</v>
      </c>
      <c r="G489" s="33" t="s">
        <v>231</v>
      </c>
      <c r="H489" s="33" t="s">
        <v>69</v>
      </c>
      <c r="I489" s="33" t="s">
        <v>198</v>
      </c>
      <c r="J489" s="34">
        <v>1058</v>
      </c>
      <c r="K489" s="34"/>
      <c r="L489" s="34">
        <v>1058</v>
      </c>
    </row>
    <row r="490" spans="2:12" x14ac:dyDescent="0.3">
      <c r="B490" s="25">
        <v>491</v>
      </c>
      <c r="C490" s="33">
        <v>51785</v>
      </c>
      <c r="D490" s="33" t="s">
        <v>409</v>
      </c>
      <c r="E490" s="35">
        <v>44305</v>
      </c>
      <c r="F490" s="33">
        <v>2</v>
      </c>
      <c r="G490" s="33" t="s">
        <v>231</v>
      </c>
      <c r="H490" s="33" t="s">
        <v>69</v>
      </c>
      <c r="I490" s="33" t="s">
        <v>198</v>
      </c>
      <c r="J490" s="34">
        <v>2568.5</v>
      </c>
      <c r="K490" s="34"/>
      <c r="L490" s="34">
        <v>2568.5</v>
      </c>
    </row>
    <row r="491" spans="2:12" x14ac:dyDescent="0.3">
      <c r="B491" s="25">
        <v>492</v>
      </c>
      <c r="C491" s="33">
        <v>51843</v>
      </c>
      <c r="D491" s="33" t="s">
        <v>409</v>
      </c>
      <c r="E491" s="35">
        <v>44309</v>
      </c>
      <c r="F491" s="33">
        <v>2</v>
      </c>
      <c r="G491" s="33" t="s">
        <v>231</v>
      </c>
      <c r="H491" s="33" t="s">
        <v>69</v>
      </c>
      <c r="I491" s="33" t="s">
        <v>198</v>
      </c>
      <c r="J491" s="34">
        <v>2572.5</v>
      </c>
      <c r="K491" s="34"/>
      <c r="L491" s="34">
        <v>2572.5</v>
      </c>
    </row>
    <row r="492" spans="2:12" x14ac:dyDescent="0.3">
      <c r="B492" s="25">
        <v>493</v>
      </c>
      <c r="C492" s="33">
        <v>52318</v>
      </c>
      <c r="D492" s="33" t="s">
        <v>281</v>
      </c>
      <c r="E492" s="35">
        <v>44336</v>
      </c>
      <c r="F492" s="33">
        <v>2</v>
      </c>
      <c r="G492" s="33" t="s">
        <v>124</v>
      </c>
      <c r="H492" s="33" t="s">
        <v>69</v>
      </c>
      <c r="I492" s="33" t="s">
        <v>197</v>
      </c>
      <c r="J492" s="34">
        <v>4534.49</v>
      </c>
      <c r="K492" s="34"/>
      <c r="L492" s="34">
        <v>4534.49</v>
      </c>
    </row>
    <row r="493" spans="2:12" x14ac:dyDescent="0.3">
      <c r="B493" s="25">
        <v>494</v>
      </c>
      <c r="C493" s="33">
        <v>31388</v>
      </c>
      <c r="D493" s="33" t="s">
        <v>394</v>
      </c>
      <c r="E493" s="35">
        <v>44369</v>
      </c>
      <c r="F493" s="33">
        <v>2</v>
      </c>
      <c r="G493" s="33" t="s">
        <v>122</v>
      </c>
      <c r="H493" s="33" t="s">
        <v>72</v>
      </c>
      <c r="I493" s="33" t="s">
        <v>196</v>
      </c>
      <c r="J493" s="34">
        <v>3705.2</v>
      </c>
      <c r="K493" s="34"/>
      <c r="L493" s="34">
        <v>3705.2</v>
      </c>
    </row>
    <row r="494" spans="2:12" x14ac:dyDescent="0.3">
      <c r="B494" s="25">
        <v>495</v>
      </c>
      <c r="C494" s="33">
        <v>2395</v>
      </c>
      <c r="D494" s="33" t="s">
        <v>533</v>
      </c>
      <c r="E494" s="35">
        <v>44356</v>
      </c>
      <c r="F494" s="33">
        <v>2</v>
      </c>
      <c r="G494" s="33" t="s">
        <v>122</v>
      </c>
      <c r="H494" s="33" t="s">
        <v>71</v>
      </c>
      <c r="I494" s="33" t="s">
        <v>196</v>
      </c>
      <c r="J494" s="34">
        <v>2660.92</v>
      </c>
      <c r="K494" s="34"/>
      <c r="L494" s="34">
        <v>2660.92</v>
      </c>
    </row>
    <row r="495" spans="2:12" x14ac:dyDescent="0.3">
      <c r="B495" s="25">
        <v>496</v>
      </c>
      <c r="C495" s="33">
        <v>10909</v>
      </c>
      <c r="D495" s="33" t="s">
        <v>534</v>
      </c>
      <c r="E495" s="35">
        <v>44370</v>
      </c>
      <c r="F495" s="33">
        <v>2</v>
      </c>
      <c r="G495" s="33" t="s">
        <v>122</v>
      </c>
      <c r="H495" s="33" t="s">
        <v>69</v>
      </c>
      <c r="I495" s="33" t="s">
        <v>196</v>
      </c>
      <c r="J495" s="34">
        <v>910.57</v>
      </c>
      <c r="K495" s="34"/>
      <c r="L495" s="34">
        <v>910.57</v>
      </c>
    </row>
    <row r="496" spans="2:12" x14ac:dyDescent="0.3">
      <c r="B496" s="25">
        <v>497</v>
      </c>
      <c r="C496" s="33" t="s">
        <v>347</v>
      </c>
      <c r="D496" s="33" t="s">
        <v>534</v>
      </c>
      <c r="E496" s="35">
        <v>44364</v>
      </c>
      <c r="F496" s="33">
        <v>2</v>
      </c>
      <c r="G496" s="33" t="s">
        <v>231</v>
      </c>
      <c r="H496" s="33" t="s">
        <v>69</v>
      </c>
      <c r="I496" s="33" t="s">
        <v>198</v>
      </c>
      <c r="J496" s="34">
        <v>1341.9</v>
      </c>
      <c r="K496" s="34"/>
      <c r="L496" s="34">
        <v>1341.9</v>
      </c>
    </row>
    <row r="497" spans="2:12" x14ac:dyDescent="0.3">
      <c r="B497" s="25">
        <v>498</v>
      </c>
      <c r="C497" s="33">
        <v>10908</v>
      </c>
      <c r="D497" s="33" t="s">
        <v>535</v>
      </c>
      <c r="E497" s="35">
        <v>44370</v>
      </c>
      <c r="F497" s="33">
        <v>2</v>
      </c>
      <c r="G497" s="33" t="s">
        <v>122</v>
      </c>
      <c r="H497" s="33" t="s">
        <v>69</v>
      </c>
      <c r="I497" s="33" t="s">
        <v>196</v>
      </c>
      <c r="J497" s="34">
        <v>1937.94</v>
      </c>
      <c r="K497" s="34"/>
      <c r="L497" s="34">
        <v>1937.94</v>
      </c>
    </row>
    <row r="498" spans="2:12" x14ac:dyDescent="0.3">
      <c r="B498" s="25">
        <v>499</v>
      </c>
      <c r="C498" s="33" t="s">
        <v>353</v>
      </c>
      <c r="D498" s="33" t="s">
        <v>536</v>
      </c>
      <c r="E498" s="35">
        <v>44364</v>
      </c>
      <c r="F498" s="33">
        <v>2</v>
      </c>
      <c r="G498" s="33" t="s">
        <v>231</v>
      </c>
      <c r="H498" s="33">
        <v>53</v>
      </c>
      <c r="I498" s="33" t="s">
        <v>198</v>
      </c>
      <c r="J498" s="34">
        <v>1735.8</v>
      </c>
      <c r="K498" s="34"/>
      <c r="L498" s="34">
        <v>1735.8</v>
      </c>
    </row>
    <row r="499" spans="2:12" x14ac:dyDescent="0.3">
      <c r="B499" s="25">
        <v>500</v>
      </c>
      <c r="C499" s="33">
        <v>16306</v>
      </c>
      <c r="D499" s="33" t="s">
        <v>536</v>
      </c>
      <c r="E499" s="35">
        <v>44376</v>
      </c>
      <c r="F499" s="33">
        <v>2</v>
      </c>
      <c r="G499" s="33" t="s">
        <v>122</v>
      </c>
      <c r="H499" s="33">
        <v>53</v>
      </c>
      <c r="I499" s="33" t="s">
        <v>196</v>
      </c>
      <c r="J499" s="34">
        <v>1331.84</v>
      </c>
      <c r="K499" s="34"/>
      <c r="L499" s="34">
        <v>1331.84</v>
      </c>
    </row>
    <row r="500" spans="2:12" x14ac:dyDescent="0.3">
      <c r="B500" s="25">
        <v>501</v>
      </c>
      <c r="C500" s="33" t="s">
        <v>355</v>
      </c>
      <c r="D500" s="33" t="s">
        <v>537</v>
      </c>
      <c r="E500" s="35">
        <v>44333</v>
      </c>
      <c r="F500" s="33">
        <v>2</v>
      </c>
      <c r="G500" s="33" t="s">
        <v>231</v>
      </c>
      <c r="H500" s="33" t="s">
        <v>72</v>
      </c>
      <c r="I500" s="33" t="s">
        <v>198</v>
      </c>
      <c r="J500" s="34">
        <v>842.4</v>
      </c>
      <c r="K500" s="34">
        <v>100</v>
      </c>
      <c r="L500" s="34">
        <v>742.4</v>
      </c>
    </row>
    <row r="501" spans="2:12" x14ac:dyDescent="0.3">
      <c r="B501" s="25">
        <v>502</v>
      </c>
      <c r="C501" s="33">
        <v>31436</v>
      </c>
      <c r="D501" s="33" t="s">
        <v>537</v>
      </c>
      <c r="E501" s="35">
        <v>44377</v>
      </c>
      <c r="F501" s="33">
        <v>2</v>
      </c>
      <c r="G501" s="33" t="s">
        <v>122</v>
      </c>
      <c r="H501" s="33" t="s">
        <v>72</v>
      </c>
      <c r="I501" s="33" t="s">
        <v>196</v>
      </c>
      <c r="J501" s="34">
        <v>584.9</v>
      </c>
      <c r="K501" s="34">
        <v>100</v>
      </c>
      <c r="L501" s="34">
        <v>484.9</v>
      </c>
    </row>
    <row r="502" spans="2:12" x14ac:dyDescent="0.3">
      <c r="B502" s="25">
        <v>503</v>
      </c>
      <c r="C502" s="33">
        <v>2561</v>
      </c>
      <c r="D502" s="33" t="s">
        <v>375</v>
      </c>
      <c r="E502" s="35">
        <v>44362</v>
      </c>
      <c r="F502" s="33">
        <v>2</v>
      </c>
      <c r="G502" s="33" t="s">
        <v>124</v>
      </c>
      <c r="H502" s="33" t="s">
        <v>71</v>
      </c>
      <c r="I502" s="33" t="s">
        <v>197</v>
      </c>
      <c r="J502" s="34">
        <v>5455.15</v>
      </c>
      <c r="K502" s="34">
        <v>260</v>
      </c>
      <c r="L502" s="34">
        <v>5195.1499999999996</v>
      </c>
    </row>
    <row r="503" spans="2:12" x14ac:dyDescent="0.3">
      <c r="B503" s="25">
        <v>504</v>
      </c>
      <c r="C503" s="33">
        <v>31437</v>
      </c>
      <c r="D503" s="33" t="s">
        <v>394</v>
      </c>
      <c r="E503" s="35">
        <v>44377</v>
      </c>
      <c r="F503" s="33">
        <v>2</v>
      </c>
      <c r="G503" s="33" t="s">
        <v>122</v>
      </c>
      <c r="H503" s="33" t="s">
        <v>72</v>
      </c>
      <c r="I503" s="33" t="s">
        <v>196</v>
      </c>
      <c r="J503" s="34">
        <v>2623.8</v>
      </c>
      <c r="K503" s="34"/>
      <c r="L503" s="34">
        <v>2623.8</v>
      </c>
    </row>
    <row r="504" spans="2:12" x14ac:dyDescent="0.3">
      <c r="B504" s="25">
        <v>505</v>
      </c>
      <c r="C504" s="33">
        <v>2791</v>
      </c>
      <c r="D504" s="33" t="s">
        <v>380</v>
      </c>
      <c r="E504" s="35">
        <v>44377</v>
      </c>
      <c r="F504" s="33">
        <v>2</v>
      </c>
      <c r="G504" s="33" t="s">
        <v>122</v>
      </c>
      <c r="H504" s="33" t="s">
        <v>201</v>
      </c>
      <c r="I504" s="33" t="s">
        <v>196</v>
      </c>
      <c r="J504" s="34">
        <v>29544.560000000001</v>
      </c>
      <c r="K504" s="34"/>
      <c r="L504" s="34">
        <v>29544.560000000001</v>
      </c>
    </row>
    <row r="505" spans="2:12" x14ac:dyDescent="0.3">
      <c r="B505" s="25">
        <v>506</v>
      </c>
      <c r="C505" s="33" t="s">
        <v>357</v>
      </c>
      <c r="D505" s="33" t="s">
        <v>380</v>
      </c>
      <c r="E505" s="35">
        <v>44376</v>
      </c>
      <c r="F505" s="33">
        <v>2</v>
      </c>
      <c r="G505" s="33" t="s">
        <v>124</v>
      </c>
      <c r="H505" s="33" t="s">
        <v>201</v>
      </c>
      <c r="I505" s="33" t="s">
        <v>197</v>
      </c>
      <c r="J505" s="34">
        <v>39548.54</v>
      </c>
      <c r="K505" s="34"/>
      <c r="L505" s="34">
        <v>39548.54</v>
      </c>
    </row>
    <row r="506" spans="2:12" x14ac:dyDescent="0.3">
      <c r="B506" s="25">
        <v>507</v>
      </c>
      <c r="C506" s="33" t="s">
        <v>359</v>
      </c>
      <c r="D506" s="33" t="s">
        <v>382</v>
      </c>
      <c r="E506" s="35">
        <v>44327</v>
      </c>
      <c r="F506" s="33">
        <v>2</v>
      </c>
      <c r="G506" s="33" t="s">
        <v>124</v>
      </c>
      <c r="H506" s="33" t="s">
        <v>201</v>
      </c>
      <c r="I506" s="33" t="s">
        <v>197</v>
      </c>
      <c r="J506" s="34">
        <v>3924</v>
      </c>
      <c r="K506" s="34"/>
      <c r="L506" s="34">
        <v>3924</v>
      </c>
    </row>
    <row r="507" spans="2:12" x14ac:dyDescent="0.3">
      <c r="B507" s="25">
        <v>508</v>
      </c>
      <c r="C507" s="33">
        <v>2821</v>
      </c>
      <c r="D507" s="33" t="s">
        <v>382</v>
      </c>
      <c r="E507" s="35">
        <v>44377</v>
      </c>
      <c r="F507" s="33">
        <v>2</v>
      </c>
      <c r="G507" s="33" t="s">
        <v>122</v>
      </c>
      <c r="H507" s="33" t="s">
        <v>201</v>
      </c>
      <c r="I507" s="33" t="s">
        <v>196</v>
      </c>
      <c r="J507" s="34">
        <v>2589.84</v>
      </c>
      <c r="K507" s="34"/>
      <c r="L507" s="34">
        <v>2589.84</v>
      </c>
    </row>
    <row r="508" spans="2:12" x14ac:dyDescent="0.3">
      <c r="B508" s="25">
        <v>509</v>
      </c>
      <c r="C508" s="33">
        <v>2326</v>
      </c>
      <c r="D508" s="33" t="s">
        <v>384</v>
      </c>
      <c r="E508" s="35">
        <v>44350</v>
      </c>
      <c r="F508" s="33">
        <v>2</v>
      </c>
      <c r="G508" s="33" t="s">
        <v>124</v>
      </c>
      <c r="H508" s="33" t="s">
        <v>71</v>
      </c>
      <c r="I508" s="33" t="s">
        <v>197</v>
      </c>
      <c r="J508" s="34">
        <v>1005.48</v>
      </c>
      <c r="K508" s="34"/>
      <c r="L508" s="34">
        <v>1005.48</v>
      </c>
    </row>
    <row r="509" spans="2:12" x14ac:dyDescent="0.3">
      <c r="B509" s="25">
        <v>510</v>
      </c>
      <c r="C509" s="33">
        <v>2382</v>
      </c>
      <c r="D509" s="33" t="s">
        <v>362</v>
      </c>
      <c r="E509" s="35">
        <v>44355</v>
      </c>
      <c r="F509" s="33">
        <v>2</v>
      </c>
      <c r="G509" s="33" t="s">
        <v>124</v>
      </c>
      <c r="H509" s="33" t="s">
        <v>71</v>
      </c>
      <c r="I509" s="33" t="s">
        <v>197</v>
      </c>
      <c r="J509" s="34">
        <v>3861.62</v>
      </c>
      <c r="K509" s="34"/>
      <c r="L509" s="34">
        <v>3861.62</v>
      </c>
    </row>
    <row r="510" spans="2:12" x14ac:dyDescent="0.3">
      <c r="B510" s="25">
        <v>511</v>
      </c>
      <c r="C510" s="33">
        <v>2383</v>
      </c>
      <c r="D510" s="33" t="s">
        <v>407</v>
      </c>
      <c r="E510" s="35">
        <v>44355</v>
      </c>
      <c r="F510" s="33">
        <v>2</v>
      </c>
      <c r="G510" s="33" t="s">
        <v>231</v>
      </c>
      <c r="H510" s="33" t="s">
        <v>71</v>
      </c>
      <c r="I510" s="33" t="s">
        <v>198</v>
      </c>
      <c r="J510" s="34">
        <v>415.5</v>
      </c>
      <c r="K510" s="34">
        <v>80</v>
      </c>
      <c r="L510" s="34">
        <v>335.5</v>
      </c>
    </row>
    <row r="511" spans="2:12" x14ac:dyDescent="0.3">
      <c r="B511" s="25">
        <v>512</v>
      </c>
      <c r="C511" s="33">
        <v>2431</v>
      </c>
      <c r="D511" s="33" t="s">
        <v>403</v>
      </c>
      <c r="E511" s="35">
        <v>44358</v>
      </c>
      <c r="F511" s="33">
        <v>2</v>
      </c>
      <c r="G511" s="33" t="s">
        <v>122</v>
      </c>
      <c r="H511" s="33" t="s">
        <v>71</v>
      </c>
      <c r="I511" s="33" t="s">
        <v>196</v>
      </c>
      <c r="J511" s="34">
        <v>905.29</v>
      </c>
      <c r="K511" s="34">
        <v>80</v>
      </c>
      <c r="L511" s="34">
        <v>825.29</v>
      </c>
    </row>
    <row r="512" spans="2:12" x14ac:dyDescent="0.3">
      <c r="B512" s="25">
        <v>513</v>
      </c>
      <c r="C512" s="33">
        <v>2453</v>
      </c>
      <c r="D512" s="33" t="s">
        <v>385</v>
      </c>
      <c r="E512" s="35">
        <v>44358</v>
      </c>
      <c r="F512" s="33">
        <v>2</v>
      </c>
      <c r="G512" s="33" t="s">
        <v>124</v>
      </c>
      <c r="H512" s="33" t="s">
        <v>71</v>
      </c>
      <c r="I512" s="33" t="s">
        <v>197</v>
      </c>
      <c r="J512" s="34">
        <v>669.95</v>
      </c>
      <c r="K512" s="34">
        <v>80</v>
      </c>
      <c r="L512" s="34">
        <v>589.95000000000005</v>
      </c>
    </row>
    <row r="513" spans="2:12" x14ac:dyDescent="0.3">
      <c r="B513" s="25">
        <v>514</v>
      </c>
      <c r="C513" s="33">
        <v>2488</v>
      </c>
      <c r="D513" s="33" t="s">
        <v>407</v>
      </c>
      <c r="E513" s="35">
        <v>44362</v>
      </c>
      <c r="F513" s="33">
        <v>2</v>
      </c>
      <c r="G513" s="33" t="s">
        <v>231</v>
      </c>
      <c r="H513" s="33" t="s">
        <v>71</v>
      </c>
      <c r="I513" s="33" t="s">
        <v>198</v>
      </c>
      <c r="J513" s="34">
        <v>609.03</v>
      </c>
      <c r="K513" s="34">
        <v>80</v>
      </c>
      <c r="L513" s="34">
        <v>529.03</v>
      </c>
    </row>
    <row r="514" spans="2:12" x14ac:dyDescent="0.3">
      <c r="B514" s="25">
        <v>515</v>
      </c>
      <c r="C514" s="33">
        <v>2489</v>
      </c>
      <c r="D514" s="33" t="s">
        <v>438</v>
      </c>
      <c r="E514" s="35">
        <v>44362</v>
      </c>
      <c r="F514" s="33">
        <v>2</v>
      </c>
      <c r="G514" s="33" t="s">
        <v>122</v>
      </c>
      <c r="H514" s="33" t="s">
        <v>71</v>
      </c>
      <c r="I514" s="33" t="s">
        <v>196</v>
      </c>
      <c r="J514" s="34">
        <v>442.09</v>
      </c>
      <c r="K514" s="34">
        <v>80</v>
      </c>
      <c r="L514" s="34">
        <v>362.09</v>
      </c>
    </row>
    <row r="515" spans="2:12" x14ac:dyDescent="0.3">
      <c r="B515" s="25">
        <v>516</v>
      </c>
      <c r="C515" s="33">
        <v>2562</v>
      </c>
      <c r="D515" s="33" t="s">
        <v>277</v>
      </c>
      <c r="E515" s="35">
        <v>44362</v>
      </c>
      <c r="F515" s="33">
        <v>2</v>
      </c>
      <c r="G515" s="33" t="s">
        <v>124</v>
      </c>
      <c r="H515" s="33" t="s">
        <v>71</v>
      </c>
      <c r="I515" s="33" t="s">
        <v>197</v>
      </c>
      <c r="J515" s="34">
        <v>952.26</v>
      </c>
      <c r="K515" s="34"/>
      <c r="L515" s="34">
        <v>952.26</v>
      </c>
    </row>
    <row r="516" spans="2:12" x14ac:dyDescent="0.3">
      <c r="B516" s="25">
        <v>517</v>
      </c>
      <c r="C516" s="33">
        <v>2631</v>
      </c>
      <c r="D516" s="33" t="s">
        <v>277</v>
      </c>
      <c r="E516" s="35">
        <v>44365</v>
      </c>
      <c r="F516" s="33">
        <v>2</v>
      </c>
      <c r="G516" s="33" t="s">
        <v>124</v>
      </c>
      <c r="H516" s="33" t="s">
        <v>71</v>
      </c>
      <c r="I516" s="33" t="s">
        <v>197</v>
      </c>
      <c r="J516" s="34">
        <v>862.44</v>
      </c>
      <c r="K516" s="34"/>
      <c r="L516" s="34">
        <v>862.44</v>
      </c>
    </row>
    <row r="517" spans="2:12" x14ac:dyDescent="0.3">
      <c r="B517" s="25">
        <v>518</v>
      </c>
      <c r="C517" s="33">
        <v>1147</v>
      </c>
      <c r="D517" s="33" t="s">
        <v>423</v>
      </c>
      <c r="E517" s="35">
        <v>44365</v>
      </c>
      <c r="F517" s="33">
        <v>2</v>
      </c>
      <c r="G517" s="33" t="s">
        <v>231</v>
      </c>
      <c r="H517" s="33" t="s">
        <v>71</v>
      </c>
      <c r="I517" s="33" t="s">
        <v>198</v>
      </c>
      <c r="J517" s="34">
        <v>1374.81</v>
      </c>
      <c r="K517" s="34">
        <v>160</v>
      </c>
      <c r="L517" s="34">
        <v>1214.81</v>
      </c>
    </row>
    <row r="518" spans="2:12" x14ac:dyDescent="0.3">
      <c r="B518" s="25">
        <v>519</v>
      </c>
      <c r="C518" s="33">
        <v>2668</v>
      </c>
      <c r="D518" s="33" t="s">
        <v>412</v>
      </c>
      <c r="E518" s="35">
        <v>44368</v>
      </c>
      <c r="F518" s="33">
        <v>2</v>
      </c>
      <c r="G518" s="33" t="s">
        <v>231</v>
      </c>
      <c r="H518" s="33" t="s">
        <v>71</v>
      </c>
      <c r="I518" s="33" t="s">
        <v>198</v>
      </c>
      <c r="J518" s="34">
        <v>524.39</v>
      </c>
      <c r="K518" s="34">
        <v>80</v>
      </c>
      <c r="L518" s="34">
        <v>444.39</v>
      </c>
    </row>
    <row r="519" spans="2:12" x14ac:dyDescent="0.3">
      <c r="B519" s="25">
        <v>520</v>
      </c>
      <c r="C519" s="33">
        <v>2720</v>
      </c>
      <c r="D519" s="33" t="s">
        <v>386</v>
      </c>
      <c r="E519" s="35">
        <v>44371</v>
      </c>
      <c r="F519" s="33">
        <v>2</v>
      </c>
      <c r="G519" s="33" t="s">
        <v>124</v>
      </c>
      <c r="H519" s="33" t="s">
        <v>71</v>
      </c>
      <c r="I519" s="33" t="s">
        <v>197</v>
      </c>
      <c r="J519" s="34">
        <v>3066.78</v>
      </c>
      <c r="K519" s="34"/>
      <c r="L519" s="34">
        <v>3066.78</v>
      </c>
    </row>
    <row r="520" spans="2:12" x14ac:dyDescent="0.3">
      <c r="B520" s="25">
        <v>521</v>
      </c>
      <c r="C520" s="33">
        <v>2738</v>
      </c>
      <c r="D520" s="33" t="s">
        <v>275</v>
      </c>
      <c r="E520" s="35">
        <v>44371</v>
      </c>
      <c r="F520" s="33">
        <v>2</v>
      </c>
      <c r="G520" s="33" t="s">
        <v>124</v>
      </c>
      <c r="H520" s="33" t="s">
        <v>71</v>
      </c>
      <c r="I520" s="33" t="s">
        <v>197</v>
      </c>
      <c r="J520" s="34">
        <v>1208.31</v>
      </c>
      <c r="K520" s="34"/>
      <c r="L520" s="34">
        <v>1208.31</v>
      </c>
    </row>
    <row r="521" spans="2:12" x14ac:dyDescent="0.3">
      <c r="B521" s="25">
        <v>522</v>
      </c>
      <c r="C521" s="33">
        <v>2754</v>
      </c>
      <c r="D521" s="33" t="s">
        <v>387</v>
      </c>
      <c r="E521" s="35">
        <v>44372</v>
      </c>
      <c r="F521" s="33">
        <v>2</v>
      </c>
      <c r="G521" s="33" t="s">
        <v>124</v>
      </c>
      <c r="H521" s="33" t="s">
        <v>71</v>
      </c>
      <c r="I521" s="33" t="s">
        <v>197</v>
      </c>
      <c r="J521" s="34">
        <v>719.48</v>
      </c>
      <c r="K521" s="34">
        <v>80</v>
      </c>
      <c r="L521" s="34">
        <v>639.48</v>
      </c>
    </row>
    <row r="522" spans="2:12" x14ac:dyDescent="0.3">
      <c r="B522" s="25">
        <v>523</v>
      </c>
      <c r="C522" s="33">
        <v>2799</v>
      </c>
      <c r="D522" s="33" t="s">
        <v>538</v>
      </c>
      <c r="E522" s="35">
        <v>44372</v>
      </c>
      <c r="F522" s="33">
        <v>2</v>
      </c>
      <c r="G522" s="33" t="s">
        <v>231</v>
      </c>
      <c r="H522" s="33" t="s">
        <v>71</v>
      </c>
      <c r="I522" s="33" t="s">
        <v>198</v>
      </c>
      <c r="J522" s="34">
        <v>2080.86</v>
      </c>
      <c r="K522" s="34"/>
      <c r="L522" s="34">
        <v>2080.86</v>
      </c>
    </row>
    <row r="523" spans="2:12" x14ac:dyDescent="0.3">
      <c r="B523" s="25">
        <v>524</v>
      </c>
      <c r="C523" s="33">
        <v>2817</v>
      </c>
      <c r="D523" s="33" t="s">
        <v>275</v>
      </c>
      <c r="E523" s="35">
        <v>44375</v>
      </c>
      <c r="F523" s="33">
        <v>2</v>
      </c>
      <c r="G523" s="33" t="s">
        <v>124</v>
      </c>
      <c r="H523" s="33" t="s">
        <v>71</v>
      </c>
      <c r="I523" s="33" t="s">
        <v>197</v>
      </c>
      <c r="J523" s="34">
        <v>569.05999999999995</v>
      </c>
      <c r="K523" s="34">
        <v>80</v>
      </c>
      <c r="L523" s="34">
        <v>489.06</v>
      </c>
    </row>
    <row r="524" spans="2:12" x14ac:dyDescent="0.3">
      <c r="B524" s="25">
        <v>525</v>
      </c>
      <c r="C524" s="33">
        <v>2878</v>
      </c>
      <c r="D524" s="33" t="s">
        <v>539</v>
      </c>
      <c r="E524" s="35">
        <v>44377</v>
      </c>
      <c r="F524" s="33">
        <v>2</v>
      </c>
      <c r="G524" s="33" t="s">
        <v>232</v>
      </c>
      <c r="H524" s="33" t="s">
        <v>71</v>
      </c>
      <c r="I524" s="33" t="s">
        <v>75</v>
      </c>
      <c r="J524" s="34">
        <v>691.04</v>
      </c>
      <c r="K524" s="34">
        <v>100.52</v>
      </c>
      <c r="L524" s="34">
        <v>590.52</v>
      </c>
    </row>
    <row r="525" spans="2:12" x14ac:dyDescent="0.3">
      <c r="B525" s="25">
        <v>526</v>
      </c>
      <c r="C525" s="33">
        <v>17747</v>
      </c>
      <c r="D525" s="33" t="s">
        <v>540</v>
      </c>
      <c r="E525" s="35">
        <v>44390</v>
      </c>
      <c r="F525" s="33">
        <v>3</v>
      </c>
      <c r="G525" s="33" t="s">
        <v>122</v>
      </c>
      <c r="H525" s="33" t="s">
        <v>73</v>
      </c>
      <c r="I525" s="33" t="s">
        <v>196</v>
      </c>
      <c r="J525" s="34">
        <v>1924.66</v>
      </c>
      <c r="K525" s="34"/>
      <c r="L525" s="34">
        <v>1924.66</v>
      </c>
    </row>
    <row r="526" spans="2:12" x14ac:dyDescent="0.3">
      <c r="B526" s="25">
        <v>527</v>
      </c>
      <c r="C526" s="33" t="s">
        <v>541</v>
      </c>
      <c r="D526" s="33" t="s">
        <v>542</v>
      </c>
      <c r="E526" s="35">
        <v>44390</v>
      </c>
      <c r="F526" s="33">
        <v>3</v>
      </c>
      <c r="G526" s="33" t="s">
        <v>122</v>
      </c>
      <c r="H526" s="33" t="s">
        <v>73</v>
      </c>
      <c r="I526" s="33" t="s">
        <v>196</v>
      </c>
      <c r="J526" s="34">
        <v>5106.49</v>
      </c>
      <c r="K526" s="34"/>
      <c r="L526" s="34">
        <v>5106.49</v>
      </c>
    </row>
    <row r="527" spans="2:12" x14ac:dyDescent="0.3">
      <c r="B527" s="25">
        <v>528</v>
      </c>
      <c r="C527" s="33" t="s">
        <v>543</v>
      </c>
      <c r="D527" s="33" t="s">
        <v>544</v>
      </c>
      <c r="E527" s="35">
        <v>44386</v>
      </c>
      <c r="F527" s="33">
        <v>3</v>
      </c>
      <c r="G527" s="33" t="s">
        <v>122</v>
      </c>
      <c r="H527" s="33" t="s">
        <v>71</v>
      </c>
      <c r="I527" s="33" t="s">
        <v>196</v>
      </c>
      <c r="J527" s="34">
        <v>11258.25</v>
      </c>
      <c r="K527" s="34"/>
      <c r="L527" s="34">
        <v>11258.25</v>
      </c>
    </row>
    <row r="528" spans="2:12" x14ac:dyDescent="0.3">
      <c r="B528" s="25">
        <v>529</v>
      </c>
      <c r="C528" s="33" t="s">
        <v>545</v>
      </c>
      <c r="D528" s="33" t="s">
        <v>474</v>
      </c>
      <c r="E528" s="35">
        <v>44287</v>
      </c>
      <c r="F528" s="33">
        <v>2</v>
      </c>
      <c r="G528" s="33" t="s">
        <v>231</v>
      </c>
      <c r="H528" s="33" t="s">
        <v>70</v>
      </c>
      <c r="I528" s="33" t="s">
        <v>198</v>
      </c>
      <c r="J528" s="34">
        <v>696</v>
      </c>
      <c r="K528" s="34">
        <v>105</v>
      </c>
      <c r="L528" s="34">
        <v>591</v>
      </c>
    </row>
    <row r="529" spans="2:12" x14ac:dyDescent="0.3">
      <c r="B529" s="25">
        <v>530</v>
      </c>
      <c r="C529" s="33" t="s">
        <v>546</v>
      </c>
      <c r="D529" s="33" t="s">
        <v>474</v>
      </c>
      <c r="E529" s="35">
        <v>44347</v>
      </c>
      <c r="F529" s="33">
        <v>2</v>
      </c>
      <c r="G529" s="33" t="s">
        <v>231</v>
      </c>
      <c r="H529" s="33" t="s">
        <v>70</v>
      </c>
      <c r="I529" s="33" t="s">
        <v>198</v>
      </c>
      <c r="J529" s="34">
        <v>140</v>
      </c>
      <c r="K529" s="34">
        <v>65</v>
      </c>
      <c r="L529" s="34">
        <v>75</v>
      </c>
    </row>
    <row r="530" spans="2:12" x14ac:dyDescent="0.3">
      <c r="B530" s="25">
        <v>531</v>
      </c>
      <c r="C530" s="33" t="s">
        <v>547</v>
      </c>
      <c r="D530" s="33" t="s">
        <v>474</v>
      </c>
      <c r="E530" s="35">
        <v>44347</v>
      </c>
      <c r="F530" s="33">
        <v>2</v>
      </c>
      <c r="G530" s="33" t="s">
        <v>231</v>
      </c>
      <c r="H530" s="33" t="s">
        <v>70</v>
      </c>
      <c r="I530" s="33" t="s">
        <v>198</v>
      </c>
      <c r="J530" s="34">
        <v>897</v>
      </c>
      <c r="K530" s="34">
        <v>105</v>
      </c>
      <c r="L530" s="34">
        <v>792</v>
      </c>
    </row>
    <row r="531" spans="2:12" x14ac:dyDescent="0.3">
      <c r="B531" s="25">
        <v>532</v>
      </c>
      <c r="C531" s="33">
        <v>904</v>
      </c>
      <c r="D531" s="33" t="s">
        <v>277</v>
      </c>
      <c r="E531" s="35">
        <v>44287</v>
      </c>
      <c r="F531" s="33">
        <v>2</v>
      </c>
      <c r="G531" s="33" t="s">
        <v>124</v>
      </c>
      <c r="H531" s="33" t="s">
        <v>201</v>
      </c>
      <c r="I531" s="33" t="s">
        <v>197</v>
      </c>
      <c r="J531" s="34">
        <v>2105.66</v>
      </c>
      <c r="K531" s="34"/>
      <c r="L531" s="34">
        <v>2105.66</v>
      </c>
    </row>
    <row r="532" spans="2:12" x14ac:dyDescent="0.3">
      <c r="B532" s="25">
        <v>533</v>
      </c>
      <c r="C532" s="33">
        <v>1246</v>
      </c>
      <c r="D532" s="33" t="s">
        <v>362</v>
      </c>
      <c r="E532" s="35">
        <v>44307</v>
      </c>
      <c r="F532" s="33">
        <v>2</v>
      </c>
      <c r="G532" s="33" t="s">
        <v>124</v>
      </c>
      <c r="H532" s="33" t="s">
        <v>201</v>
      </c>
      <c r="I532" s="33" t="s">
        <v>197</v>
      </c>
      <c r="J532" s="34">
        <v>1505.43</v>
      </c>
      <c r="K532" s="34"/>
      <c r="L532" s="34">
        <v>1505.43</v>
      </c>
    </row>
    <row r="533" spans="2:12" x14ac:dyDescent="0.3">
      <c r="B533" s="25">
        <v>534</v>
      </c>
      <c r="C533" s="33">
        <v>1513</v>
      </c>
      <c r="D533" s="33" t="s">
        <v>548</v>
      </c>
      <c r="E533" s="35">
        <v>44321</v>
      </c>
      <c r="F533" s="33">
        <v>2</v>
      </c>
      <c r="G533" s="33" t="s">
        <v>122</v>
      </c>
      <c r="H533" s="33" t="s">
        <v>201</v>
      </c>
      <c r="I533" s="33" t="s">
        <v>196</v>
      </c>
      <c r="J533" s="34">
        <v>1163.25</v>
      </c>
      <c r="K533" s="34"/>
      <c r="L533" s="34">
        <v>1163.25</v>
      </c>
    </row>
    <row r="534" spans="2:12" x14ac:dyDescent="0.3">
      <c r="B534" s="25">
        <v>535</v>
      </c>
      <c r="C534" s="33">
        <v>1516</v>
      </c>
      <c r="D534" s="33" t="s">
        <v>549</v>
      </c>
      <c r="E534" s="35">
        <v>44321</v>
      </c>
      <c r="F534" s="33">
        <v>2</v>
      </c>
      <c r="G534" s="33" t="s">
        <v>231</v>
      </c>
      <c r="H534" s="33" t="s">
        <v>201</v>
      </c>
      <c r="I534" s="33" t="s">
        <v>198</v>
      </c>
      <c r="J534" s="34">
        <v>6827.52</v>
      </c>
      <c r="K534" s="34"/>
      <c r="L534" s="34">
        <v>6827.52</v>
      </c>
    </row>
    <row r="535" spans="2:12" x14ac:dyDescent="0.3">
      <c r="B535" s="25">
        <v>536</v>
      </c>
      <c r="C535" s="33">
        <v>1626</v>
      </c>
      <c r="D535" s="33" t="s">
        <v>550</v>
      </c>
      <c r="E535" s="35">
        <v>44328</v>
      </c>
      <c r="F535" s="33">
        <v>2</v>
      </c>
      <c r="G535" s="33" t="s">
        <v>124</v>
      </c>
      <c r="H535" s="33" t="s">
        <v>201</v>
      </c>
      <c r="I535" s="33" t="s">
        <v>197</v>
      </c>
      <c r="J535" s="34">
        <v>1622.4</v>
      </c>
      <c r="K535" s="34"/>
      <c r="L535" s="34">
        <v>1622.4</v>
      </c>
    </row>
    <row r="536" spans="2:12" x14ac:dyDescent="0.3">
      <c r="B536" s="25">
        <v>537</v>
      </c>
      <c r="C536" s="33">
        <v>1629</v>
      </c>
      <c r="D536" s="33" t="s">
        <v>551</v>
      </c>
      <c r="E536" s="35">
        <v>44328</v>
      </c>
      <c r="F536" s="33">
        <v>2</v>
      </c>
      <c r="G536" s="33" t="s">
        <v>231</v>
      </c>
      <c r="H536" s="33" t="s">
        <v>201</v>
      </c>
      <c r="I536" s="33" t="s">
        <v>198</v>
      </c>
      <c r="J536" s="34">
        <v>5692.36</v>
      </c>
      <c r="K536" s="34"/>
      <c r="L536" s="34">
        <v>5692.36</v>
      </c>
    </row>
    <row r="537" spans="2:12" x14ac:dyDescent="0.3">
      <c r="B537" s="25">
        <v>538</v>
      </c>
      <c r="C537" s="33">
        <v>1631</v>
      </c>
      <c r="D537" s="33" t="s">
        <v>552</v>
      </c>
      <c r="E537" s="35">
        <v>44328</v>
      </c>
      <c r="F537" s="33">
        <v>2</v>
      </c>
      <c r="G537" s="33" t="s">
        <v>122</v>
      </c>
      <c r="H537" s="33" t="s">
        <v>201</v>
      </c>
      <c r="I537" s="33" t="s">
        <v>196</v>
      </c>
      <c r="J537" s="34">
        <v>3335.2</v>
      </c>
      <c r="K537" s="34"/>
      <c r="L537" s="34">
        <v>3335.2</v>
      </c>
    </row>
    <row r="538" spans="2:12" x14ac:dyDescent="0.3">
      <c r="B538" s="25">
        <v>539</v>
      </c>
      <c r="C538" s="33">
        <v>1632</v>
      </c>
      <c r="D538" s="33" t="s">
        <v>553</v>
      </c>
      <c r="E538" s="35">
        <v>44328</v>
      </c>
      <c r="F538" s="33">
        <v>2</v>
      </c>
      <c r="G538" s="33" t="s">
        <v>122</v>
      </c>
      <c r="H538" s="33" t="s">
        <v>201</v>
      </c>
      <c r="I538" s="33" t="s">
        <v>196</v>
      </c>
      <c r="J538" s="34">
        <v>1008</v>
      </c>
      <c r="K538" s="34"/>
      <c r="L538" s="34">
        <v>1008</v>
      </c>
    </row>
    <row r="539" spans="2:12" x14ac:dyDescent="0.3">
      <c r="B539" s="25">
        <v>540</v>
      </c>
      <c r="C539" s="33">
        <v>1160</v>
      </c>
      <c r="D539" s="33" t="s">
        <v>362</v>
      </c>
      <c r="E539" s="35">
        <v>44301</v>
      </c>
      <c r="F539" s="33">
        <v>2</v>
      </c>
      <c r="G539" s="33" t="s">
        <v>124</v>
      </c>
      <c r="H539" s="33" t="s">
        <v>201</v>
      </c>
      <c r="I539" s="33" t="s">
        <v>197</v>
      </c>
      <c r="J539" s="34">
        <v>11320.95</v>
      </c>
      <c r="K539" s="34"/>
      <c r="L539" s="34">
        <v>11320.95</v>
      </c>
    </row>
    <row r="540" spans="2:12" x14ac:dyDescent="0.3">
      <c r="B540" s="25">
        <v>541</v>
      </c>
      <c r="C540" s="33">
        <v>1633</v>
      </c>
      <c r="D540" s="33" t="s">
        <v>362</v>
      </c>
      <c r="E540" s="35">
        <v>44328</v>
      </c>
      <c r="F540" s="33">
        <v>2</v>
      </c>
      <c r="G540" s="33" t="s">
        <v>124</v>
      </c>
      <c r="H540" s="33" t="s">
        <v>201</v>
      </c>
      <c r="I540" s="33" t="s">
        <v>197</v>
      </c>
      <c r="J540" s="34">
        <v>277.69</v>
      </c>
      <c r="K540" s="34"/>
      <c r="L540" s="34">
        <v>277.69</v>
      </c>
    </row>
    <row r="541" spans="2:12" x14ac:dyDescent="0.3">
      <c r="B541" s="25">
        <v>542</v>
      </c>
      <c r="C541" s="33">
        <v>1776</v>
      </c>
      <c r="D541" s="33" t="s">
        <v>554</v>
      </c>
      <c r="E541" s="35">
        <v>44335</v>
      </c>
      <c r="F541" s="33">
        <v>2</v>
      </c>
      <c r="G541" s="33" t="s">
        <v>124</v>
      </c>
      <c r="H541" s="33" t="s">
        <v>201</v>
      </c>
      <c r="I541" s="33" t="s">
        <v>197</v>
      </c>
      <c r="J541" s="34">
        <v>1062.5999999999999</v>
      </c>
      <c r="K541" s="34"/>
      <c r="L541" s="34">
        <v>1062.5999999999999</v>
      </c>
    </row>
    <row r="542" spans="2:12" x14ac:dyDescent="0.3">
      <c r="B542" s="25">
        <v>543</v>
      </c>
      <c r="C542" s="33">
        <v>1783</v>
      </c>
      <c r="D542" s="33" t="s">
        <v>555</v>
      </c>
      <c r="E542" s="35">
        <v>44335</v>
      </c>
      <c r="F542" s="33">
        <v>2</v>
      </c>
      <c r="G542" s="33" t="s">
        <v>231</v>
      </c>
      <c r="H542" s="33" t="s">
        <v>201</v>
      </c>
      <c r="I542" s="33" t="s">
        <v>198</v>
      </c>
      <c r="J542" s="34">
        <v>1740.2</v>
      </c>
      <c r="K542" s="34"/>
      <c r="L542" s="34">
        <v>1740.2</v>
      </c>
    </row>
    <row r="543" spans="2:12" x14ac:dyDescent="0.3">
      <c r="B543" s="25">
        <v>544</v>
      </c>
      <c r="C543" s="33">
        <v>1786</v>
      </c>
      <c r="D543" s="33" t="s">
        <v>473</v>
      </c>
      <c r="E543" s="35">
        <v>44335</v>
      </c>
      <c r="F543" s="33">
        <v>2</v>
      </c>
      <c r="G543" s="33" t="s">
        <v>122</v>
      </c>
      <c r="H543" s="33" t="s">
        <v>201</v>
      </c>
      <c r="I543" s="33" t="s">
        <v>196</v>
      </c>
      <c r="J543" s="34">
        <v>223.11</v>
      </c>
      <c r="K543" s="34"/>
      <c r="L543" s="34">
        <v>223.11</v>
      </c>
    </row>
    <row r="544" spans="2:12" x14ac:dyDescent="0.3">
      <c r="B544" s="25">
        <v>545</v>
      </c>
      <c r="C544" s="33">
        <v>1788</v>
      </c>
      <c r="D544" s="33" t="s">
        <v>556</v>
      </c>
      <c r="E544" s="35">
        <v>44335</v>
      </c>
      <c r="F544" s="33">
        <v>2</v>
      </c>
      <c r="G544" s="33" t="s">
        <v>124</v>
      </c>
      <c r="H544" s="33" t="s">
        <v>201</v>
      </c>
      <c r="I544" s="33" t="s">
        <v>197</v>
      </c>
      <c r="J544" s="34">
        <v>1918.84</v>
      </c>
      <c r="K544" s="34"/>
      <c r="L544" s="34">
        <v>1918.84</v>
      </c>
    </row>
    <row r="545" spans="2:12" x14ac:dyDescent="0.3">
      <c r="B545" s="25">
        <v>546</v>
      </c>
      <c r="C545" s="33">
        <v>1790</v>
      </c>
      <c r="D545" s="33" t="s">
        <v>557</v>
      </c>
      <c r="E545" s="35">
        <v>44335</v>
      </c>
      <c r="F545" s="33">
        <v>2</v>
      </c>
      <c r="G545" s="33" t="s">
        <v>124</v>
      </c>
      <c r="H545" s="33" t="s">
        <v>201</v>
      </c>
      <c r="I545" s="33" t="s">
        <v>197</v>
      </c>
      <c r="J545" s="34">
        <v>3704.4</v>
      </c>
      <c r="K545" s="34"/>
      <c r="L545" s="34">
        <v>3704.4</v>
      </c>
    </row>
    <row r="546" spans="2:12" x14ac:dyDescent="0.3">
      <c r="B546" s="25">
        <v>547</v>
      </c>
      <c r="C546" s="33">
        <v>1792</v>
      </c>
      <c r="D546" s="33" t="s">
        <v>442</v>
      </c>
      <c r="E546" s="35">
        <v>44335</v>
      </c>
      <c r="F546" s="33">
        <v>2</v>
      </c>
      <c r="G546" s="33" t="s">
        <v>122</v>
      </c>
      <c r="H546" s="33" t="s">
        <v>201</v>
      </c>
      <c r="I546" s="33" t="s">
        <v>196</v>
      </c>
      <c r="J546" s="34">
        <v>3279</v>
      </c>
      <c r="K546" s="34"/>
      <c r="L546" s="34">
        <v>3279</v>
      </c>
    </row>
    <row r="547" spans="2:12" x14ac:dyDescent="0.3">
      <c r="B547" s="25">
        <v>548</v>
      </c>
      <c r="C547" s="33">
        <v>1892</v>
      </c>
      <c r="D547" s="33" t="s">
        <v>558</v>
      </c>
      <c r="E547" s="35">
        <v>44341</v>
      </c>
      <c r="F547" s="33">
        <v>2</v>
      </c>
      <c r="G547" s="33" t="s">
        <v>124</v>
      </c>
      <c r="H547" s="33" t="s">
        <v>201</v>
      </c>
      <c r="I547" s="33" t="s">
        <v>197</v>
      </c>
      <c r="J547" s="34">
        <v>78.25</v>
      </c>
      <c r="K547" s="34">
        <v>48</v>
      </c>
      <c r="L547" s="34">
        <v>30.25</v>
      </c>
    </row>
    <row r="548" spans="2:12" x14ac:dyDescent="0.3">
      <c r="B548" s="25">
        <v>549</v>
      </c>
      <c r="C548" s="33">
        <v>1920</v>
      </c>
      <c r="D548" s="33" t="s">
        <v>551</v>
      </c>
      <c r="E548" s="35">
        <v>44342</v>
      </c>
      <c r="F548" s="33">
        <v>2</v>
      </c>
      <c r="G548" s="33" t="s">
        <v>231</v>
      </c>
      <c r="H548" s="33" t="s">
        <v>201</v>
      </c>
      <c r="I548" s="33" t="s">
        <v>198</v>
      </c>
      <c r="J548" s="34">
        <v>914.14</v>
      </c>
      <c r="K548" s="34"/>
      <c r="L548" s="34">
        <v>914.14</v>
      </c>
    </row>
    <row r="549" spans="2:12" x14ac:dyDescent="0.3">
      <c r="B549" s="25">
        <v>550</v>
      </c>
      <c r="C549" s="33">
        <v>1922</v>
      </c>
      <c r="D549" s="33" t="s">
        <v>559</v>
      </c>
      <c r="E549" s="35">
        <v>44342</v>
      </c>
      <c r="F549" s="33">
        <v>2</v>
      </c>
      <c r="G549" s="33" t="s">
        <v>124</v>
      </c>
      <c r="H549" s="33" t="s">
        <v>201</v>
      </c>
      <c r="I549" s="33" t="s">
        <v>197</v>
      </c>
      <c r="J549" s="34">
        <v>1251</v>
      </c>
      <c r="K549" s="34"/>
      <c r="L549" s="34">
        <v>1251</v>
      </c>
    </row>
    <row r="550" spans="2:12" x14ac:dyDescent="0.3">
      <c r="B550" s="25">
        <v>551</v>
      </c>
      <c r="C550" s="33">
        <v>1923</v>
      </c>
      <c r="D550" s="33" t="s">
        <v>560</v>
      </c>
      <c r="E550" s="35">
        <v>44342</v>
      </c>
      <c r="F550" s="33">
        <v>2</v>
      </c>
      <c r="G550" s="33" t="s">
        <v>122</v>
      </c>
      <c r="H550" s="33" t="s">
        <v>201</v>
      </c>
      <c r="I550" s="33" t="s">
        <v>196</v>
      </c>
      <c r="J550" s="34">
        <v>795.68</v>
      </c>
      <c r="K550" s="34"/>
      <c r="L550" s="34">
        <v>795.68</v>
      </c>
    </row>
    <row r="551" spans="2:12" x14ac:dyDescent="0.3">
      <c r="B551" s="25">
        <v>552</v>
      </c>
      <c r="C551" s="33">
        <v>1924</v>
      </c>
      <c r="D551" s="33" t="s">
        <v>401</v>
      </c>
      <c r="E551" s="35">
        <v>44342</v>
      </c>
      <c r="F551" s="33">
        <v>2</v>
      </c>
      <c r="G551" s="33" t="s">
        <v>231</v>
      </c>
      <c r="H551" s="33" t="s">
        <v>201</v>
      </c>
      <c r="I551" s="33" t="s">
        <v>198</v>
      </c>
      <c r="J551" s="34">
        <v>197.12</v>
      </c>
      <c r="K551" s="34"/>
      <c r="L551" s="34">
        <v>197.12</v>
      </c>
    </row>
    <row r="552" spans="2:12" x14ac:dyDescent="0.3">
      <c r="B552" s="25">
        <v>553</v>
      </c>
      <c r="C552" s="33">
        <v>1791</v>
      </c>
      <c r="D552" s="33" t="s">
        <v>401</v>
      </c>
      <c r="E552" s="35">
        <v>44335</v>
      </c>
      <c r="F552" s="33">
        <v>2</v>
      </c>
      <c r="G552" s="33" t="s">
        <v>231</v>
      </c>
      <c r="H552" s="33" t="s">
        <v>201</v>
      </c>
      <c r="I552" s="33" t="s">
        <v>198</v>
      </c>
      <c r="J552" s="34">
        <v>7778.76</v>
      </c>
      <c r="K552" s="34"/>
      <c r="L552" s="34">
        <v>7778.76</v>
      </c>
    </row>
    <row r="553" spans="2:12" x14ac:dyDescent="0.3">
      <c r="B553" s="25">
        <v>554</v>
      </c>
      <c r="C553" s="33">
        <v>2106</v>
      </c>
      <c r="D553" s="33" t="s">
        <v>473</v>
      </c>
      <c r="E553" s="35">
        <v>44350</v>
      </c>
      <c r="F553" s="33">
        <v>2</v>
      </c>
      <c r="G553" s="33" t="s">
        <v>122</v>
      </c>
      <c r="H553" s="33" t="s">
        <v>201</v>
      </c>
      <c r="I553" s="33" t="s">
        <v>196</v>
      </c>
      <c r="J553" s="34">
        <v>4083.08</v>
      </c>
      <c r="K553" s="34"/>
      <c r="L553" s="34">
        <v>4083.08</v>
      </c>
    </row>
    <row r="554" spans="2:12" x14ac:dyDescent="0.3">
      <c r="B554" s="25">
        <v>555</v>
      </c>
      <c r="C554" s="33">
        <v>2100</v>
      </c>
      <c r="D554" s="33" t="s">
        <v>561</v>
      </c>
      <c r="E554" s="35">
        <v>44350</v>
      </c>
      <c r="F554" s="33">
        <v>2</v>
      </c>
      <c r="G554" s="33" t="s">
        <v>124</v>
      </c>
      <c r="H554" s="33" t="s">
        <v>201</v>
      </c>
      <c r="I554" s="33" t="s">
        <v>197</v>
      </c>
      <c r="J554" s="34">
        <v>1908.5</v>
      </c>
      <c r="K554" s="34"/>
      <c r="L554" s="34">
        <v>1908.5</v>
      </c>
    </row>
    <row r="555" spans="2:12" x14ac:dyDescent="0.3">
      <c r="B555" s="25">
        <v>556</v>
      </c>
      <c r="C555" s="33">
        <v>2124</v>
      </c>
      <c r="D555" s="33" t="s">
        <v>362</v>
      </c>
      <c r="E555" s="35">
        <v>44350</v>
      </c>
      <c r="F555" s="33">
        <v>2</v>
      </c>
      <c r="G555" s="33" t="s">
        <v>124</v>
      </c>
      <c r="H555" s="33" t="s">
        <v>201</v>
      </c>
      <c r="I555" s="33" t="s">
        <v>197</v>
      </c>
      <c r="J555" s="34">
        <v>1670.68</v>
      </c>
      <c r="K555" s="34"/>
      <c r="L555" s="34">
        <v>1670.68</v>
      </c>
    </row>
    <row r="556" spans="2:12" x14ac:dyDescent="0.3">
      <c r="B556" s="25">
        <v>557</v>
      </c>
      <c r="C556" s="33">
        <v>2312</v>
      </c>
      <c r="D556" s="33" t="s">
        <v>473</v>
      </c>
      <c r="E556" s="35">
        <v>44356</v>
      </c>
      <c r="F556" s="33">
        <v>2</v>
      </c>
      <c r="G556" s="33" t="s">
        <v>122</v>
      </c>
      <c r="H556" s="33" t="s">
        <v>201</v>
      </c>
      <c r="I556" s="33" t="s">
        <v>196</v>
      </c>
      <c r="J556" s="34">
        <v>1395.79</v>
      </c>
      <c r="K556" s="34"/>
      <c r="L556" s="34">
        <v>1395.79</v>
      </c>
    </row>
    <row r="557" spans="2:12" x14ac:dyDescent="0.3">
      <c r="B557" s="25">
        <v>558</v>
      </c>
      <c r="C557" s="33">
        <v>2313</v>
      </c>
      <c r="D557" s="33" t="s">
        <v>473</v>
      </c>
      <c r="E557" s="35">
        <v>44356</v>
      </c>
      <c r="F557" s="33">
        <v>2</v>
      </c>
      <c r="G557" s="33" t="s">
        <v>122</v>
      </c>
      <c r="H557" s="33" t="s">
        <v>201</v>
      </c>
      <c r="I557" s="33" t="s">
        <v>196</v>
      </c>
      <c r="J557" s="34">
        <v>2165.66</v>
      </c>
      <c r="K557" s="34"/>
      <c r="L557" s="34">
        <v>2165.66</v>
      </c>
    </row>
    <row r="558" spans="2:12" x14ac:dyDescent="0.3">
      <c r="B558" s="25">
        <v>559</v>
      </c>
      <c r="C558" s="33">
        <v>2315</v>
      </c>
      <c r="D558" s="33" t="s">
        <v>556</v>
      </c>
      <c r="E558" s="35">
        <v>44356</v>
      </c>
      <c r="F558" s="33">
        <v>2</v>
      </c>
      <c r="G558" s="33" t="s">
        <v>124</v>
      </c>
      <c r="H558" s="33" t="s">
        <v>201</v>
      </c>
      <c r="I558" s="33" t="s">
        <v>197</v>
      </c>
      <c r="J558" s="34">
        <v>1714.02</v>
      </c>
      <c r="K558" s="34"/>
      <c r="L558" s="34">
        <v>1714.02</v>
      </c>
    </row>
    <row r="559" spans="2:12" x14ac:dyDescent="0.3">
      <c r="B559" s="25">
        <v>560</v>
      </c>
      <c r="C559" s="33">
        <v>2316</v>
      </c>
      <c r="D559" s="33" t="s">
        <v>558</v>
      </c>
      <c r="E559" s="35">
        <v>44356</v>
      </c>
      <c r="F559" s="33">
        <v>2</v>
      </c>
      <c r="G559" s="33" t="s">
        <v>124</v>
      </c>
      <c r="H559" s="33" t="s">
        <v>201</v>
      </c>
      <c r="I559" s="33" t="s">
        <v>197</v>
      </c>
      <c r="J559" s="34">
        <v>1986.75</v>
      </c>
      <c r="K559" s="34">
        <v>56.25</v>
      </c>
      <c r="L559" s="34">
        <v>1930.5</v>
      </c>
    </row>
    <row r="560" spans="2:12" x14ac:dyDescent="0.3">
      <c r="B560" s="25">
        <v>561</v>
      </c>
      <c r="C560" s="33">
        <v>2317</v>
      </c>
      <c r="D560" s="33" t="s">
        <v>562</v>
      </c>
      <c r="E560" s="35">
        <v>44356</v>
      </c>
      <c r="F560" s="33">
        <v>2</v>
      </c>
      <c r="G560" s="33" t="s">
        <v>122</v>
      </c>
      <c r="H560" s="33" t="s">
        <v>201</v>
      </c>
      <c r="I560" s="33" t="s">
        <v>196</v>
      </c>
      <c r="J560" s="34">
        <v>1558.8</v>
      </c>
      <c r="K560" s="34"/>
      <c r="L560" s="34">
        <v>1558.8</v>
      </c>
    </row>
    <row r="561" spans="2:12" x14ac:dyDescent="0.3">
      <c r="B561" s="25">
        <v>562</v>
      </c>
      <c r="C561" s="33">
        <v>2318</v>
      </c>
      <c r="D561" s="33" t="s">
        <v>403</v>
      </c>
      <c r="E561" s="35">
        <v>44356</v>
      </c>
      <c r="F561" s="33">
        <v>2</v>
      </c>
      <c r="G561" s="33" t="s">
        <v>122</v>
      </c>
      <c r="H561" s="33" t="s">
        <v>201</v>
      </c>
      <c r="I561" s="33" t="s">
        <v>196</v>
      </c>
      <c r="J561" s="34">
        <v>2460</v>
      </c>
      <c r="K561" s="34"/>
      <c r="L561" s="34">
        <v>2460</v>
      </c>
    </row>
    <row r="562" spans="2:12" x14ac:dyDescent="0.3">
      <c r="B562" s="25">
        <v>563</v>
      </c>
      <c r="C562" s="33">
        <v>2454</v>
      </c>
      <c r="D562" s="33" t="s">
        <v>394</v>
      </c>
      <c r="E562" s="35">
        <v>44363</v>
      </c>
      <c r="F562" s="33">
        <v>2</v>
      </c>
      <c r="G562" s="33" t="s">
        <v>122</v>
      </c>
      <c r="H562" s="33" t="s">
        <v>201</v>
      </c>
      <c r="I562" s="33" t="s">
        <v>196</v>
      </c>
      <c r="J562" s="34">
        <v>5821.75</v>
      </c>
      <c r="K562" s="34"/>
      <c r="L562" s="34">
        <v>5821.75</v>
      </c>
    </row>
    <row r="563" spans="2:12" x14ac:dyDescent="0.3">
      <c r="B563" s="25">
        <v>564</v>
      </c>
      <c r="C563" s="33">
        <v>2455</v>
      </c>
      <c r="D563" s="33" t="s">
        <v>563</v>
      </c>
      <c r="E563" s="35">
        <v>44363</v>
      </c>
      <c r="F563" s="33">
        <v>2</v>
      </c>
      <c r="G563" s="33" t="s">
        <v>124</v>
      </c>
      <c r="H563" s="33" t="s">
        <v>201</v>
      </c>
      <c r="I563" s="33" t="s">
        <v>197</v>
      </c>
      <c r="J563" s="34">
        <v>1218.1400000000001</v>
      </c>
      <c r="K563" s="34"/>
      <c r="L563" s="34">
        <v>1218.1400000000001</v>
      </c>
    </row>
    <row r="564" spans="2:12" x14ac:dyDescent="0.3">
      <c r="B564" s="25">
        <v>565</v>
      </c>
      <c r="C564" s="33">
        <v>2457</v>
      </c>
      <c r="D564" s="33" t="s">
        <v>564</v>
      </c>
      <c r="E564" s="35">
        <v>44363</v>
      </c>
      <c r="F564" s="33">
        <v>2</v>
      </c>
      <c r="G564" s="33" t="s">
        <v>124</v>
      </c>
      <c r="H564" s="33" t="s">
        <v>201</v>
      </c>
      <c r="I564" s="33" t="s">
        <v>197</v>
      </c>
      <c r="J564" s="34">
        <v>5593.06</v>
      </c>
      <c r="K564" s="34"/>
      <c r="L564" s="34">
        <v>5593.06</v>
      </c>
    </row>
    <row r="565" spans="2:12" x14ac:dyDescent="0.3">
      <c r="B565" s="25">
        <v>566</v>
      </c>
      <c r="C565" s="33">
        <v>2459</v>
      </c>
      <c r="D565" s="33" t="s">
        <v>565</v>
      </c>
      <c r="E565" s="35">
        <v>44363</v>
      </c>
      <c r="F565" s="33">
        <v>2</v>
      </c>
      <c r="G565" s="33" t="s">
        <v>124</v>
      </c>
      <c r="H565" s="33" t="s">
        <v>201</v>
      </c>
      <c r="I565" s="33" t="s">
        <v>197</v>
      </c>
      <c r="J565" s="34">
        <v>3012.9</v>
      </c>
      <c r="K565" s="34"/>
      <c r="L565" s="34">
        <v>3012.9</v>
      </c>
    </row>
    <row r="566" spans="2:12" x14ac:dyDescent="0.3">
      <c r="B566" s="25">
        <v>567</v>
      </c>
      <c r="C566" s="33">
        <v>2515</v>
      </c>
      <c r="D566" s="33" t="s">
        <v>565</v>
      </c>
      <c r="E566" s="35">
        <v>44364</v>
      </c>
      <c r="F566" s="33">
        <v>2</v>
      </c>
      <c r="G566" s="33" t="s">
        <v>124</v>
      </c>
      <c r="H566" s="33" t="s">
        <v>201</v>
      </c>
      <c r="I566" s="33" t="s">
        <v>197</v>
      </c>
      <c r="J566" s="34">
        <v>1597.2</v>
      </c>
      <c r="K566" s="34"/>
      <c r="L566" s="34">
        <v>1597.2</v>
      </c>
    </row>
    <row r="567" spans="2:12" x14ac:dyDescent="0.3">
      <c r="B567" s="25">
        <v>568</v>
      </c>
      <c r="C567" s="33">
        <v>2521</v>
      </c>
      <c r="D567" s="33" t="s">
        <v>403</v>
      </c>
      <c r="E567" s="35">
        <v>44364</v>
      </c>
      <c r="F567" s="33">
        <v>2</v>
      </c>
      <c r="G567" s="33" t="s">
        <v>122</v>
      </c>
      <c r="H567" s="33" t="s">
        <v>201</v>
      </c>
      <c r="I567" s="33" t="s">
        <v>196</v>
      </c>
      <c r="J567" s="34">
        <v>2358</v>
      </c>
      <c r="K567" s="34"/>
      <c r="L567" s="34">
        <v>2358</v>
      </c>
    </row>
    <row r="568" spans="2:12" x14ac:dyDescent="0.3">
      <c r="B568" s="25">
        <v>569</v>
      </c>
      <c r="C568" s="33">
        <v>2643</v>
      </c>
      <c r="D568" s="33" t="s">
        <v>554</v>
      </c>
      <c r="E568" s="35">
        <v>44370</v>
      </c>
      <c r="F568" s="33">
        <v>2</v>
      </c>
      <c r="G568" s="33" t="s">
        <v>124</v>
      </c>
      <c r="H568" s="33" t="s">
        <v>201</v>
      </c>
      <c r="I568" s="33" t="s">
        <v>197</v>
      </c>
      <c r="J568" s="34">
        <v>1061.5</v>
      </c>
      <c r="K568" s="34"/>
      <c r="L568" s="34">
        <v>1061.5</v>
      </c>
    </row>
    <row r="569" spans="2:12" x14ac:dyDescent="0.3">
      <c r="B569" s="25">
        <v>570</v>
      </c>
      <c r="C569" s="33">
        <v>2647</v>
      </c>
      <c r="D569" s="33" t="s">
        <v>565</v>
      </c>
      <c r="E569" s="35">
        <v>44370</v>
      </c>
      <c r="F569" s="33">
        <v>2</v>
      </c>
      <c r="G569" s="33" t="s">
        <v>124</v>
      </c>
      <c r="H569" s="33" t="s">
        <v>201</v>
      </c>
      <c r="I569" s="33" t="s">
        <v>197</v>
      </c>
      <c r="J569" s="34">
        <v>2270.4</v>
      </c>
      <c r="K569" s="34"/>
      <c r="L569" s="34">
        <v>2270.4</v>
      </c>
    </row>
    <row r="570" spans="2:12" x14ac:dyDescent="0.3">
      <c r="B570" s="25">
        <v>571</v>
      </c>
      <c r="C570" s="33">
        <v>2648</v>
      </c>
      <c r="D570" s="33" t="s">
        <v>566</v>
      </c>
      <c r="E570" s="35">
        <v>44370</v>
      </c>
      <c r="F570" s="33">
        <v>2</v>
      </c>
      <c r="G570" s="33" t="s">
        <v>122</v>
      </c>
      <c r="H570" s="33" t="s">
        <v>201</v>
      </c>
      <c r="I570" s="33" t="s">
        <v>196</v>
      </c>
      <c r="J570" s="34">
        <v>3048.58</v>
      </c>
      <c r="K570" s="34"/>
      <c r="L570" s="34">
        <v>3048.58</v>
      </c>
    </row>
    <row r="571" spans="2:12" x14ac:dyDescent="0.3">
      <c r="B571" s="25">
        <v>572</v>
      </c>
      <c r="C571" s="33">
        <v>2651</v>
      </c>
      <c r="D571" s="33" t="s">
        <v>567</v>
      </c>
      <c r="E571" s="35">
        <v>44370</v>
      </c>
      <c r="F571" s="33">
        <v>2</v>
      </c>
      <c r="G571" s="33" t="s">
        <v>124</v>
      </c>
      <c r="H571" s="33" t="s">
        <v>201</v>
      </c>
      <c r="I571" s="33" t="s">
        <v>197</v>
      </c>
      <c r="J571" s="34">
        <v>2313.19</v>
      </c>
      <c r="K571" s="34"/>
      <c r="L571" s="34">
        <v>2313.19</v>
      </c>
    </row>
    <row r="572" spans="2:12" x14ac:dyDescent="0.3">
      <c r="B572" s="25">
        <v>573</v>
      </c>
      <c r="C572" s="33">
        <v>2676</v>
      </c>
      <c r="D572" s="33" t="s">
        <v>568</v>
      </c>
      <c r="E572" s="35">
        <v>44371</v>
      </c>
      <c r="F572" s="33">
        <v>2</v>
      </c>
      <c r="G572" s="33" t="s">
        <v>124</v>
      </c>
      <c r="H572" s="33" t="s">
        <v>201</v>
      </c>
      <c r="I572" s="33" t="s">
        <v>197</v>
      </c>
      <c r="J572" s="34">
        <v>2894.4</v>
      </c>
      <c r="K572" s="34"/>
      <c r="L572" s="34">
        <v>2894.4</v>
      </c>
    </row>
    <row r="573" spans="2:12" x14ac:dyDescent="0.3">
      <c r="B573" s="25">
        <v>574</v>
      </c>
      <c r="C573" s="33">
        <v>2816</v>
      </c>
      <c r="D573" s="33" t="s">
        <v>566</v>
      </c>
      <c r="E573" s="35">
        <v>44377</v>
      </c>
      <c r="F573" s="33">
        <v>2</v>
      </c>
      <c r="G573" s="33" t="s">
        <v>124</v>
      </c>
      <c r="H573" s="33" t="s">
        <v>201</v>
      </c>
      <c r="I573" s="33" t="s">
        <v>197</v>
      </c>
      <c r="J573" s="34">
        <v>1848</v>
      </c>
      <c r="K573" s="34"/>
      <c r="L573" s="34">
        <v>1848</v>
      </c>
    </row>
    <row r="574" spans="2:12" x14ac:dyDescent="0.3">
      <c r="B574" s="25">
        <v>575</v>
      </c>
      <c r="C574" s="33" t="s">
        <v>569</v>
      </c>
      <c r="D574" s="33" t="s">
        <v>570</v>
      </c>
      <c r="E574" s="35">
        <v>44377</v>
      </c>
      <c r="F574" s="33">
        <v>2</v>
      </c>
      <c r="G574" s="33" t="s">
        <v>231</v>
      </c>
      <c r="H574" s="33" t="s">
        <v>201</v>
      </c>
      <c r="I574" s="33" t="s">
        <v>198</v>
      </c>
      <c r="J574" s="34">
        <v>1087.9000000000001</v>
      </c>
      <c r="K574" s="34"/>
      <c r="L574" s="34">
        <v>1087.9000000000001</v>
      </c>
    </row>
    <row r="575" spans="2:12" x14ac:dyDescent="0.3">
      <c r="B575" s="25">
        <v>576</v>
      </c>
      <c r="C575" s="33">
        <v>2819</v>
      </c>
      <c r="D575" s="33" t="s">
        <v>571</v>
      </c>
      <c r="E575" s="35">
        <v>44377</v>
      </c>
      <c r="F575" s="33">
        <v>2</v>
      </c>
      <c r="G575" s="33" t="s">
        <v>124</v>
      </c>
      <c r="H575" s="33" t="s">
        <v>201</v>
      </c>
      <c r="I575" s="33" t="s">
        <v>197</v>
      </c>
      <c r="J575" s="34">
        <v>3298.9</v>
      </c>
      <c r="K575" s="34"/>
      <c r="L575" s="34">
        <v>3298.9</v>
      </c>
    </row>
    <row r="576" spans="2:12" x14ac:dyDescent="0.3">
      <c r="B576" s="25">
        <v>577</v>
      </c>
      <c r="C576" s="33">
        <v>2820</v>
      </c>
      <c r="D576" s="33" t="s">
        <v>572</v>
      </c>
      <c r="E576" s="35">
        <v>44377</v>
      </c>
      <c r="F576" s="33">
        <v>2</v>
      </c>
      <c r="G576" s="33" t="s">
        <v>231</v>
      </c>
      <c r="H576" s="33" t="s">
        <v>201</v>
      </c>
      <c r="I576" s="33" t="s">
        <v>198</v>
      </c>
      <c r="J576" s="34">
        <v>7584.25</v>
      </c>
      <c r="K576" s="34"/>
      <c r="L576" s="34">
        <v>7584.25</v>
      </c>
    </row>
    <row r="577" spans="2:12" x14ac:dyDescent="0.3">
      <c r="B577" s="25">
        <v>578</v>
      </c>
      <c r="C577" s="33">
        <v>2953</v>
      </c>
      <c r="D577" s="33" t="s">
        <v>573</v>
      </c>
      <c r="E577" s="35">
        <v>44384</v>
      </c>
      <c r="F577" s="33">
        <v>3</v>
      </c>
      <c r="G577" s="33" t="s">
        <v>124</v>
      </c>
      <c r="H577" s="33" t="s">
        <v>201</v>
      </c>
      <c r="I577" s="33" t="s">
        <v>197</v>
      </c>
      <c r="J577" s="34">
        <v>2170.7399999999998</v>
      </c>
      <c r="K577" s="34"/>
      <c r="L577" s="34">
        <v>2170.7399999999998</v>
      </c>
    </row>
    <row r="578" spans="2:12" x14ac:dyDescent="0.3">
      <c r="B578" s="25">
        <v>579</v>
      </c>
      <c r="C578" s="33">
        <v>2954</v>
      </c>
      <c r="D578" s="33" t="s">
        <v>574</v>
      </c>
      <c r="E578" s="35">
        <v>44384</v>
      </c>
      <c r="F578" s="33">
        <v>3</v>
      </c>
      <c r="G578" s="33" t="s">
        <v>124</v>
      </c>
      <c r="H578" s="33" t="s">
        <v>201</v>
      </c>
      <c r="I578" s="33" t="s">
        <v>197</v>
      </c>
      <c r="J578" s="34">
        <v>748.8</v>
      </c>
      <c r="K578" s="34">
        <v>80</v>
      </c>
      <c r="L578" s="34">
        <v>668.8</v>
      </c>
    </row>
    <row r="579" spans="2:12" x14ac:dyDescent="0.3">
      <c r="B579" s="25">
        <v>580</v>
      </c>
      <c r="C579" s="33">
        <v>2955</v>
      </c>
      <c r="D579" s="33" t="s">
        <v>473</v>
      </c>
      <c r="E579" s="35">
        <v>44384</v>
      </c>
      <c r="F579" s="33">
        <v>3</v>
      </c>
      <c r="G579" s="33" t="s">
        <v>122</v>
      </c>
      <c r="H579" s="33" t="s">
        <v>201</v>
      </c>
      <c r="I579" s="33" t="s">
        <v>196</v>
      </c>
      <c r="J579" s="34">
        <v>668.8</v>
      </c>
      <c r="K579" s="34"/>
      <c r="L579" s="34">
        <v>668.8</v>
      </c>
    </row>
    <row r="580" spans="2:12" x14ac:dyDescent="0.3">
      <c r="B580" s="25">
        <v>581</v>
      </c>
      <c r="C580" s="33">
        <v>2956</v>
      </c>
      <c r="D580" s="33" t="s">
        <v>473</v>
      </c>
      <c r="E580" s="35">
        <v>44384</v>
      </c>
      <c r="F580" s="33">
        <v>3</v>
      </c>
      <c r="G580" s="33" t="s">
        <v>122</v>
      </c>
      <c r="H580" s="33" t="s">
        <v>201</v>
      </c>
      <c r="I580" s="33" t="s">
        <v>196</v>
      </c>
      <c r="J580" s="34">
        <v>712.69</v>
      </c>
      <c r="K580" s="34"/>
      <c r="L580" s="34">
        <v>712.69</v>
      </c>
    </row>
    <row r="581" spans="2:12" x14ac:dyDescent="0.3">
      <c r="B581" s="25">
        <v>582</v>
      </c>
      <c r="C581" s="33">
        <v>2960</v>
      </c>
      <c r="D581" s="33" t="s">
        <v>575</v>
      </c>
      <c r="E581" s="35">
        <v>44384</v>
      </c>
      <c r="F581" s="33">
        <v>3</v>
      </c>
      <c r="G581" s="33" t="s">
        <v>122</v>
      </c>
      <c r="H581" s="33" t="s">
        <v>201</v>
      </c>
      <c r="I581" s="33" t="s">
        <v>196</v>
      </c>
      <c r="J581" s="34">
        <v>3618</v>
      </c>
      <c r="K581" s="34"/>
      <c r="L581" s="34">
        <v>3618</v>
      </c>
    </row>
    <row r="582" spans="2:12" x14ac:dyDescent="0.3">
      <c r="B582" s="25">
        <v>583</v>
      </c>
      <c r="C582" s="33">
        <v>2961</v>
      </c>
      <c r="D582" s="33" t="s">
        <v>562</v>
      </c>
      <c r="E582" s="35">
        <v>44384</v>
      </c>
      <c r="F582" s="33">
        <v>3</v>
      </c>
      <c r="G582" s="33" t="s">
        <v>122</v>
      </c>
      <c r="H582" s="33" t="s">
        <v>201</v>
      </c>
      <c r="I582" s="33" t="s">
        <v>196</v>
      </c>
      <c r="J582" s="34">
        <v>2067</v>
      </c>
      <c r="K582" s="34"/>
      <c r="L582" s="34">
        <v>2067</v>
      </c>
    </row>
    <row r="583" spans="2:12" x14ac:dyDescent="0.3">
      <c r="B583" s="25">
        <v>584</v>
      </c>
      <c r="C583" s="33">
        <v>2822</v>
      </c>
      <c r="D583" s="33" t="s">
        <v>576</v>
      </c>
      <c r="E583" s="35">
        <v>44377</v>
      </c>
      <c r="F583" s="33">
        <v>2</v>
      </c>
      <c r="G583" s="33" t="s">
        <v>231</v>
      </c>
      <c r="H583" s="33" t="s">
        <v>201</v>
      </c>
      <c r="I583" s="33" t="s">
        <v>198</v>
      </c>
      <c r="J583" s="34">
        <v>12249</v>
      </c>
      <c r="K583" s="34"/>
      <c r="L583" s="34">
        <v>12249</v>
      </c>
    </row>
    <row r="584" spans="2:12" x14ac:dyDescent="0.3">
      <c r="B584" s="25">
        <v>585</v>
      </c>
      <c r="C584" s="33">
        <v>2965</v>
      </c>
      <c r="D584" s="33" t="s">
        <v>576</v>
      </c>
      <c r="E584" s="35">
        <v>44384</v>
      </c>
      <c r="F584" s="33">
        <v>3</v>
      </c>
      <c r="G584" s="33" t="s">
        <v>231</v>
      </c>
      <c r="H584" s="33" t="s">
        <v>201</v>
      </c>
      <c r="I584" s="33" t="s">
        <v>198</v>
      </c>
      <c r="J584" s="34">
        <v>904.8</v>
      </c>
      <c r="K584" s="34"/>
      <c r="L584" s="34">
        <v>904.8</v>
      </c>
    </row>
    <row r="585" spans="2:12" x14ac:dyDescent="0.3">
      <c r="B585" s="25">
        <v>586</v>
      </c>
      <c r="C585" s="33">
        <v>31250</v>
      </c>
      <c r="D585" s="33" t="s">
        <v>396</v>
      </c>
      <c r="E585" s="35">
        <v>44347</v>
      </c>
      <c r="F585" s="33">
        <v>2</v>
      </c>
      <c r="G585" s="33" t="s">
        <v>122</v>
      </c>
      <c r="H585" s="33" t="s">
        <v>72</v>
      </c>
      <c r="I585" s="33" t="s">
        <v>196</v>
      </c>
      <c r="J585" s="34">
        <v>218.9</v>
      </c>
      <c r="K585" s="34"/>
      <c r="L585" s="34">
        <v>218.9</v>
      </c>
    </row>
    <row r="586" spans="2:12" x14ac:dyDescent="0.3">
      <c r="B586" s="25">
        <v>587</v>
      </c>
      <c r="C586" s="33">
        <v>31251</v>
      </c>
      <c r="D586" s="33" t="s">
        <v>394</v>
      </c>
      <c r="E586" s="35">
        <v>44347</v>
      </c>
      <c r="F586" s="33">
        <v>2</v>
      </c>
      <c r="G586" s="33" t="s">
        <v>122</v>
      </c>
      <c r="H586" s="33" t="s">
        <v>72</v>
      </c>
      <c r="I586" s="33" t="s">
        <v>196</v>
      </c>
      <c r="J586" s="34">
        <v>5243.95</v>
      </c>
      <c r="K586" s="34"/>
      <c r="L586" s="34">
        <v>5243.95</v>
      </c>
    </row>
    <row r="587" spans="2:12" x14ac:dyDescent="0.3">
      <c r="B587" s="25">
        <v>588</v>
      </c>
      <c r="C587" s="33">
        <v>31523</v>
      </c>
      <c r="D587" s="33" t="s">
        <v>463</v>
      </c>
      <c r="E587" s="35">
        <v>44386</v>
      </c>
      <c r="F587" s="33">
        <v>3</v>
      </c>
      <c r="G587" s="33" t="s">
        <v>122</v>
      </c>
      <c r="H587" s="33" t="s">
        <v>72</v>
      </c>
      <c r="I587" s="33" t="s">
        <v>196</v>
      </c>
      <c r="J587" s="34">
        <v>1869</v>
      </c>
      <c r="K587" s="34">
        <v>100</v>
      </c>
      <c r="L587" s="34">
        <v>1769</v>
      </c>
    </row>
    <row r="588" spans="2:12" x14ac:dyDescent="0.3">
      <c r="B588" s="25">
        <v>589</v>
      </c>
      <c r="C588" s="33">
        <v>52081</v>
      </c>
      <c r="D588" s="33" t="s">
        <v>401</v>
      </c>
      <c r="E588" s="35">
        <v>44350</v>
      </c>
      <c r="F588" s="33">
        <v>2</v>
      </c>
      <c r="G588" s="33" t="s">
        <v>231</v>
      </c>
      <c r="H588" s="33">
        <v>53</v>
      </c>
      <c r="I588" s="33" t="s">
        <v>198</v>
      </c>
      <c r="J588" s="34">
        <v>1623</v>
      </c>
      <c r="K588" s="34"/>
      <c r="L588" s="34">
        <v>1623</v>
      </c>
    </row>
    <row r="589" spans="2:12" x14ac:dyDescent="0.3">
      <c r="B589" s="25">
        <v>590</v>
      </c>
      <c r="C589" s="33">
        <v>52096</v>
      </c>
      <c r="D589" s="33" t="s">
        <v>400</v>
      </c>
      <c r="E589" s="35">
        <v>44350</v>
      </c>
      <c r="F589" s="33">
        <v>2</v>
      </c>
      <c r="G589" s="33" t="s">
        <v>231</v>
      </c>
      <c r="H589" s="33" t="s">
        <v>73</v>
      </c>
      <c r="I589" s="33" t="s">
        <v>198</v>
      </c>
      <c r="J589" s="34">
        <v>270.14</v>
      </c>
      <c r="K589" s="34"/>
      <c r="L589" s="34">
        <v>270.14</v>
      </c>
    </row>
    <row r="590" spans="2:12" x14ac:dyDescent="0.3">
      <c r="B590" s="25">
        <v>591</v>
      </c>
      <c r="C590" s="33" t="s">
        <v>577</v>
      </c>
      <c r="D590" s="33" t="s">
        <v>401</v>
      </c>
      <c r="E590" s="35">
        <v>44350</v>
      </c>
      <c r="F590" s="33">
        <v>2</v>
      </c>
      <c r="G590" s="33" t="s">
        <v>231</v>
      </c>
      <c r="H590" s="33">
        <v>53</v>
      </c>
      <c r="I590" s="33" t="s">
        <v>198</v>
      </c>
      <c r="J590" s="34">
        <v>1623</v>
      </c>
      <c r="K590" s="34"/>
      <c r="L590" s="34">
        <v>1623</v>
      </c>
    </row>
    <row r="591" spans="2:12" x14ac:dyDescent="0.3">
      <c r="B591" s="25">
        <v>592</v>
      </c>
      <c r="C591" s="33" t="s">
        <v>578</v>
      </c>
      <c r="D591" s="33" t="s">
        <v>400</v>
      </c>
      <c r="E591" s="35">
        <v>44350</v>
      </c>
      <c r="F591" s="33">
        <v>2</v>
      </c>
      <c r="G591" s="33" t="s">
        <v>231</v>
      </c>
      <c r="H591" s="33" t="s">
        <v>73</v>
      </c>
      <c r="I591" s="33" t="s">
        <v>198</v>
      </c>
      <c r="J591" s="34">
        <v>270.14</v>
      </c>
      <c r="K591" s="34"/>
      <c r="L591" s="34">
        <v>270.14</v>
      </c>
    </row>
    <row r="592" spans="2:12" x14ac:dyDescent="0.3">
      <c r="B592" s="25">
        <v>593</v>
      </c>
      <c r="C592" s="33">
        <v>52097</v>
      </c>
      <c r="D592" s="33" t="s">
        <v>400</v>
      </c>
      <c r="E592" s="35">
        <v>44350</v>
      </c>
      <c r="F592" s="33">
        <v>2</v>
      </c>
      <c r="G592" s="33" t="s">
        <v>231</v>
      </c>
      <c r="H592" s="33">
        <v>53</v>
      </c>
      <c r="I592" s="33" t="s">
        <v>198</v>
      </c>
      <c r="J592" s="34">
        <v>10.67</v>
      </c>
      <c r="K592" s="34"/>
      <c r="L592" s="34">
        <v>10.67</v>
      </c>
    </row>
    <row r="593" spans="2:12" x14ac:dyDescent="0.3">
      <c r="B593" s="25">
        <v>594</v>
      </c>
      <c r="C593" s="33">
        <v>52098</v>
      </c>
      <c r="D593" s="33" t="s">
        <v>400</v>
      </c>
      <c r="E593" s="35">
        <v>44350</v>
      </c>
      <c r="F593" s="33">
        <v>2</v>
      </c>
      <c r="G593" s="33" t="s">
        <v>231</v>
      </c>
      <c r="H593" s="33">
        <v>53</v>
      </c>
      <c r="I593" s="33" t="s">
        <v>198</v>
      </c>
      <c r="J593" s="34">
        <v>512.14</v>
      </c>
      <c r="K593" s="34"/>
      <c r="L593" s="34">
        <v>512.14</v>
      </c>
    </row>
    <row r="594" spans="2:12" x14ac:dyDescent="0.3">
      <c r="B594" s="25">
        <v>595</v>
      </c>
      <c r="C594" s="33">
        <v>52174</v>
      </c>
      <c r="D594" s="33" t="s">
        <v>400</v>
      </c>
      <c r="E594" s="35">
        <v>44356</v>
      </c>
      <c r="F594" s="33">
        <v>2</v>
      </c>
      <c r="G594" s="33" t="s">
        <v>231</v>
      </c>
      <c r="H594" s="33">
        <v>53</v>
      </c>
      <c r="I594" s="33" t="s">
        <v>198</v>
      </c>
      <c r="J594" s="34">
        <v>3215.03</v>
      </c>
      <c r="K594" s="34"/>
      <c r="L594" s="34">
        <v>3215.03</v>
      </c>
    </row>
    <row r="595" spans="2:12" x14ac:dyDescent="0.3">
      <c r="B595" s="25">
        <v>596</v>
      </c>
      <c r="C595" s="33">
        <v>52175</v>
      </c>
      <c r="D595" s="33" t="s">
        <v>400</v>
      </c>
      <c r="E595" s="35">
        <v>44356</v>
      </c>
      <c r="F595" s="33">
        <v>2</v>
      </c>
      <c r="G595" s="33" t="s">
        <v>231</v>
      </c>
      <c r="H595" s="33">
        <v>53</v>
      </c>
      <c r="I595" s="33" t="s">
        <v>198</v>
      </c>
      <c r="J595" s="34">
        <v>490.32</v>
      </c>
      <c r="K595" s="34"/>
      <c r="L595" s="34">
        <v>490.32</v>
      </c>
    </row>
    <row r="596" spans="2:12" x14ac:dyDescent="0.3">
      <c r="B596" s="25">
        <v>597</v>
      </c>
      <c r="C596" s="33">
        <v>52176</v>
      </c>
      <c r="D596" s="33" t="s">
        <v>400</v>
      </c>
      <c r="E596" s="35">
        <v>44356</v>
      </c>
      <c r="F596" s="33">
        <v>2</v>
      </c>
      <c r="G596" s="33" t="s">
        <v>231</v>
      </c>
      <c r="H596" s="33">
        <v>53</v>
      </c>
      <c r="I596" s="33" t="s">
        <v>198</v>
      </c>
      <c r="J596" s="34">
        <v>976.67</v>
      </c>
      <c r="K596" s="34"/>
      <c r="L596" s="34">
        <v>976.67</v>
      </c>
    </row>
    <row r="597" spans="2:12" x14ac:dyDescent="0.3">
      <c r="B597" s="25">
        <v>598</v>
      </c>
      <c r="C597" s="33">
        <v>52177</v>
      </c>
      <c r="D597" s="33" t="s">
        <v>400</v>
      </c>
      <c r="E597" s="35">
        <v>44356</v>
      </c>
      <c r="F597" s="33">
        <v>2</v>
      </c>
      <c r="G597" s="33" t="s">
        <v>231</v>
      </c>
      <c r="H597" s="33">
        <v>53</v>
      </c>
      <c r="I597" s="33" t="s">
        <v>198</v>
      </c>
      <c r="J597" s="34">
        <v>472.81</v>
      </c>
      <c r="K597" s="34"/>
      <c r="L597" s="34">
        <v>472.81</v>
      </c>
    </row>
    <row r="598" spans="2:12" x14ac:dyDescent="0.3">
      <c r="B598" s="25">
        <v>599</v>
      </c>
      <c r="C598" s="33">
        <v>52178</v>
      </c>
      <c r="D598" s="33" t="s">
        <v>400</v>
      </c>
      <c r="E598" s="35">
        <v>44356</v>
      </c>
      <c r="F598" s="33">
        <v>2</v>
      </c>
      <c r="G598" s="33" t="s">
        <v>231</v>
      </c>
      <c r="H598" s="33">
        <v>53</v>
      </c>
      <c r="I598" s="33" t="s">
        <v>198</v>
      </c>
      <c r="J598" s="34">
        <v>16</v>
      </c>
      <c r="K598" s="34"/>
      <c r="L598" s="34">
        <v>16</v>
      </c>
    </row>
    <row r="599" spans="2:12" x14ac:dyDescent="0.3">
      <c r="B599" s="25">
        <v>600</v>
      </c>
      <c r="C599" s="33">
        <v>52195</v>
      </c>
      <c r="D599" s="33" t="s">
        <v>473</v>
      </c>
      <c r="E599" s="35">
        <v>44357</v>
      </c>
      <c r="F599" s="33">
        <v>2</v>
      </c>
      <c r="G599" s="33" t="s">
        <v>122</v>
      </c>
      <c r="H599" s="33" t="s">
        <v>73</v>
      </c>
      <c r="I599" s="33" t="s">
        <v>196</v>
      </c>
      <c r="J599" s="34">
        <v>1207</v>
      </c>
      <c r="K599" s="34"/>
      <c r="L599" s="34">
        <v>1207</v>
      </c>
    </row>
    <row r="600" spans="2:12" x14ac:dyDescent="0.3">
      <c r="B600" s="25">
        <v>601</v>
      </c>
      <c r="C600" s="33" t="s">
        <v>579</v>
      </c>
      <c r="D600" s="33" t="s">
        <v>281</v>
      </c>
      <c r="E600" s="35">
        <v>44357</v>
      </c>
      <c r="F600" s="33">
        <v>2</v>
      </c>
      <c r="G600" s="33" t="s">
        <v>124</v>
      </c>
      <c r="H600" s="33">
        <v>53</v>
      </c>
      <c r="I600" s="33" t="s">
        <v>197</v>
      </c>
      <c r="J600" s="34">
        <v>1461.6</v>
      </c>
      <c r="K600" s="34"/>
      <c r="L600" s="34">
        <v>1461.6</v>
      </c>
    </row>
    <row r="601" spans="2:12" x14ac:dyDescent="0.3">
      <c r="B601" s="25">
        <v>602</v>
      </c>
      <c r="C601" s="33">
        <v>52296</v>
      </c>
      <c r="D601" s="33" t="s">
        <v>442</v>
      </c>
      <c r="E601" s="35">
        <v>44364</v>
      </c>
      <c r="F601" s="33">
        <v>2</v>
      </c>
      <c r="G601" s="33" t="s">
        <v>122</v>
      </c>
      <c r="H601" s="33" t="s">
        <v>73</v>
      </c>
      <c r="I601" s="33" t="s">
        <v>196</v>
      </c>
      <c r="J601" s="34">
        <v>1217.5</v>
      </c>
      <c r="K601" s="34"/>
      <c r="L601" s="34">
        <v>1217.5</v>
      </c>
    </row>
    <row r="602" spans="2:12" x14ac:dyDescent="0.3">
      <c r="B602" s="25">
        <v>603</v>
      </c>
      <c r="C602" s="33">
        <v>52389</v>
      </c>
      <c r="D602" s="33" t="s">
        <v>400</v>
      </c>
      <c r="E602" s="35">
        <v>44371</v>
      </c>
      <c r="F602" s="33">
        <v>2</v>
      </c>
      <c r="G602" s="33" t="s">
        <v>231</v>
      </c>
      <c r="H602" s="33">
        <v>53</v>
      </c>
      <c r="I602" s="33" t="s">
        <v>198</v>
      </c>
      <c r="J602" s="34">
        <v>483.99</v>
      </c>
      <c r="K602" s="34"/>
      <c r="L602" s="34">
        <v>483.99</v>
      </c>
    </row>
    <row r="603" spans="2:12" x14ac:dyDescent="0.3">
      <c r="B603" s="25">
        <v>604</v>
      </c>
      <c r="C603" s="33">
        <v>52390</v>
      </c>
      <c r="D603" s="33" t="s">
        <v>400</v>
      </c>
      <c r="E603" s="35">
        <v>44371</v>
      </c>
      <c r="F603" s="33">
        <v>2</v>
      </c>
      <c r="G603" s="33" t="s">
        <v>231</v>
      </c>
      <c r="H603" s="33">
        <v>53</v>
      </c>
      <c r="I603" s="33" t="s">
        <v>198</v>
      </c>
      <c r="J603" s="34">
        <v>1714.6</v>
      </c>
      <c r="K603" s="34"/>
      <c r="L603" s="34">
        <v>1714.6</v>
      </c>
    </row>
    <row r="604" spans="2:12" x14ac:dyDescent="0.3">
      <c r="B604" s="25">
        <v>605</v>
      </c>
      <c r="C604" s="33">
        <v>52391</v>
      </c>
      <c r="D604" s="33" t="s">
        <v>400</v>
      </c>
      <c r="E604" s="35">
        <v>44371</v>
      </c>
      <c r="F604" s="33">
        <v>2</v>
      </c>
      <c r="G604" s="33" t="s">
        <v>231</v>
      </c>
      <c r="H604" s="33">
        <v>53</v>
      </c>
      <c r="I604" s="33" t="s">
        <v>198</v>
      </c>
      <c r="J604" s="34">
        <v>1076.68</v>
      </c>
      <c r="K604" s="34"/>
      <c r="L604" s="34">
        <v>1076.68</v>
      </c>
    </row>
    <row r="605" spans="2:12" x14ac:dyDescent="0.3">
      <c r="B605" s="25">
        <v>606</v>
      </c>
      <c r="C605" s="33">
        <v>52392</v>
      </c>
      <c r="D605" s="33" t="s">
        <v>400</v>
      </c>
      <c r="E605" s="35">
        <v>44371</v>
      </c>
      <c r="F605" s="33">
        <v>2</v>
      </c>
      <c r="G605" s="33" t="s">
        <v>231</v>
      </c>
      <c r="H605" s="33">
        <v>53</v>
      </c>
      <c r="I605" s="33" t="s">
        <v>198</v>
      </c>
      <c r="J605" s="34">
        <v>111.06</v>
      </c>
      <c r="K605" s="34"/>
      <c r="L605" s="34">
        <v>111.06</v>
      </c>
    </row>
    <row r="606" spans="2:12" x14ac:dyDescent="0.3">
      <c r="B606" s="25">
        <v>607</v>
      </c>
      <c r="C606" s="33">
        <v>52393</v>
      </c>
      <c r="D606" s="33" t="s">
        <v>400</v>
      </c>
      <c r="E606" s="35">
        <v>44371</v>
      </c>
      <c r="F606" s="33">
        <v>2</v>
      </c>
      <c r="G606" s="33" t="s">
        <v>231</v>
      </c>
      <c r="H606" s="33">
        <v>53</v>
      </c>
      <c r="I606" s="33" t="s">
        <v>198</v>
      </c>
      <c r="J606" s="34">
        <v>12.6</v>
      </c>
      <c r="K606" s="34"/>
      <c r="L606" s="34">
        <v>12.6</v>
      </c>
    </row>
    <row r="607" spans="2:12" x14ac:dyDescent="0.3">
      <c r="B607" s="25">
        <v>608</v>
      </c>
      <c r="C607" s="33">
        <v>52394</v>
      </c>
      <c r="D607" s="33" t="s">
        <v>400</v>
      </c>
      <c r="E607" s="35">
        <v>44371</v>
      </c>
      <c r="F607" s="33">
        <v>2</v>
      </c>
      <c r="G607" s="33" t="s">
        <v>231</v>
      </c>
      <c r="H607" s="33">
        <v>53</v>
      </c>
      <c r="I607" s="33" t="s">
        <v>198</v>
      </c>
      <c r="J607" s="34">
        <v>82.45</v>
      </c>
      <c r="K607" s="34"/>
      <c r="L607" s="34">
        <v>82.45</v>
      </c>
    </row>
    <row r="608" spans="2:12" x14ac:dyDescent="0.3">
      <c r="B608" s="25">
        <v>609</v>
      </c>
      <c r="C608" s="33">
        <v>52512</v>
      </c>
      <c r="D608" s="33" t="s">
        <v>438</v>
      </c>
      <c r="E608" s="35">
        <v>44378</v>
      </c>
      <c r="F608" s="33">
        <v>3</v>
      </c>
      <c r="G608" s="33" t="s">
        <v>122</v>
      </c>
      <c r="H608" s="33" t="s">
        <v>73</v>
      </c>
      <c r="I608" s="33" t="s">
        <v>196</v>
      </c>
      <c r="J608" s="34">
        <v>237</v>
      </c>
      <c r="K608" s="34"/>
      <c r="L608" s="34">
        <v>237</v>
      </c>
    </row>
    <row r="609" spans="2:12" x14ac:dyDescent="0.3">
      <c r="B609" s="25">
        <v>610</v>
      </c>
      <c r="C609" s="33">
        <v>52513</v>
      </c>
      <c r="D609" s="33" t="s">
        <v>411</v>
      </c>
      <c r="E609" s="35">
        <v>44378</v>
      </c>
      <c r="F609" s="33">
        <v>3</v>
      </c>
      <c r="G609" s="33" t="s">
        <v>122</v>
      </c>
      <c r="H609" s="33">
        <v>53</v>
      </c>
      <c r="I609" s="33" t="s">
        <v>196</v>
      </c>
      <c r="J609" s="34">
        <v>862.5</v>
      </c>
      <c r="K609" s="34"/>
      <c r="L609" s="34">
        <v>862.5</v>
      </c>
    </row>
    <row r="610" spans="2:12" x14ac:dyDescent="0.3">
      <c r="B610" s="25">
        <v>611</v>
      </c>
      <c r="C610" s="33">
        <v>52516</v>
      </c>
      <c r="D610" s="33" t="s">
        <v>413</v>
      </c>
      <c r="E610" s="35">
        <v>44378</v>
      </c>
      <c r="F610" s="33">
        <v>3</v>
      </c>
      <c r="G610" s="33" t="s">
        <v>122</v>
      </c>
      <c r="H610" s="33" t="s">
        <v>73</v>
      </c>
      <c r="I610" s="33" t="s">
        <v>196</v>
      </c>
      <c r="J610" s="34">
        <v>1407</v>
      </c>
      <c r="K610" s="34"/>
      <c r="L610" s="34">
        <v>1407</v>
      </c>
    </row>
    <row r="611" spans="2:12" x14ac:dyDescent="0.3">
      <c r="B611" s="25">
        <v>612</v>
      </c>
      <c r="C611" s="33">
        <v>3106</v>
      </c>
      <c r="D611" s="33" t="s">
        <v>580</v>
      </c>
      <c r="E611" s="35">
        <v>44391</v>
      </c>
      <c r="F611" s="33">
        <v>3</v>
      </c>
      <c r="G611" s="33" t="s">
        <v>124</v>
      </c>
      <c r="H611" s="33" t="s">
        <v>201</v>
      </c>
      <c r="I611" s="33" t="s">
        <v>197</v>
      </c>
      <c r="J611" s="34">
        <v>1550.4</v>
      </c>
      <c r="K611" s="34"/>
      <c r="L611" s="34">
        <v>1550.4</v>
      </c>
    </row>
    <row r="612" spans="2:12" x14ac:dyDescent="0.3">
      <c r="B612" s="25">
        <v>613</v>
      </c>
      <c r="C612" s="33">
        <v>3107</v>
      </c>
      <c r="D612" s="33" t="s">
        <v>581</v>
      </c>
      <c r="E612" s="35">
        <v>44391</v>
      </c>
      <c r="F612" s="33">
        <v>3</v>
      </c>
      <c r="G612" s="33" t="s">
        <v>124</v>
      </c>
      <c r="H612" s="33" t="s">
        <v>201</v>
      </c>
      <c r="I612" s="33" t="s">
        <v>197</v>
      </c>
      <c r="J612" s="34">
        <v>4058.12</v>
      </c>
      <c r="K612" s="34"/>
      <c r="L612" s="34">
        <v>4058.12</v>
      </c>
    </row>
    <row r="613" spans="2:12" x14ac:dyDescent="0.3">
      <c r="B613" s="25">
        <v>614</v>
      </c>
      <c r="C613" s="33">
        <v>3108</v>
      </c>
      <c r="D613" s="33" t="s">
        <v>582</v>
      </c>
      <c r="E613" s="35">
        <v>44391</v>
      </c>
      <c r="F613" s="33">
        <v>3</v>
      </c>
      <c r="G613" s="33" t="s">
        <v>231</v>
      </c>
      <c r="H613" s="33" t="s">
        <v>201</v>
      </c>
      <c r="I613" s="33" t="s">
        <v>198</v>
      </c>
      <c r="J613" s="34">
        <v>2305.6</v>
      </c>
      <c r="K613" s="34"/>
      <c r="L613" s="34">
        <v>2305.6</v>
      </c>
    </row>
    <row r="614" spans="2:12" x14ac:dyDescent="0.3">
      <c r="B614" s="25">
        <v>615</v>
      </c>
      <c r="C614" s="33">
        <v>3109</v>
      </c>
      <c r="D614" s="33" t="s">
        <v>583</v>
      </c>
      <c r="E614" s="35">
        <v>44391</v>
      </c>
      <c r="F614" s="33">
        <v>3</v>
      </c>
      <c r="G614" s="33" t="s">
        <v>124</v>
      </c>
      <c r="H614" s="33" t="s">
        <v>201</v>
      </c>
      <c r="I614" s="33" t="s">
        <v>197</v>
      </c>
      <c r="J614" s="34">
        <v>2795.37</v>
      </c>
      <c r="K614" s="34"/>
      <c r="L614" s="34">
        <v>2795.37</v>
      </c>
    </row>
    <row r="615" spans="2:12" x14ac:dyDescent="0.3">
      <c r="B615" s="25">
        <v>616</v>
      </c>
      <c r="C615" s="33">
        <v>3110</v>
      </c>
      <c r="D615" s="33" t="s">
        <v>584</v>
      </c>
      <c r="E615" s="35">
        <v>44391</v>
      </c>
      <c r="F615" s="33">
        <v>3</v>
      </c>
      <c r="G615" s="33" t="s">
        <v>122</v>
      </c>
      <c r="H615" s="33" t="s">
        <v>201</v>
      </c>
      <c r="I615" s="33" t="s">
        <v>196</v>
      </c>
      <c r="J615" s="34">
        <v>603.6</v>
      </c>
      <c r="K615" s="34">
        <v>80</v>
      </c>
      <c r="L615" s="34">
        <v>523.6</v>
      </c>
    </row>
    <row r="616" spans="2:12" x14ac:dyDescent="0.3">
      <c r="B616" s="25">
        <v>617</v>
      </c>
      <c r="C616" s="33">
        <v>3111</v>
      </c>
      <c r="D616" s="33" t="s">
        <v>585</v>
      </c>
      <c r="E616" s="35">
        <v>44391</v>
      </c>
      <c r="F616" s="33">
        <v>3</v>
      </c>
      <c r="G616" s="33" t="s">
        <v>231</v>
      </c>
      <c r="H616" s="33" t="s">
        <v>201</v>
      </c>
      <c r="I616" s="33" t="s">
        <v>198</v>
      </c>
      <c r="J616" s="34">
        <v>5366.35</v>
      </c>
      <c r="K616" s="34"/>
      <c r="L616" s="34">
        <v>5366.35</v>
      </c>
    </row>
    <row r="617" spans="2:12" x14ac:dyDescent="0.3">
      <c r="B617" s="25">
        <v>618</v>
      </c>
      <c r="C617" s="33">
        <v>3112</v>
      </c>
      <c r="D617" s="33" t="s">
        <v>411</v>
      </c>
      <c r="E617" s="35">
        <v>44391</v>
      </c>
      <c r="F617" s="33">
        <v>3</v>
      </c>
      <c r="G617" s="33" t="s">
        <v>122</v>
      </c>
      <c r="H617" s="33" t="s">
        <v>201</v>
      </c>
      <c r="I617" s="33" t="s">
        <v>196</v>
      </c>
      <c r="J617" s="34">
        <v>1982.64</v>
      </c>
      <c r="K617" s="34"/>
      <c r="L617" s="34">
        <v>1982.64</v>
      </c>
    </row>
    <row r="618" spans="2:12" x14ac:dyDescent="0.3">
      <c r="B618" s="25">
        <v>619</v>
      </c>
      <c r="C618" s="33">
        <v>52299</v>
      </c>
      <c r="D618" s="33" t="s">
        <v>484</v>
      </c>
      <c r="E618" s="35">
        <v>44336</v>
      </c>
      <c r="F618" s="33">
        <v>2</v>
      </c>
      <c r="G618" s="33" t="s">
        <v>122</v>
      </c>
      <c r="H618" s="33" t="s">
        <v>69</v>
      </c>
      <c r="I618" s="33" t="s">
        <v>196</v>
      </c>
      <c r="J618" s="34">
        <v>2753.49</v>
      </c>
      <c r="K618" s="34"/>
      <c r="L618" s="34">
        <v>2753.49</v>
      </c>
    </row>
    <row r="619" spans="2:12" x14ac:dyDescent="0.3">
      <c r="B619" s="25">
        <v>620</v>
      </c>
      <c r="C619" s="33">
        <v>52303</v>
      </c>
      <c r="D619" s="33" t="s">
        <v>404</v>
      </c>
      <c r="E619" s="35">
        <v>44336</v>
      </c>
      <c r="F619" s="33">
        <v>2</v>
      </c>
      <c r="G619" s="33" t="s">
        <v>122</v>
      </c>
      <c r="H619" s="33" t="s">
        <v>69</v>
      </c>
      <c r="I619" s="33" t="s">
        <v>196</v>
      </c>
      <c r="J619" s="34">
        <v>2359</v>
      </c>
      <c r="K619" s="34"/>
      <c r="L619" s="34">
        <v>2359</v>
      </c>
    </row>
    <row r="620" spans="2:12" x14ac:dyDescent="0.3">
      <c r="B620" s="25">
        <v>621</v>
      </c>
      <c r="C620" s="33">
        <v>52314</v>
      </c>
      <c r="D620" s="33" t="s">
        <v>414</v>
      </c>
      <c r="E620" s="35">
        <v>44336</v>
      </c>
      <c r="F620" s="33">
        <v>2</v>
      </c>
      <c r="G620" s="33" t="s">
        <v>122</v>
      </c>
      <c r="H620" s="33" t="s">
        <v>69</v>
      </c>
      <c r="I620" s="33" t="s">
        <v>196</v>
      </c>
      <c r="J620" s="34">
        <v>2859.3</v>
      </c>
      <c r="K620" s="34"/>
      <c r="L620" s="34">
        <v>2859.3</v>
      </c>
    </row>
    <row r="621" spans="2:12" x14ac:dyDescent="0.3">
      <c r="B621" s="25">
        <v>622</v>
      </c>
      <c r="C621" s="33">
        <v>52315</v>
      </c>
      <c r="D621" s="33" t="s">
        <v>512</v>
      </c>
      <c r="E621" s="35">
        <v>44336</v>
      </c>
      <c r="F621" s="33">
        <v>2</v>
      </c>
      <c r="G621" s="33" t="s">
        <v>122</v>
      </c>
      <c r="H621" s="33" t="s">
        <v>69</v>
      </c>
      <c r="I621" s="33" t="s">
        <v>196</v>
      </c>
      <c r="J621" s="34">
        <v>4300.5</v>
      </c>
      <c r="K621" s="34"/>
      <c r="L621" s="34">
        <v>4300.5</v>
      </c>
    </row>
    <row r="622" spans="2:12" x14ac:dyDescent="0.3">
      <c r="B622" s="25">
        <v>623</v>
      </c>
      <c r="C622" s="33">
        <v>52316</v>
      </c>
      <c r="D622" s="33" t="s">
        <v>442</v>
      </c>
      <c r="E622" s="35">
        <v>44336</v>
      </c>
      <c r="F622" s="33">
        <v>2</v>
      </c>
      <c r="G622" s="33" t="s">
        <v>122</v>
      </c>
      <c r="H622" s="33" t="s">
        <v>69</v>
      </c>
      <c r="I622" s="33" t="s">
        <v>196</v>
      </c>
      <c r="J622" s="34">
        <v>32.5</v>
      </c>
      <c r="K622" s="34"/>
      <c r="L622" s="34">
        <v>32.5</v>
      </c>
    </row>
    <row r="623" spans="2:12" x14ac:dyDescent="0.3">
      <c r="B623" s="25">
        <v>624</v>
      </c>
      <c r="C623" s="33">
        <v>52317</v>
      </c>
      <c r="D623" s="33" t="s">
        <v>415</v>
      </c>
      <c r="E623" s="35">
        <v>44336</v>
      </c>
      <c r="F623" s="33">
        <v>2</v>
      </c>
      <c r="G623" s="33" t="s">
        <v>122</v>
      </c>
      <c r="H623" s="33" t="s">
        <v>69</v>
      </c>
      <c r="I623" s="33" t="s">
        <v>196</v>
      </c>
      <c r="J623" s="34">
        <v>1842</v>
      </c>
      <c r="K623" s="34"/>
      <c r="L623" s="34">
        <v>1842</v>
      </c>
    </row>
    <row r="624" spans="2:12" x14ac:dyDescent="0.3">
      <c r="B624" s="25">
        <v>625</v>
      </c>
      <c r="C624" s="33">
        <v>52378</v>
      </c>
      <c r="D624" s="33" t="s">
        <v>400</v>
      </c>
      <c r="E624" s="35">
        <v>44340</v>
      </c>
      <c r="F624" s="33">
        <v>2</v>
      </c>
      <c r="G624" s="33" t="s">
        <v>231</v>
      </c>
      <c r="H624" s="33" t="s">
        <v>69</v>
      </c>
      <c r="I624" s="33" t="s">
        <v>198</v>
      </c>
      <c r="J624" s="34">
        <v>1979.72</v>
      </c>
      <c r="K624" s="34"/>
      <c r="L624" s="34">
        <v>1979.72</v>
      </c>
    </row>
    <row r="625" spans="2:12" x14ac:dyDescent="0.3">
      <c r="B625" s="25">
        <v>626</v>
      </c>
      <c r="C625" s="33">
        <v>52379</v>
      </c>
      <c r="D625" s="33" t="s">
        <v>400</v>
      </c>
      <c r="E625" s="35">
        <v>44340</v>
      </c>
      <c r="F625" s="33">
        <v>2</v>
      </c>
      <c r="G625" s="33" t="s">
        <v>231</v>
      </c>
      <c r="H625" s="33" t="s">
        <v>69</v>
      </c>
      <c r="I625" s="33" t="s">
        <v>198</v>
      </c>
      <c r="J625" s="34">
        <v>4739.75</v>
      </c>
      <c r="K625" s="34"/>
      <c r="L625" s="34">
        <v>4739.75</v>
      </c>
    </row>
    <row r="626" spans="2:12" x14ac:dyDescent="0.3">
      <c r="B626" s="25">
        <v>627</v>
      </c>
      <c r="C626" s="33">
        <v>52380</v>
      </c>
      <c r="D626" s="33" t="s">
        <v>400</v>
      </c>
      <c r="E626" s="35">
        <v>44340</v>
      </c>
      <c r="F626" s="33">
        <v>2</v>
      </c>
      <c r="G626" s="33" t="s">
        <v>231</v>
      </c>
      <c r="H626" s="33" t="s">
        <v>69</v>
      </c>
      <c r="I626" s="33" t="s">
        <v>198</v>
      </c>
      <c r="J626" s="34">
        <v>1359.93</v>
      </c>
      <c r="K626" s="34"/>
      <c r="L626" s="34">
        <v>1359.93</v>
      </c>
    </row>
    <row r="627" spans="2:12" x14ac:dyDescent="0.3">
      <c r="B627" s="25">
        <v>628</v>
      </c>
      <c r="C627" s="33">
        <v>52381</v>
      </c>
      <c r="D627" s="33" t="s">
        <v>400</v>
      </c>
      <c r="E627" s="35">
        <v>44340</v>
      </c>
      <c r="F627" s="33">
        <v>2</v>
      </c>
      <c r="G627" s="33" t="s">
        <v>231</v>
      </c>
      <c r="H627" s="33" t="s">
        <v>69</v>
      </c>
      <c r="I627" s="33" t="s">
        <v>198</v>
      </c>
      <c r="J627" s="34">
        <v>1938.48</v>
      </c>
      <c r="K627" s="34"/>
      <c r="L627" s="34">
        <v>1938.48</v>
      </c>
    </row>
    <row r="628" spans="2:12" x14ac:dyDescent="0.3">
      <c r="B628" s="25">
        <v>629</v>
      </c>
      <c r="C628" s="33">
        <v>52382</v>
      </c>
      <c r="D628" s="33" t="s">
        <v>400</v>
      </c>
      <c r="E628" s="35">
        <v>44340</v>
      </c>
      <c r="F628" s="33">
        <v>2</v>
      </c>
      <c r="G628" s="33" t="s">
        <v>231</v>
      </c>
      <c r="H628" s="33" t="s">
        <v>69</v>
      </c>
      <c r="I628" s="33" t="s">
        <v>198</v>
      </c>
      <c r="J628" s="34">
        <v>863.39</v>
      </c>
      <c r="K628" s="34"/>
      <c r="L628" s="34">
        <v>863.39</v>
      </c>
    </row>
    <row r="629" spans="2:12" x14ac:dyDescent="0.3">
      <c r="B629" s="25">
        <v>630</v>
      </c>
      <c r="C629" s="33">
        <v>52383</v>
      </c>
      <c r="D629" s="33" t="s">
        <v>400</v>
      </c>
      <c r="E629" s="35">
        <v>44340</v>
      </c>
      <c r="F629" s="33">
        <v>2</v>
      </c>
      <c r="G629" s="33" t="s">
        <v>231</v>
      </c>
      <c r="H629" s="33" t="s">
        <v>69</v>
      </c>
      <c r="I629" s="33" t="s">
        <v>198</v>
      </c>
      <c r="J629" s="34">
        <v>396.2</v>
      </c>
      <c r="K629" s="34"/>
      <c r="L629" s="34">
        <v>396.2</v>
      </c>
    </row>
    <row r="630" spans="2:12" x14ac:dyDescent="0.3">
      <c r="B630" s="25">
        <v>631</v>
      </c>
      <c r="C630" s="33">
        <v>52384</v>
      </c>
      <c r="D630" s="33" t="s">
        <v>400</v>
      </c>
      <c r="E630" s="35">
        <v>44340</v>
      </c>
      <c r="F630" s="33">
        <v>2</v>
      </c>
      <c r="G630" s="33" t="s">
        <v>231</v>
      </c>
      <c r="H630" s="33" t="s">
        <v>69</v>
      </c>
      <c r="I630" s="33" t="s">
        <v>198</v>
      </c>
      <c r="J630" s="34">
        <v>1225.76</v>
      </c>
      <c r="K630" s="34"/>
      <c r="L630" s="34">
        <v>1225.76</v>
      </c>
    </row>
    <row r="631" spans="2:12" x14ac:dyDescent="0.3">
      <c r="B631" s="25">
        <v>632</v>
      </c>
      <c r="C631" s="33">
        <v>52385</v>
      </c>
      <c r="D631" s="33" t="s">
        <v>400</v>
      </c>
      <c r="E631" s="35">
        <v>44340</v>
      </c>
      <c r="F631" s="33">
        <v>2</v>
      </c>
      <c r="G631" s="33" t="s">
        <v>231</v>
      </c>
      <c r="H631" s="33" t="s">
        <v>69</v>
      </c>
      <c r="I631" s="33" t="s">
        <v>198</v>
      </c>
      <c r="J631" s="34">
        <v>458.25</v>
      </c>
      <c r="K631" s="34"/>
      <c r="L631" s="34">
        <v>458.25</v>
      </c>
    </row>
    <row r="632" spans="2:12" x14ac:dyDescent="0.3">
      <c r="B632" s="25">
        <v>633</v>
      </c>
      <c r="C632" s="33">
        <v>52386</v>
      </c>
      <c r="D632" s="33" t="s">
        <v>400</v>
      </c>
      <c r="E632" s="35">
        <v>44340</v>
      </c>
      <c r="F632" s="33">
        <v>2</v>
      </c>
      <c r="G632" s="33" t="s">
        <v>231</v>
      </c>
      <c r="H632" s="33" t="s">
        <v>69</v>
      </c>
      <c r="I632" s="33" t="s">
        <v>198</v>
      </c>
      <c r="J632" s="34">
        <v>710.17</v>
      </c>
      <c r="K632" s="34"/>
      <c r="L632" s="34">
        <v>710.17</v>
      </c>
    </row>
    <row r="633" spans="2:12" x14ac:dyDescent="0.3">
      <c r="B633" s="25">
        <v>634</v>
      </c>
      <c r="C633" s="33">
        <v>52387</v>
      </c>
      <c r="D633" s="33" t="s">
        <v>400</v>
      </c>
      <c r="E633" s="35">
        <v>44340</v>
      </c>
      <c r="F633" s="33">
        <v>2</v>
      </c>
      <c r="G633" s="33" t="s">
        <v>231</v>
      </c>
      <c r="H633" s="33" t="s">
        <v>69</v>
      </c>
      <c r="I633" s="33" t="s">
        <v>198</v>
      </c>
      <c r="J633" s="34">
        <v>977.13</v>
      </c>
      <c r="K633" s="34"/>
      <c r="L633" s="34">
        <v>977.13</v>
      </c>
    </row>
    <row r="634" spans="2:12" x14ac:dyDescent="0.3">
      <c r="B634" s="25">
        <v>635</v>
      </c>
      <c r="C634" s="33">
        <v>52388</v>
      </c>
      <c r="D634" s="33" t="s">
        <v>400</v>
      </c>
      <c r="E634" s="35">
        <v>44340</v>
      </c>
      <c r="F634" s="33">
        <v>2</v>
      </c>
      <c r="G634" s="33" t="s">
        <v>231</v>
      </c>
      <c r="H634" s="33" t="s">
        <v>69</v>
      </c>
      <c r="I634" s="33" t="s">
        <v>198</v>
      </c>
      <c r="J634" s="34">
        <v>977.13</v>
      </c>
      <c r="K634" s="34"/>
      <c r="L634" s="34">
        <v>977.13</v>
      </c>
    </row>
    <row r="635" spans="2:12" x14ac:dyDescent="0.3">
      <c r="B635" s="25">
        <v>636</v>
      </c>
      <c r="C635" s="33" t="s">
        <v>586</v>
      </c>
      <c r="D635" s="33" t="s">
        <v>400</v>
      </c>
      <c r="E635" s="35">
        <v>44340</v>
      </c>
      <c r="F635" s="33">
        <v>2</v>
      </c>
      <c r="G635" s="33" t="s">
        <v>231</v>
      </c>
      <c r="H635" s="33" t="s">
        <v>69</v>
      </c>
      <c r="I635" s="33" t="s">
        <v>198</v>
      </c>
      <c r="J635" s="34">
        <v>377.88</v>
      </c>
      <c r="K635" s="34"/>
      <c r="L635" s="34">
        <v>377.88</v>
      </c>
    </row>
    <row r="636" spans="2:12" x14ac:dyDescent="0.3">
      <c r="B636" s="25">
        <v>637</v>
      </c>
      <c r="C636" s="33" t="s">
        <v>587</v>
      </c>
      <c r="D636" s="33" t="s">
        <v>400</v>
      </c>
      <c r="E636" s="35">
        <v>44340</v>
      </c>
      <c r="F636" s="33">
        <v>2</v>
      </c>
      <c r="G636" s="33" t="s">
        <v>231</v>
      </c>
      <c r="H636" s="33" t="s">
        <v>69</v>
      </c>
      <c r="I636" s="33" t="s">
        <v>198</v>
      </c>
      <c r="J636" s="34">
        <v>695.6</v>
      </c>
      <c r="K636" s="34"/>
      <c r="L636" s="34">
        <v>695.6</v>
      </c>
    </row>
    <row r="637" spans="2:12" x14ac:dyDescent="0.3">
      <c r="B637" s="25">
        <v>638</v>
      </c>
      <c r="C637" s="33" t="s">
        <v>588</v>
      </c>
      <c r="D637" s="33" t="s">
        <v>400</v>
      </c>
      <c r="E637" s="35">
        <v>44340</v>
      </c>
      <c r="F637" s="33">
        <v>2</v>
      </c>
      <c r="G637" s="33" t="s">
        <v>231</v>
      </c>
      <c r="H637" s="33" t="s">
        <v>69</v>
      </c>
      <c r="I637" s="33" t="s">
        <v>198</v>
      </c>
      <c r="J637" s="34">
        <v>1649.23</v>
      </c>
      <c r="K637" s="34"/>
      <c r="L637" s="34">
        <v>1649.23</v>
      </c>
    </row>
    <row r="638" spans="2:12" x14ac:dyDescent="0.3">
      <c r="B638" s="25">
        <v>639</v>
      </c>
      <c r="C638" s="33" t="s">
        <v>589</v>
      </c>
      <c r="D638" s="33" t="s">
        <v>400</v>
      </c>
      <c r="E638" s="35">
        <v>44340</v>
      </c>
      <c r="F638" s="33">
        <v>2</v>
      </c>
      <c r="G638" s="33" t="s">
        <v>231</v>
      </c>
      <c r="H638" s="33" t="s">
        <v>69</v>
      </c>
      <c r="I638" s="33" t="s">
        <v>198</v>
      </c>
      <c r="J638" s="34">
        <v>1679.31</v>
      </c>
      <c r="K638" s="34"/>
      <c r="L638" s="34">
        <v>1679.31</v>
      </c>
    </row>
    <row r="639" spans="2:12" x14ac:dyDescent="0.3">
      <c r="B639" s="25">
        <v>640</v>
      </c>
      <c r="C639" s="33" t="s">
        <v>590</v>
      </c>
      <c r="D639" s="33" t="s">
        <v>400</v>
      </c>
      <c r="E639" s="35">
        <v>44340</v>
      </c>
      <c r="F639" s="33">
        <v>2</v>
      </c>
      <c r="G639" s="33" t="s">
        <v>231</v>
      </c>
      <c r="H639" s="33" t="s">
        <v>69</v>
      </c>
      <c r="I639" s="33" t="s">
        <v>198</v>
      </c>
      <c r="J639" s="34">
        <v>411.72</v>
      </c>
      <c r="K639" s="34"/>
      <c r="L639" s="34">
        <v>411.72</v>
      </c>
    </row>
    <row r="640" spans="2:12" x14ac:dyDescent="0.3">
      <c r="B640" s="25">
        <v>641</v>
      </c>
      <c r="C640" s="33" t="s">
        <v>591</v>
      </c>
      <c r="D640" s="33" t="s">
        <v>400</v>
      </c>
      <c r="E640" s="35">
        <v>44340</v>
      </c>
      <c r="F640" s="33">
        <v>2</v>
      </c>
      <c r="G640" s="33" t="s">
        <v>231</v>
      </c>
      <c r="H640" s="33" t="s">
        <v>69</v>
      </c>
      <c r="I640" s="33" t="s">
        <v>198</v>
      </c>
      <c r="J640" s="34">
        <v>406.08</v>
      </c>
      <c r="K640" s="34"/>
      <c r="L640" s="34">
        <v>406.08</v>
      </c>
    </row>
    <row r="641" spans="2:12" x14ac:dyDescent="0.3">
      <c r="B641" s="25">
        <v>642</v>
      </c>
      <c r="C641" s="33">
        <v>52395</v>
      </c>
      <c r="D641" s="33" t="s">
        <v>400</v>
      </c>
      <c r="E641" s="35">
        <v>44340</v>
      </c>
      <c r="F641" s="33">
        <v>2</v>
      </c>
      <c r="G641" s="33" t="s">
        <v>231</v>
      </c>
      <c r="H641" s="33" t="s">
        <v>69</v>
      </c>
      <c r="I641" s="33" t="s">
        <v>198</v>
      </c>
      <c r="J641" s="34">
        <v>2092.44</v>
      </c>
      <c r="K641" s="34"/>
      <c r="L641" s="34">
        <v>2092.44</v>
      </c>
    </row>
    <row r="642" spans="2:12" x14ac:dyDescent="0.3">
      <c r="B642" s="25">
        <v>643</v>
      </c>
      <c r="C642" s="33">
        <v>52396</v>
      </c>
      <c r="D642" s="33" t="s">
        <v>400</v>
      </c>
      <c r="E642" s="35">
        <v>44340</v>
      </c>
      <c r="F642" s="33">
        <v>2</v>
      </c>
      <c r="G642" s="33" t="s">
        <v>231</v>
      </c>
      <c r="H642" s="33" t="s">
        <v>69</v>
      </c>
      <c r="I642" s="33" t="s">
        <v>198</v>
      </c>
      <c r="J642" s="34">
        <v>573.87</v>
      </c>
      <c r="K642" s="34"/>
      <c r="L642" s="34">
        <v>573.87</v>
      </c>
    </row>
    <row r="643" spans="2:12" x14ac:dyDescent="0.3">
      <c r="B643" s="25">
        <v>644</v>
      </c>
      <c r="C643" s="33">
        <v>52397</v>
      </c>
      <c r="D643" s="33" t="s">
        <v>400</v>
      </c>
      <c r="E643" s="35">
        <v>44340</v>
      </c>
      <c r="F643" s="33">
        <v>2</v>
      </c>
      <c r="G643" s="33" t="s">
        <v>231</v>
      </c>
      <c r="H643" s="33" t="s">
        <v>69</v>
      </c>
      <c r="I643" s="33" t="s">
        <v>198</v>
      </c>
      <c r="J643" s="34">
        <v>2004.08</v>
      </c>
      <c r="K643" s="34"/>
      <c r="L643" s="34">
        <v>2004.08</v>
      </c>
    </row>
    <row r="644" spans="2:12" x14ac:dyDescent="0.3">
      <c r="B644" s="25">
        <v>645</v>
      </c>
      <c r="C644" s="33">
        <v>52398</v>
      </c>
      <c r="D644" s="33" t="s">
        <v>400</v>
      </c>
      <c r="E644" s="35">
        <v>44340</v>
      </c>
      <c r="F644" s="33">
        <v>2</v>
      </c>
      <c r="G644" s="33" t="s">
        <v>231</v>
      </c>
      <c r="H644" s="33" t="s">
        <v>69</v>
      </c>
      <c r="I644" s="33" t="s">
        <v>198</v>
      </c>
      <c r="J644" s="34">
        <v>892.88</v>
      </c>
      <c r="K644" s="34"/>
      <c r="L644" s="34">
        <v>892.88</v>
      </c>
    </row>
    <row r="645" spans="2:12" x14ac:dyDescent="0.3">
      <c r="B645" s="25">
        <v>646</v>
      </c>
      <c r="C645" s="33">
        <v>52399</v>
      </c>
      <c r="D645" s="33" t="s">
        <v>400</v>
      </c>
      <c r="E645" s="35">
        <v>44340</v>
      </c>
      <c r="F645" s="33">
        <v>2</v>
      </c>
      <c r="G645" s="33" t="s">
        <v>231</v>
      </c>
      <c r="H645" s="33" t="s">
        <v>69</v>
      </c>
      <c r="I645" s="33" t="s">
        <v>198</v>
      </c>
      <c r="J645" s="34">
        <v>679.95</v>
      </c>
      <c r="K645" s="34"/>
      <c r="L645" s="34">
        <v>679.95</v>
      </c>
    </row>
    <row r="646" spans="2:12" x14ac:dyDescent="0.3">
      <c r="B646" s="25">
        <v>647</v>
      </c>
      <c r="C646" s="33">
        <v>52400</v>
      </c>
      <c r="D646" s="33" t="s">
        <v>400</v>
      </c>
      <c r="E646" s="35">
        <v>44340</v>
      </c>
      <c r="F646" s="33">
        <v>2</v>
      </c>
      <c r="G646" s="33" t="s">
        <v>231</v>
      </c>
      <c r="H646" s="33" t="s">
        <v>69</v>
      </c>
      <c r="I646" s="33" t="s">
        <v>198</v>
      </c>
      <c r="J646" s="34">
        <v>199.34</v>
      </c>
      <c r="K646" s="34"/>
      <c r="L646" s="34">
        <v>199.34</v>
      </c>
    </row>
    <row r="647" spans="2:12" x14ac:dyDescent="0.3">
      <c r="B647" s="25">
        <v>648</v>
      </c>
      <c r="C647" s="33">
        <v>52401</v>
      </c>
      <c r="D647" s="33" t="s">
        <v>400</v>
      </c>
      <c r="E647" s="35">
        <v>44340</v>
      </c>
      <c r="F647" s="33">
        <v>2</v>
      </c>
      <c r="G647" s="33" t="s">
        <v>231</v>
      </c>
      <c r="H647" s="33" t="s">
        <v>69</v>
      </c>
      <c r="I647" s="33" t="s">
        <v>198</v>
      </c>
      <c r="J647" s="34">
        <v>1544.66</v>
      </c>
      <c r="K647" s="34"/>
      <c r="L647" s="34">
        <v>1544.66</v>
      </c>
    </row>
    <row r="648" spans="2:12" x14ac:dyDescent="0.3">
      <c r="B648" s="25">
        <v>649</v>
      </c>
      <c r="C648" s="33">
        <v>52402</v>
      </c>
      <c r="D648" s="33" t="s">
        <v>400</v>
      </c>
      <c r="E648" s="35">
        <v>44340</v>
      </c>
      <c r="F648" s="33">
        <v>2</v>
      </c>
      <c r="G648" s="33" t="s">
        <v>231</v>
      </c>
      <c r="H648" s="33" t="s">
        <v>69</v>
      </c>
      <c r="I648" s="33" t="s">
        <v>198</v>
      </c>
      <c r="J648" s="34">
        <v>270.63</v>
      </c>
      <c r="K648" s="34"/>
      <c r="L648" s="34">
        <v>270.63</v>
      </c>
    </row>
    <row r="649" spans="2:12" x14ac:dyDescent="0.3">
      <c r="B649" s="25">
        <v>650</v>
      </c>
      <c r="C649" s="33">
        <v>52403</v>
      </c>
      <c r="D649" s="33" t="s">
        <v>401</v>
      </c>
      <c r="E649" s="35">
        <v>44340</v>
      </c>
      <c r="F649" s="33">
        <v>2</v>
      </c>
      <c r="G649" s="33" t="s">
        <v>231</v>
      </c>
      <c r="H649" s="33" t="s">
        <v>69</v>
      </c>
      <c r="I649" s="33" t="s">
        <v>198</v>
      </c>
      <c r="J649" s="34">
        <v>6600.5</v>
      </c>
      <c r="K649" s="34"/>
      <c r="L649" s="34">
        <v>6600.5</v>
      </c>
    </row>
    <row r="650" spans="2:12" x14ac:dyDescent="0.3">
      <c r="B650" s="25">
        <v>651</v>
      </c>
      <c r="C650" s="33">
        <v>52467</v>
      </c>
      <c r="D650" s="33" t="s">
        <v>404</v>
      </c>
      <c r="E650" s="35">
        <v>44343</v>
      </c>
      <c r="F650" s="33">
        <v>2</v>
      </c>
      <c r="G650" s="33" t="s">
        <v>122</v>
      </c>
      <c r="H650" s="33" t="s">
        <v>69</v>
      </c>
      <c r="I650" s="33" t="s">
        <v>196</v>
      </c>
      <c r="J650" s="34">
        <v>2213</v>
      </c>
      <c r="K650" s="34"/>
      <c r="L650" s="34">
        <v>2213</v>
      </c>
    </row>
    <row r="651" spans="2:12" x14ac:dyDescent="0.3">
      <c r="B651" s="25">
        <v>652</v>
      </c>
      <c r="C651" s="33">
        <v>52505</v>
      </c>
      <c r="D651" s="33" t="s">
        <v>416</v>
      </c>
      <c r="E651" s="35">
        <v>44343</v>
      </c>
      <c r="F651" s="33">
        <v>2</v>
      </c>
      <c r="G651" s="33" t="s">
        <v>231</v>
      </c>
      <c r="H651" s="33" t="s">
        <v>69</v>
      </c>
      <c r="I651" s="33" t="s">
        <v>198</v>
      </c>
      <c r="J651" s="34">
        <v>47</v>
      </c>
      <c r="K651" s="34"/>
      <c r="L651" s="34">
        <v>47</v>
      </c>
    </row>
    <row r="652" spans="2:12" x14ac:dyDescent="0.3">
      <c r="B652" s="25">
        <v>653</v>
      </c>
      <c r="C652" s="33">
        <v>52532</v>
      </c>
      <c r="D652" s="33" t="s">
        <v>400</v>
      </c>
      <c r="E652" s="35">
        <v>44344</v>
      </c>
      <c r="F652" s="33">
        <v>2</v>
      </c>
      <c r="G652" s="33" t="s">
        <v>231</v>
      </c>
      <c r="H652" s="33" t="s">
        <v>69</v>
      </c>
      <c r="I652" s="33" t="s">
        <v>198</v>
      </c>
      <c r="J652" s="34">
        <v>22.31</v>
      </c>
      <c r="K652" s="34"/>
      <c r="L652" s="34">
        <v>22.31</v>
      </c>
    </row>
    <row r="653" spans="2:12" x14ac:dyDescent="0.3">
      <c r="B653" s="25">
        <v>654</v>
      </c>
      <c r="C653" s="33">
        <v>52533</v>
      </c>
      <c r="D653" s="33" t="s">
        <v>400</v>
      </c>
      <c r="E653" s="35">
        <v>44344</v>
      </c>
      <c r="F653" s="33">
        <v>2</v>
      </c>
      <c r="G653" s="33" t="s">
        <v>231</v>
      </c>
      <c r="H653" s="33" t="s">
        <v>69</v>
      </c>
      <c r="I653" s="33" t="s">
        <v>198</v>
      </c>
      <c r="J653" s="34">
        <v>477.24</v>
      </c>
      <c r="K653" s="34"/>
      <c r="L653" s="34">
        <v>477.24</v>
      </c>
    </row>
    <row r="654" spans="2:12" x14ac:dyDescent="0.3">
      <c r="B654" s="25">
        <v>655</v>
      </c>
      <c r="C654" s="33">
        <v>52534</v>
      </c>
      <c r="D654" s="33" t="s">
        <v>400</v>
      </c>
      <c r="E654" s="35">
        <v>44344</v>
      </c>
      <c r="F654" s="33">
        <v>2</v>
      </c>
      <c r="G654" s="33" t="s">
        <v>231</v>
      </c>
      <c r="H654" s="33" t="s">
        <v>69</v>
      </c>
      <c r="I654" s="33" t="s">
        <v>198</v>
      </c>
      <c r="J654" s="34">
        <v>30.07</v>
      </c>
      <c r="K654" s="34"/>
      <c r="L654" s="34">
        <v>30.07</v>
      </c>
    </row>
    <row r="655" spans="2:12" x14ac:dyDescent="0.3">
      <c r="B655" s="25">
        <v>656</v>
      </c>
      <c r="C655" s="33">
        <v>52536</v>
      </c>
      <c r="D655" s="33" t="s">
        <v>409</v>
      </c>
      <c r="E655" s="35">
        <v>44344</v>
      </c>
      <c r="F655" s="33">
        <v>2</v>
      </c>
      <c r="G655" s="33" t="s">
        <v>231</v>
      </c>
      <c r="H655" s="33" t="s">
        <v>69</v>
      </c>
      <c r="I655" s="33" t="s">
        <v>198</v>
      </c>
      <c r="J655" s="34">
        <v>2415</v>
      </c>
      <c r="K655" s="34"/>
      <c r="L655" s="34">
        <v>2415</v>
      </c>
    </row>
    <row r="656" spans="2:12" x14ac:dyDescent="0.3">
      <c r="B656" s="25">
        <v>657</v>
      </c>
      <c r="C656" s="33">
        <v>52541</v>
      </c>
      <c r="D656" s="33" t="s">
        <v>406</v>
      </c>
      <c r="E656" s="35">
        <v>44344</v>
      </c>
      <c r="F656" s="33">
        <v>2</v>
      </c>
      <c r="G656" s="33" t="s">
        <v>122</v>
      </c>
      <c r="H656" s="33" t="s">
        <v>69</v>
      </c>
      <c r="I656" s="33" t="s">
        <v>196</v>
      </c>
      <c r="J656" s="34">
        <v>1121.5</v>
      </c>
      <c r="K656" s="34"/>
      <c r="L656" s="34">
        <v>1121.5</v>
      </c>
    </row>
    <row r="657" spans="2:12" x14ac:dyDescent="0.3">
      <c r="B657" s="25">
        <v>658</v>
      </c>
      <c r="C657" s="33" t="s">
        <v>592</v>
      </c>
      <c r="D657" s="33" t="s">
        <v>410</v>
      </c>
      <c r="E657" s="35">
        <v>44347</v>
      </c>
      <c r="F657" s="33">
        <v>2</v>
      </c>
      <c r="G657" s="33" t="s">
        <v>231</v>
      </c>
      <c r="H657" s="33" t="s">
        <v>69</v>
      </c>
      <c r="I657" s="33" t="s">
        <v>198</v>
      </c>
      <c r="J657" s="34">
        <v>6626.51</v>
      </c>
      <c r="K657" s="34"/>
      <c r="L657" s="34">
        <v>6626.51</v>
      </c>
    </row>
    <row r="658" spans="2:12" x14ac:dyDescent="0.3">
      <c r="B658" s="25">
        <v>659</v>
      </c>
      <c r="C658" s="33">
        <v>52550</v>
      </c>
      <c r="D658" s="33" t="s">
        <v>404</v>
      </c>
      <c r="E658" s="35">
        <v>44350</v>
      </c>
      <c r="F658" s="33">
        <v>2</v>
      </c>
      <c r="G658" s="33" t="s">
        <v>122</v>
      </c>
      <c r="H658" s="33" t="s">
        <v>69</v>
      </c>
      <c r="I658" s="33" t="s">
        <v>196</v>
      </c>
      <c r="J658" s="34">
        <v>1182</v>
      </c>
      <c r="K658" s="34"/>
      <c r="L658" s="34">
        <v>1182</v>
      </c>
    </row>
    <row r="659" spans="2:12" x14ac:dyDescent="0.3">
      <c r="B659" s="25">
        <v>660</v>
      </c>
      <c r="C659" s="33">
        <v>52573</v>
      </c>
      <c r="D659" s="33" t="s">
        <v>400</v>
      </c>
      <c r="E659" s="35">
        <v>44350</v>
      </c>
      <c r="F659" s="33">
        <v>2</v>
      </c>
      <c r="G659" s="33" t="s">
        <v>231</v>
      </c>
      <c r="H659" s="33" t="s">
        <v>69</v>
      </c>
      <c r="I659" s="33" t="s">
        <v>198</v>
      </c>
      <c r="J659" s="34">
        <v>1612.12</v>
      </c>
      <c r="K659" s="34"/>
      <c r="L659" s="34">
        <v>1612.12</v>
      </c>
    </row>
    <row r="660" spans="2:12" x14ac:dyDescent="0.3">
      <c r="B660" s="25">
        <v>661</v>
      </c>
      <c r="C660" s="33">
        <v>52574</v>
      </c>
      <c r="D660" s="33" t="s">
        <v>400</v>
      </c>
      <c r="E660" s="35">
        <v>44350</v>
      </c>
      <c r="F660" s="33">
        <v>2</v>
      </c>
      <c r="G660" s="33" t="s">
        <v>231</v>
      </c>
      <c r="H660" s="33" t="s">
        <v>69</v>
      </c>
      <c r="I660" s="33" t="s">
        <v>198</v>
      </c>
      <c r="J660" s="34">
        <v>862.78</v>
      </c>
      <c r="K660" s="34"/>
      <c r="L660" s="34">
        <v>862.78</v>
      </c>
    </row>
    <row r="661" spans="2:12" x14ac:dyDescent="0.3">
      <c r="B661" s="25">
        <v>662</v>
      </c>
      <c r="C661" s="33">
        <v>52575</v>
      </c>
      <c r="D661" s="33" t="s">
        <v>400</v>
      </c>
      <c r="E661" s="35">
        <v>44350</v>
      </c>
      <c r="F661" s="33">
        <v>2</v>
      </c>
      <c r="G661" s="33" t="s">
        <v>231</v>
      </c>
      <c r="H661" s="33" t="s">
        <v>69</v>
      </c>
      <c r="I661" s="33" t="s">
        <v>198</v>
      </c>
      <c r="J661" s="34">
        <v>552.89</v>
      </c>
      <c r="K661" s="34"/>
      <c r="L661" s="34">
        <v>552.89</v>
      </c>
    </row>
    <row r="662" spans="2:12" x14ac:dyDescent="0.3">
      <c r="B662" s="25">
        <v>663</v>
      </c>
      <c r="C662" s="33">
        <v>52576</v>
      </c>
      <c r="D662" s="33" t="s">
        <v>400</v>
      </c>
      <c r="E662" s="35">
        <v>44350</v>
      </c>
      <c r="F662" s="33">
        <v>2</v>
      </c>
      <c r="G662" s="33" t="s">
        <v>231</v>
      </c>
      <c r="H662" s="33" t="s">
        <v>69</v>
      </c>
      <c r="I662" s="33" t="s">
        <v>198</v>
      </c>
      <c r="J662" s="34">
        <v>322.02999999999997</v>
      </c>
      <c r="K662" s="34"/>
      <c r="L662" s="34">
        <v>322.02999999999997</v>
      </c>
    </row>
    <row r="663" spans="2:12" x14ac:dyDescent="0.3">
      <c r="B663" s="25">
        <v>664</v>
      </c>
      <c r="C663" s="33">
        <v>52577</v>
      </c>
      <c r="D663" s="33" t="s">
        <v>400</v>
      </c>
      <c r="E663" s="35">
        <v>44350</v>
      </c>
      <c r="F663" s="33">
        <v>2</v>
      </c>
      <c r="G663" s="33" t="s">
        <v>231</v>
      </c>
      <c r="H663" s="33" t="s">
        <v>69</v>
      </c>
      <c r="I663" s="33" t="s">
        <v>198</v>
      </c>
      <c r="J663" s="34">
        <v>2035.91</v>
      </c>
      <c r="K663" s="34"/>
      <c r="L663" s="34">
        <v>2035.91</v>
      </c>
    </row>
    <row r="664" spans="2:12" x14ac:dyDescent="0.3">
      <c r="B664" s="25">
        <v>665</v>
      </c>
      <c r="C664" s="33">
        <v>52578</v>
      </c>
      <c r="D664" s="33" t="s">
        <v>400</v>
      </c>
      <c r="E664" s="35">
        <v>44350</v>
      </c>
      <c r="F664" s="33">
        <v>2</v>
      </c>
      <c r="G664" s="33" t="s">
        <v>231</v>
      </c>
      <c r="H664" s="33" t="s">
        <v>69</v>
      </c>
      <c r="I664" s="33" t="s">
        <v>198</v>
      </c>
      <c r="J664" s="34">
        <v>838.57</v>
      </c>
      <c r="K664" s="34"/>
      <c r="L664" s="34">
        <v>838.57</v>
      </c>
    </row>
    <row r="665" spans="2:12" x14ac:dyDescent="0.3">
      <c r="B665" s="25">
        <v>666</v>
      </c>
      <c r="C665" s="33">
        <v>52579</v>
      </c>
      <c r="D665" s="33" t="s">
        <v>400</v>
      </c>
      <c r="E665" s="35">
        <v>44350</v>
      </c>
      <c r="F665" s="33">
        <v>2</v>
      </c>
      <c r="G665" s="33" t="s">
        <v>231</v>
      </c>
      <c r="H665" s="33" t="s">
        <v>69</v>
      </c>
      <c r="I665" s="33" t="s">
        <v>198</v>
      </c>
      <c r="J665" s="34">
        <v>8.73</v>
      </c>
      <c r="K665" s="34"/>
      <c r="L665" s="34">
        <v>8.73</v>
      </c>
    </row>
    <row r="666" spans="2:12" x14ac:dyDescent="0.3">
      <c r="B666" s="25">
        <v>667</v>
      </c>
      <c r="C666" s="33">
        <v>52580</v>
      </c>
      <c r="D666" s="33" t="s">
        <v>400</v>
      </c>
      <c r="E666" s="35">
        <v>44350</v>
      </c>
      <c r="F666" s="33">
        <v>2</v>
      </c>
      <c r="G666" s="33" t="s">
        <v>231</v>
      </c>
      <c r="H666" s="33" t="s">
        <v>69</v>
      </c>
      <c r="I666" s="33" t="s">
        <v>198</v>
      </c>
      <c r="J666" s="34">
        <v>2245.0300000000002</v>
      </c>
      <c r="K666" s="34"/>
      <c r="L666" s="34">
        <v>2245.0300000000002</v>
      </c>
    </row>
    <row r="667" spans="2:12" x14ac:dyDescent="0.3">
      <c r="B667" s="25">
        <v>668</v>
      </c>
      <c r="C667" s="33">
        <v>52706</v>
      </c>
      <c r="D667" s="33" t="s">
        <v>367</v>
      </c>
      <c r="E667" s="35">
        <v>44358</v>
      </c>
      <c r="F667" s="33">
        <v>2</v>
      </c>
      <c r="G667" s="33" t="s">
        <v>124</v>
      </c>
      <c r="H667" s="33" t="s">
        <v>69</v>
      </c>
      <c r="I667" s="33" t="s">
        <v>197</v>
      </c>
      <c r="J667" s="34">
        <v>732.99</v>
      </c>
      <c r="K667" s="34"/>
      <c r="L667" s="34">
        <v>732.99</v>
      </c>
    </row>
    <row r="668" spans="2:12" x14ac:dyDescent="0.3">
      <c r="B668" s="25">
        <v>669</v>
      </c>
      <c r="C668" s="33">
        <v>52715</v>
      </c>
      <c r="D668" s="33" t="s">
        <v>442</v>
      </c>
      <c r="E668" s="35">
        <v>44358</v>
      </c>
      <c r="F668" s="33">
        <v>2</v>
      </c>
      <c r="G668" s="33" t="s">
        <v>122</v>
      </c>
      <c r="H668" s="33" t="s">
        <v>69</v>
      </c>
      <c r="I668" s="33" t="s">
        <v>196</v>
      </c>
      <c r="J668" s="34">
        <v>3232.5</v>
      </c>
      <c r="K668" s="34"/>
      <c r="L668" s="34">
        <v>3232.5</v>
      </c>
    </row>
    <row r="669" spans="2:12" x14ac:dyDescent="0.3">
      <c r="B669" s="25">
        <v>670</v>
      </c>
      <c r="C669" s="33">
        <v>52717</v>
      </c>
      <c r="D669" s="33" t="s">
        <v>275</v>
      </c>
      <c r="E669" s="35">
        <v>44358</v>
      </c>
      <c r="F669" s="33">
        <v>2</v>
      </c>
      <c r="G669" s="33" t="s">
        <v>124</v>
      </c>
      <c r="H669" s="33" t="s">
        <v>69</v>
      </c>
      <c r="I669" s="33" t="s">
        <v>197</v>
      </c>
      <c r="J669" s="34">
        <v>1039</v>
      </c>
      <c r="K669" s="34"/>
      <c r="L669" s="34">
        <v>1039</v>
      </c>
    </row>
    <row r="670" spans="2:12" x14ac:dyDescent="0.3">
      <c r="B670" s="25">
        <v>671</v>
      </c>
      <c r="C670" s="33">
        <v>52721</v>
      </c>
      <c r="D670" s="33" t="s">
        <v>400</v>
      </c>
      <c r="E670" s="35">
        <v>44358</v>
      </c>
      <c r="F670" s="33">
        <v>2</v>
      </c>
      <c r="G670" s="33" t="s">
        <v>231</v>
      </c>
      <c r="H670" s="33" t="s">
        <v>69</v>
      </c>
      <c r="I670" s="33" t="s">
        <v>198</v>
      </c>
      <c r="J670" s="34">
        <v>287.10000000000002</v>
      </c>
      <c r="K670" s="34"/>
      <c r="L670" s="34">
        <v>287.10000000000002</v>
      </c>
    </row>
    <row r="671" spans="2:12" x14ac:dyDescent="0.3">
      <c r="B671" s="25">
        <v>672</v>
      </c>
      <c r="C671" s="33">
        <v>52722</v>
      </c>
      <c r="D671" s="33" t="s">
        <v>400</v>
      </c>
      <c r="E671" s="35">
        <v>44358</v>
      </c>
      <c r="F671" s="33">
        <v>2</v>
      </c>
      <c r="G671" s="33" t="s">
        <v>231</v>
      </c>
      <c r="H671" s="33" t="s">
        <v>69</v>
      </c>
      <c r="I671" s="33" t="s">
        <v>198</v>
      </c>
      <c r="J671" s="34">
        <v>705.19</v>
      </c>
      <c r="K671" s="34"/>
      <c r="L671" s="34">
        <v>705.19</v>
      </c>
    </row>
    <row r="672" spans="2:12" x14ac:dyDescent="0.3">
      <c r="B672" s="25">
        <v>673</v>
      </c>
      <c r="C672" s="33">
        <v>52723</v>
      </c>
      <c r="D672" s="33" t="s">
        <v>400</v>
      </c>
      <c r="E672" s="35">
        <v>44358</v>
      </c>
      <c r="F672" s="33">
        <v>2</v>
      </c>
      <c r="G672" s="33" t="s">
        <v>231</v>
      </c>
      <c r="H672" s="33" t="s">
        <v>69</v>
      </c>
      <c r="I672" s="33" t="s">
        <v>198</v>
      </c>
      <c r="J672" s="34">
        <v>1239.1500000000001</v>
      </c>
      <c r="K672" s="34"/>
      <c r="L672" s="34">
        <v>1239.1500000000001</v>
      </c>
    </row>
    <row r="673" spans="2:12" x14ac:dyDescent="0.3">
      <c r="B673" s="25">
        <v>674</v>
      </c>
      <c r="C673" s="33">
        <v>52730</v>
      </c>
      <c r="D673" s="33" t="s">
        <v>409</v>
      </c>
      <c r="E673" s="35">
        <v>44358</v>
      </c>
      <c r="F673" s="33">
        <v>2</v>
      </c>
      <c r="G673" s="33" t="s">
        <v>231</v>
      </c>
      <c r="H673" s="33" t="s">
        <v>69</v>
      </c>
      <c r="I673" s="33" t="s">
        <v>196</v>
      </c>
      <c r="J673" s="34">
        <v>525</v>
      </c>
      <c r="K673" s="34"/>
      <c r="L673" s="34">
        <v>525</v>
      </c>
    </row>
    <row r="674" spans="2:12" x14ac:dyDescent="0.3">
      <c r="B674" s="25">
        <v>675</v>
      </c>
      <c r="C674" s="33">
        <v>52827</v>
      </c>
      <c r="D674" s="33" t="s">
        <v>484</v>
      </c>
      <c r="E674" s="35">
        <v>44364</v>
      </c>
      <c r="F674" s="33">
        <v>2</v>
      </c>
      <c r="G674" s="33" t="s">
        <v>122</v>
      </c>
      <c r="H674" s="33" t="s">
        <v>69</v>
      </c>
      <c r="I674" s="33" t="s">
        <v>196</v>
      </c>
      <c r="J674" s="34">
        <v>263</v>
      </c>
      <c r="K674" s="34"/>
      <c r="L674" s="34">
        <v>263</v>
      </c>
    </row>
    <row r="675" spans="2:12" x14ac:dyDescent="0.3">
      <c r="B675" s="25">
        <v>676</v>
      </c>
      <c r="C675" s="33">
        <v>52830</v>
      </c>
      <c r="D675" s="33" t="s">
        <v>404</v>
      </c>
      <c r="E675" s="35">
        <v>44364</v>
      </c>
      <c r="F675" s="33">
        <v>2</v>
      </c>
      <c r="G675" s="33" t="s">
        <v>122</v>
      </c>
      <c r="H675" s="33" t="s">
        <v>69</v>
      </c>
      <c r="I675" s="33" t="s">
        <v>196</v>
      </c>
      <c r="J675" s="34">
        <v>211</v>
      </c>
      <c r="K675" s="34"/>
      <c r="L675" s="34">
        <v>211</v>
      </c>
    </row>
    <row r="676" spans="2:12" x14ac:dyDescent="0.3">
      <c r="B676" s="25">
        <v>677</v>
      </c>
      <c r="C676" s="33">
        <v>52832</v>
      </c>
      <c r="D676" s="33" t="s">
        <v>438</v>
      </c>
      <c r="E676" s="35">
        <v>44364</v>
      </c>
      <c r="F676" s="33">
        <v>2</v>
      </c>
      <c r="G676" s="33" t="s">
        <v>122</v>
      </c>
      <c r="H676" s="33" t="s">
        <v>69</v>
      </c>
      <c r="I676" s="33" t="s">
        <v>196</v>
      </c>
      <c r="J676" s="34">
        <v>3923</v>
      </c>
      <c r="K676" s="34"/>
      <c r="L676" s="34">
        <v>3923</v>
      </c>
    </row>
    <row r="677" spans="2:12" x14ac:dyDescent="0.3">
      <c r="B677" s="25">
        <v>678</v>
      </c>
      <c r="C677" s="33">
        <v>52833</v>
      </c>
      <c r="D677" s="33" t="s">
        <v>438</v>
      </c>
      <c r="E677" s="35">
        <v>44364</v>
      </c>
      <c r="F677" s="33">
        <v>2</v>
      </c>
      <c r="G677" s="33" t="s">
        <v>122</v>
      </c>
      <c r="H677" s="33" t="s">
        <v>69</v>
      </c>
      <c r="I677" s="33" t="s">
        <v>196</v>
      </c>
      <c r="J677" s="34">
        <v>23.5</v>
      </c>
      <c r="K677" s="34"/>
      <c r="L677" s="34">
        <v>23.5</v>
      </c>
    </row>
    <row r="678" spans="2:12" x14ac:dyDescent="0.3">
      <c r="B678" s="25">
        <v>679</v>
      </c>
      <c r="C678" s="33">
        <v>52837</v>
      </c>
      <c r="D678" s="33" t="s">
        <v>409</v>
      </c>
      <c r="E678" s="35">
        <v>44364</v>
      </c>
      <c r="F678" s="33">
        <v>2</v>
      </c>
      <c r="G678" s="33" t="s">
        <v>231</v>
      </c>
      <c r="H678" s="33" t="s">
        <v>69</v>
      </c>
      <c r="I678" s="33" t="s">
        <v>198</v>
      </c>
      <c r="J678" s="34">
        <v>375</v>
      </c>
      <c r="K678" s="34"/>
      <c r="L678" s="34">
        <v>375</v>
      </c>
    </row>
    <row r="679" spans="2:12" x14ac:dyDescent="0.3">
      <c r="B679" s="25">
        <v>680</v>
      </c>
      <c r="C679" s="33">
        <v>52908</v>
      </c>
      <c r="D679" s="33" t="s">
        <v>400</v>
      </c>
      <c r="E679" s="35">
        <v>44365</v>
      </c>
      <c r="F679" s="33">
        <v>2</v>
      </c>
      <c r="G679" s="33" t="s">
        <v>231</v>
      </c>
      <c r="H679" s="33" t="s">
        <v>69</v>
      </c>
      <c r="I679" s="33" t="s">
        <v>198</v>
      </c>
      <c r="J679" s="34">
        <v>374.41</v>
      </c>
      <c r="K679" s="34"/>
      <c r="L679" s="34">
        <v>374.41</v>
      </c>
    </row>
    <row r="680" spans="2:12" x14ac:dyDescent="0.3">
      <c r="B680" s="25">
        <v>681</v>
      </c>
      <c r="C680" s="33">
        <v>52986</v>
      </c>
      <c r="D680" s="33" t="s">
        <v>404</v>
      </c>
      <c r="E680" s="35">
        <v>44372</v>
      </c>
      <c r="F680" s="33">
        <v>2</v>
      </c>
      <c r="G680" s="33" t="s">
        <v>122</v>
      </c>
      <c r="H680" s="33" t="s">
        <v>69</v>
      </c>
      <c r="I680" s="33" t="s">
        <v>196</v>
      </c>
      <c r="J680" s="34">
        <v>2529</v>
      </c>
      <c r="K680" s="34"/>
      <c r="L680" s="34">
        <v>2529</v>
      </c>
    </row>
    <row r="681" spans="2:12" x14ac:dyDescent="0.3">
      <c r="B681" s="25">
        <v>682</v>
      </c>
      <c r="C681" s="33">
        <v>52988</v>
      </c>
      <c r="D681" s="33" t="s">
        <v>512</v>
      </c>
      <c r="E681" s="35">
        <v>44372</v>
      </c>
      <c r="F681" s="33">
        <v>2</v>
      </c>
      <c r="G681" s="33" t="s">
        <v>122</v>
      </c>
      <c r="H681" s="33" t="s">
        <v>69</v>
      </c>
      <c r="I681" s="33" t="s">
        <v>196</v>
      </c>
      <c r="J681" s="34">
        <v>427</v>
      </c>
      <c r="K681" s="34"/>
      <c r="L681" s="34">
        <v>427</v>
      </c>
    </row>
    <row r="682" spans="2:12" x14ac:dyDescent="0.3">
      <c r="B682" s="25">
        <v>683</v>
      </c>
      <c r="C682" s="33">
        <v>52989</v>
      </c>
      <c r="D682" s="33" t="s">
        <v>411</v>
      </c>
      <c r="E682" s="35">
        <v>44372</v>
      </c>
      <c r="F682" s="33">
        <v>2</v>
      </c>
      <c r="G682" s="33" t="s">
        <v>122</v>
      </c>
      <c r="H682" s="33" t="s">
        <v>69</v>
      </c>
      <c r="I682" s="33" t="s">
        <v>196</v>
      </c>
      <c r="J682" s="34">
        <v>2083.5100000000002</v>
      </c>
      <c r="K682" s="34"/>
      <c r="L682" s="34">
        <v>2083.5100000000002</v>
      </c>
    </row>
    <row r="683" spans="2:12" x14ac:dyDescent="0.3">
      <c r="B683" s="25">
        <v>684</v>
      </c>
      <c r="C683" s="33">
        <v>53068</v>
      </c>
      <c r="D683" s="33" t="s">
        <v>400</v>
      </c>
      <c r="E683" s="35">
        <v>44375</v>
      </c>
      <c r="F683" s="33">
        <v>2</v>
      </c>
      <c r="G683" s="33" t="s">
        <v>231</v>
      </c>
      <c r="H683" s="33" t="s">
        <v>69</v>
      </c>
      <c r="I683" s="33" t="s">
        <v>198</v>
      </c>
      <c r="J683" s="34">
        <v>36.86</v>
      </c>
      <c r="K683" s="34"/>
      <c r="L683" s="34">
        <v>36.86</v>
      </c>
    </row>
    <row r="684" spans="2:12" x14ac:dyDescent="0.3">
      <c r="B684" s="25">
        <v>685</v>
      </c>
      <c r="C684" s="33">
        <v>53112</v>
      </c>
      <c r="D684" s="33" t="s">
        <v>593</v>
      </c>
      <c r="E684" s="35">
        <v>44378</v>
      </c>
      <c r="F684" s="33">
        <v>3</v>
      </c>
      <c r="G684" s="33" t="s">
        <v>122</v>
      </c>
      <c r="H684" s="33" t="s">
        <v>69</v>
      </c>
      <c r="I684" s="33" t="s">
        <v>196</v>
      </c>
      <c r="J684" s="34">
        <v>2363.56</v>
      </c>
      <c r="K684" s="34"/>
      <c r="L684" s="34">
        <v>2363.56</v>
      </c>
    </row>
    <row r="685" spans="2:12" x14ac:dyDescent="0.3">
      <c r="B685" s="25">
        <v>686</v>
      </c>
      <c r="C685" s="33">
        <v>53114</v>
      </c>
      <c r="D685" s="33" t="s">
        <v>404</v>
      </c>
      <c r="E685" s="35">
        <v>44378</v>
      </c>
      <c r="F685" s="33">
        <v>3</v>
      </c>
      <c r="G685" s="33" t="s">
        <v>122</v>
      </c>
      <c r="H685" s="33" t="s">
        <v>69</v>
      </c>
      <c r="I685" s="33" t="s">
        <v>196</v>
      </c>
      <c r="J685" s="34">
        <v>3849.5</v>
      </c>
      <c r="K685" s="34"/>
      <c r="L685" s="34">
        <v>3849.5</v>
      </c>
    </row>
    <row r="686" spans="2:12" x14ac:dyDescent="0.3">
      <c r="B686" s="25">
        <v>687</v>
      </c>
      <c r="C686" s="33">
        <v>53194</v>
      </c>
      <c r="D686" s="33" t="s">
        <v>400</v>
      </c>
      <c r="E686" s="35">
        <v>44379</v>
      </c>
      <c r="F686" s="33">
        <v>3</v>
      </c>
      <c r="G686" s="33" t="s">
        <v>231</v>
      </c>
      <c r="H686" s="33" t="s">
        <v>69</v>
      </c>
      <c r="I686" s="33" t="s">
        <v>198</v>
      </c>
      <c r="J686" s="34">
        <v>1497.19</v>
      </c>
      <c r="K686" s="34"/>
      <c r="L686" s="34">
        <v>1497.19</v>
      </c>
    </row>
    <row r="687" spans="2:12" x14ac:dyDescent="0.3">
      <c r="B687" s="25">
        <v>688</v>
      </c>
      <c r="C687" s="33">
        <v>53195</v>
      </c>
      <c r="D687" s="33" t="s">
        <v>400</v>
      </c>
      <c r="E687" s="35">
        <v>44379</v>
      </c>
      <c r="F687" s="33">
        <v>3</v>
      </c>
      <c r="G687" s="33" t="s">
        <v>231</v>
      </c>
      <c r="H687" s="33" t="s">
        <v>69</v>
      </c>
      <c r="I687" s="33" t="s">
        <v>198</v>
      </c>
      <c r="J687" s="34">
        <v>493.24</v>
      </c>
      <c r="K687" s="34"/>
      <c r="L687" s="34">
        <v>493.24</v>
      </c>
    </row>
    <row r="688" spans="2:12" x14ac:dyDescent="0.3">
      <c r="B688" s="25">
        <v>689</v>
      </c>
      <c r="C688" s="33">
        <v>53196</v>
      </c>
      <c r="D688" s="33" t="s">
        <v>400</v>
      </c>
      <c r="E688" s="35">
        <v>44379</v>
      </c>
      <c r="F688" s="33">
        <v>3</v>
      </c>
      <c r="G688" s="33" t="s">
        <v>231</v>
      </c>
      <c r="H688" s="33" t="s">
        <v>69</v>
      </c>
      <c r="I688" s="33" t="s">
        <v>198</v>
      </c>
      <c r="J688" s="34">
        <v>904.99</v>
      </c>
      <c r="K688" s="34"/>
      <c r="L688" s="34">
        <v>904.99</v>
      </c>
    </row>
    <row r="689" spans="2:12" x14ac:dyDescent="0.3">
      <c r="B689" s="25">
        <v>690</v>
      </c>
      <c r="C689" s="33">
        <v>53197</v>
      </c>
      <c r="D689" s="33" t="s">
        <v>400</v>
      </c>
      <c r="E689" s="35">
        <v>44379</v>
      </c>
      <c r="F689" s="33">
        <v>3</v>
      </c>
      <c r="G689" s="33" t="s">
        <v>231</v>
      </c>
      <c r="H689" s="33" t="s">
        <v>69</v>
      </c>
      <c r="I689" s="33" t="s">
        <v>198</v>
      </c>
      <c r="J689" s="34">
        <v>65.959999999999994</v>
      </c>
      <c r="K689" s="34"/>
      <c r="L689" s="34">
        <v>65.959999999999994</v>
      </c>
    </row>
    <row r="690" spans="2:12" x14ac:dyDescent="0.3">
      <c r="B690" s="25">
        <v>691</v>
      </c>
      <c r="C690" s="33">
        <v>53198</v>
      </c>
      <c r="D690" s="33" t="s">
        <v>400</v>
      </c>
      <c r="E690" s="35">
        <v>44379</v>
      </c>
      <c r="F690" s="33">
        <v>3</v>
      </c>
      <c r="G690" s="33" t="s">
        <v>231</v>
      </c>
      <c r="H690" s="33" t="s">
        <v>69</v>
      </c>
      <c r="I690" s="33" t="s">
        <v>198</v>
      </c>
      <c r="J690" s="34">
        <v>127.55</v>
      </c>
      <c r="K690" s="34"/>
      <c r="L690" s="34">
        <v>127.55</v>
      </c>
    </row>
    <row r="691" spans="2:12" x14ac:dyDescent="0.3">
      <c r="B691" s="25">
        <v>692</v>
      </c>
      <c r="C691" s="33">
        <v>53199</v>
      </c>
      <c r="D691" s="33" t="s">
        <v>400</v>
      </c>
      <c r="E691" s="35">
        <v>44379</v>
      </c>
      <c r="F691" s="33">
        <v>3</v>
      </c>
      <c r="G691" s="33" t="s">
        <v>231</v>
      </c>
      <c r="H691" s="33" t="s">
        <v>69</v>
      </c>
      <c r="I691" s="33" t="s">
        <v>198</v>
      </c>
      <c r="J691" s="34">
        <v>106.7</v>
      </c>
      <c r="K691" s="34"/>
      <c r="L691" s="34">
        <v>106.7</v>
      </c>
    </row>
    <row r="692" spans="2:12" x14ac:dyDescent="0.3">
      <c r="B692" s="25">
        <v>693</v>
      </c>
      <c r="C692" s="33">
        <v>53200</v>
      </c>
      <c r="D692" s="33" t="s">
        <v>400</v>
      </c>
      <c r="E692" s="35">
        <v>44379</v>
      </c>
      <c r="F692" s="33">
        <v>3</v>
      </c>
      <c r="G692" s="33" t="s">
        <v>231</v>
      </c>
      <c r="H692" s="33" t="s">
        <v>69</v>
      </c>
      <c r="I692" s="33" t="s">
        <v>198</v>
      </c>
      <c r="J692" s="34">
        <v>39.770000000000003</v>
      </c>
      <c r="K692" s="34"/>
      <c r="L692" s="34">
        <v>39.770000000000003</v>
      </c>
    </row>
    <row r="693" spans="2:12" x14ac:dyDescent="0.3">
      <c r="B693" s="25">
        <v>694</v>
      </c>
      <c r="C693" s="33">
        <v>53234</v>
      </c>
      <c r="D693" s="33" t="s">
        <v>281</v>
      </c>
      <c r="E693" s="35">
        <v>44379</v>
      </c>
      <c r="F693" s="33">
        <v>3</v>
      </c>
      <c r="G693" s="33" t="s">
        <v>124</v>
      </c>
      <c r="H693" s="33" t="s">
        <v>69</v>
      </c>
      <c r="I693" s="33" t="s">
        <v>197</v>
      </c>
      <c r="J693" s="34">
        <v>9376.7999999999993</v>
      </c>
      <c r="K693" s="34"/>
      <c r="L693" s="34">
        <v>9376.7999999999993</v>
      </c>
    </row>
    <row r="694" spans="2:12" x14ac:dyDescent="0.3">
      <c r="B694" s="25">
        <v>695</v>
      </c>
      <c r="C694" s="33">
        <v>53235</v>
      </c>
      <c r="D694" s="33" t="s">
        <v>281</v>
      </c>
      <c r="E694" s="35">
        <v>44379</v>
      </c>
      <c r="F694" s="33">
        <v>3</v>
      </c>
      <c r="G694" s="33" t="s">
        <v>124</v>
      </c>
      <c r="H694" s="33" t="s">
        <v>69</v>
      </c>
      <c r="I694" s="33" t="s">
        <v>197</v>
      </c>
      <c r="J694" s="34">
        <v>770.4</v>
      </c>
      <c r="K694" s="34"/>
      <c r="L694" s="34">
        <v>770.4</v>
      </c>
    </row>
    <row r="695" spans="2:12" x14ac:dyDescent="0.3">
      <c r="B695" s="25">
        <v>696</v>
      </c>
      <c r="C695" s="33">
        <v>53236</v>
      </c>
      <c r="D695" s="33" t="s">
        <v>281</v>
      </c>
      <c r="E695" s="35">
        <v>44379</v>
      </c>
      <c r="F695" s="33">
        <v>3</v>
      </c>
      <c r="G695" s="33" t="s">
        <v>124</v>
      </c>
      <c r="H695" s="33" t="s">
        <v>69</v>
      </c>
      <c r="I695" s="33" t="s">
        <v>197</v>
      </c>
      <c r="J695" s="34">
        <v>153.19999999999999</v>
      </c>
      <c r="K695" s="34"/>
      <c r="L695" s="34">
        <v>153.19999999999999</v>
      </c>
    </row>
    <row r="696" spans="2:12" x14ac:dyDescent="0.3">
      <c r="B696" s="25">
        <v>697</v>
      </c>
      <c r="C696" s="33">
        <v>11857</v>
      </c>
      <c r="D696" s="33" t="s">
        <v>410</v>
      </c>
      <c r="E696" s="35">
        <v>44383</v>
      </c>
      <c r="F696" s="33">
        <v>3</v>
      </c>
      <c r="G696" s="33" t="s">
        <v>231</v>
      </c>
      <c r="H696" s="33" t="s">
        <v>69</v>
      </c>
      <c r="I696" s="33" t="s">
        <v>198</v>
      </c>
      <c r="J696" s="34">
        <v>2738.5</v>
      </c>
      <c r="K696" s="34"/>
      <c r="L696" s="34">
        <v>2738.5</v>
      </c>
    </row>
    <row r="697" spans="2:12" x14ac:dyDescent="0.3">
      <c r="B697" s="25">
        <v>698</v>
      </c>
      <c r="C697" s="33">
        <v>53290</v>
      </c>
      <c r="D697" s="33" t="s">
        <v>438</v>
      </c>
      <c r="E697" s="35">
        <v>44385</v>
      </c>
      <c r="F697" s="33">
        <v>3</v>
      </c>
      <c r="G697" s="33" t="s">
        <v>122</v>
      </c>
      <c r="H697" s="33" t="s">
        <v>69</v>
      </c>
      <c r="I697" s="33" t="s">
        <v>196</v>
      </c>
      <c r="J697" s="34">
        <v>899.5</v>
      </c>
      <c r="K697" s="34"/>
      <c r="L697" s="34">
        <v>899.5</v>
      </c>
    </row>
    <row r="698" spans="2:12" x14ac:dyDescent="0.3">
      <c r="B698" s="25">
        <v>699</v>
      </c>
      <c r="C698" s="33">
        <v>53291</v>
      </c>
      <c r="D698" s="33" t="s">
        <v>411</v>
      </c>
      <c r="E698" s="35">
        <v>44385</v>
      </c>
      <c r="F698" s="33">
        <v>3</v>
      </c>
      <c r="G698" s="33" t="s">
        <v>122</v>
      </c>
      <c r="H698" s="33" t="s">
        <v>69</v>
      </c>
      <c r="I698" s="33" t="s">
        <v>196</v>
      </c>
      <c r="J698" s="34">
        <v>961</v>
      </c>
      <c r="K698" s="34"/>
      <c r="L698" s="34">
        <v>961</v>
      </c>
    </row>
    <row r="699" spans="2:12" x14ac:dyDescent="0.3">
      <c r="B699" s="25">
        <v>700</v>
      </c>
      <c r="C699" s="33">
        <v>53294</v>
      </c>
      <c r="D699" s="33" t="s">
        <v>412</v>
      </c>
      <c r="E699" s="35">
        <v>44385</v>
      </c>
      <c r="F699" s="33">
        <v>3</v>
      </c>
      <c r="G699" s="33" t="s">
        <v>231</v>
      </c>
      <c r="H699" s="33" t="s">
        <v>69</v>
      </c>
      <c r="I699" s="33" t="s">
        <v>198</v>
      </c>
      <c r="J699" s="34">
        <v>783.49</v>
      </c>
      <c r="K699" s="34"/>
      <c r="L699" s="34">
        <v>783.49</v>
      </c>
    </row>
    <row r="700" spans="2:12" x14ac:dyDescent="0.3">
      <c r="B700" s="25">
        <v>701</v>
      </c>
      <c r="C700" s="33">
        <v>53295</v>
      </c>
      <c r="D700" s="33" t="s">
        <v>409</v>
      </c>
      <c r="E700" s="35">
        <v>44385</v>
      </c>
      <c r="F700" s="33">
        <v>3</v>
      </c>
      <c r="G700" s="33" t="s">
        <v>231</v>
      </c>
      <c r="H700" s="33" t="s">
        <v>69</v>
      </c>
      <c r="I700" s="33" t="s">
        <v>198</v>
      </c>
      <c r="J700" s="34">
        <v>162.5</v>
      </c>
      <c r="K700" s="34"/>
      <c r="L700" s="34">
        <v>162.5</v>
      </c>
    </row>
    <row r="701" spans="2:12" x14ac:dyDescent="0.3">
      <c r="B701" s="25">
        <v>702</v>
      </c>
      <c r="C701" s="33">
        <v>2646</v>
      </c>
      <c r="D701" s="33" t="s">
        <v>594</v>
      </c>
      <c r="E701" s="35">
        <v>44370</v>
      </c>
      <c r="F701" s="33">
        <v>2</v>
      </c>
      <c r="G701" s="33" t="s">
        <v>231</v>
      </c>
      <c r="H701" s="33" t="s">
        <v>201</v>
      </c>
      <c r="I701" s="33" t="s">
        <v>198</v>
      </c>
      <c r="J701" s="34">
        <v>1529</v>
      </c>
      <c r="K701" s="34"/>
      <c r="L701" s="34">
        <v>1529</v>
      </c>
    </row>
    <row r="702" spans="2:12" x14ac:dyDescent="0.3">
      <c r="B702" s="25">
        <v>703</v>
      </c>
      <c r="C702" s="33">
        <v>3320</v>
      </c>
      <c r="D702" s="33" t="s">
        <v>595</v>
      </c>
      <c r="E702" s="35">
        <v>44398</v>
      </c>
      <c r="F702" s="33">
        <v>3</v>
      </c>
      <c r="G702" s="33" t="s">
        <v>231</v>
      </c>
      <c r="H702" s="33" t="s">
        <v>201</v>
      </c>
      <c r="I702" s="33" t="s">
        <v>198</v>
      </c>
      <c r="J702" s="34">
        <v>2627.9</v>
      </c>
      <c r="K702" s="34"/>
      <c r="L702" s="34">
        <v>2627.9</v>
      </c>
    </row>
    <row r="703" spans="2:12" x14ac:dyDescent="0.3">
      <c r="B703" s="25">
        <v>704</v>
      </c>
      <c r="C703" s="33">
        <v>3321</v>
      </c>
      <c r="D703" s="33" t="s">
        <v>574</v>
      </c>
      <c r="E703" s="35">
        <v>44398</v>
      </c>
      <c r="F703" s="33">
        <v>3</v>
      </c>
      <c r="G703" s="33" t="s">
        <v>124</v>
      </c>
      <c r="H703" s="33" t="s">
        <v>201</v>
      </c>
      <c r="I703" s="33" t="s">
        <v>197</v>
      </c>
      <c r="J703" s="34">
        <v>4639.25</v>
      </c>
      <c r="K703" s="34"/>
      <c r="L703" s="34">
        <v>4639.25</v>
      </c>
    </row>
    <row r="704" spans="2:12" x14ac:dyDescent="0.3">
      <c r="B704" s="25">
        <v>705</v>
      </c>
      <c r="C704" s="33">
        <v>3323</v>
      </c>
      <c r="D704" s="33" t="s">
        <v>473</v>
      </c>
      <c r="E704" s="35">
        <v>44398</v>
      </c>
      <c r="F704" s="33">
        <v>3</v>
      </c>
      <c r="G704" s="33" t="s">
        <v>122</v>
      </c>
      <c r="H704" s="33" t="s">
        <v>201</v>
      </c>
      <c r="I704" s="33" t="s">
        <v>196</v>
      </c>
      <c r="J704" s="34">
        <v>7151.98</v>
      </c>
      <c r="K704" s="34"/>
      <c r="L704" s="34">
        <v>7151.98</v>
      </c>
    </row>
    <row r="705" spans="2:12" x14ac:dyDescent="0.3">
      <c r="B705" s="25">
        <v>706</v>
      </c>
      <c r="C705" s="33">
        <v>3324</v>
      </c>
      <c r="D705" s="33" t="s">
        <v>387</v>
      </c>
      <c r="E705" s="35">
        <v>44398</v>
      </c>
      <c r="F705" s="33">
        <v>3</v>
      </c>
      <c r="G705" s="33" t="s">
        <v>124</v>
      </c>
      <c r="H705" s="33" t="s">
        <v>201</v>
      </c>
      <c r="I705" s="33" t="s">
        <v>197</v>
      </c>
      <c r="J705" s="34">
        <v>2105.3000000000002</v>
      </c>
      <c r="K705" s="34">
        <v>45</v>
      </c>
      <c r="L705" s="34">
        <v>2060.3000000000002</v>
      </c>
    </row>
    <row r="706" spans="2:12" x14ac:dyDescent="0.3">
      <c r="B706" s="25">
        <v>707</v>
      </c>
      <c r="C706" s="33">
        <v>3325</v>
      </c>
      <c r="D706" s="33" t="s">
        <v>565</v>
      </c>
      <c r="E706" s="35">
        <v>44398</v>
      </c>
      <c r="F706" s="33">
        <v>3</v>
      </c>
      <c r="G706" s="33" t="s">
        <v>124</v>
      </c>
      <c r="H706" s="33" t="s">
        <v>201</v>
      </c>
      <c r="I706" s="33" t="s">
        <v>197</v>
      </c>
      <c r="J706" s="34">
        <v>1960.2</v>
      </c>
      <c r="K706" s="34"/>
      <c r="L706" s="34">
        <v>1960.2</v>
      </c>
    </row>
    <row r="707" spans="2:12" x14ac:dyDescent="0.3">
      <c r="B707" s="25">
        <v>708</v>
      </c>
      <c r="C707" s="33">
        <v>3327</v>
      </c>
      <c r="D707" s="33" t="s">
        <v>596</v>
      </c>
      <c r="E707" s="35">
        <v>44398</v>
      </c>
      <c r="F707" s="33">
        <v>3</v>
      </c>
      <c r="G707" s="33" t="s">
        <v>122</v>
      </c>
      <c r="H707" s="33" t="s">
        <v>201</v>
      </c>
      <c r="I707" s="33" t="s">
        <v>196</v>
      </c>
      <c r="J707" s="34">
        <v>2288</v>
      </c>
      <c r="K707" s="34"/>
      <c r="L707" s="34">
        <v>2288</v>
      </c>
    </row>
    <row r="708" spans="2:12" x14ac:dyDescent="0.3">
      <c r="B708" s="25">
        <v>709</v>
      </c>
      <c r="C708" s="33">
        <v>3328</v>
      </c>
      <c r="D708" s="33" t="s">
        <v>575</v>
      </c>
      <c r="E708" s="35">
        <v>44398</v>
      </c>
      <c r="F708" s="33">
        <v>3</v>
      </c>
      <c r="G708" s="33" t="s">
        <v>122</v>
      </c>
      <c r="H708" s="33" t="s">
        <v>201</v>
      </c>
      <c r="I708" s="33" t="s">
        <v>196</v>
      </c>
      <c r="J708" s="34">
        <v>365</v>
      </c>
      <c r="K708" s="34">
        <v>80</v>
      </c>
      <c r="L708" s="34">
        <v>285</v>
      </c>
    </row>
    <row r="709" spans="2:12" x14ac:dyDescent="0.3">
      <c r="B709" s="25">
        <v>710</v>
      </c>
      <c r="C709" s="33">
        <v>18353</v>
      </c>
      <c r="D709" s="33" t="s">
        <v>597</v>
      </c>
      <c r="E709" s="35">
        <v>44397</v>
      </c>
      <c r="F709" s="33">
        <v>3</v>
      </c>
      <c r="G709" s="33" t="s">
        <v>122</v>
      </c>
      <c r="H709" s="33" t="s">
        <v>73</v>
      </c>
      <c r="I709" s="33" t="s">
        <v>196</v>
      </c>
      <c r="J709" s="34">
        <v>1326.61</v>
      </c>
      <c r="K709" s="34"/>
      <c r="L709" s="34">
        <v>1326.61</v>
      </c>
    </row>
    <row r="710" spans="2:12" x14ac:dyDescent="0.3">
      <c r="B710" s="25">
        <v>711</v>
      </c>
      <c r="C710" s="33" t="s">
        <v>598</v>
      </c>
      <c r="D710" s="33" t="s">
        <v>599</v>
      </c>
      <c r="E710" s="35">
        <v>44407</v>
      </c>
      <c r="F710" s="33">
        <v>3</v>
      </c>
      <c r="G710" s="33" t="s">
        <v>122</v>
      </c>
      <c r="H710" s="33" t="s">
        <v>70</v>
      </c>
      <c r="I710" s="33" t="s">
        <v>196</v>
      </c>
      <c r="J710" s="34">
        <v>1023.15</v>
      </c>
      <c r="K710" s="34"/>
      <c r="L710" s="34">
        <v>1023.15</v>
      </c>
    </row>
    <row r="711" spans="2:12" x14ac:dyDescent="0.3">
      <c r="B711" s="25">
        <v>712</v>
      </c>
      <c r="C711" s="33">
        <v>3518</v>
      </c>
      <c r="D711" s="33" t="s">
        <v>394</v>
      </c>
      <c r="E711" s="35">
        <v>44405</v>
      </c>
      <c r="F711" s="33">
        <v>3</v>
      </c>
      <c r="G711" s="33" t="s">
        <v>122</v>
      </c>
      <c r="H711" s="33" t="s">
        <v>201</v>
      </c>
      <c r="I711" s="33" t="s">
        <v>196</v>
      </c>
      <c r="J711" s="34">
        <v>2899.6</v>
      </c>
      <c r="K711" s="34"/>
      <c r="L711" s="34">
        <v>2899.6</v>
      </c>
    </row>
    <row r="712" spans="2:12" x14ac:dyDescent="0.3">
      <c r="B712" s="25">
        <v>713</v>
      </c>
      <c r="C712" s="33">
        <v>3519</v>
      </c>
      <c r="D712" s="33" t="s">
        <v>394</v>
      </c>
      <c r="E712" s="35">
        <v>44405</v>
      </c>
      <c r="F712" s="33">
        <v>3</v>
      </c>
      <c r="G712" s="33" t="s">
        <v>122</v>
      </c>
      <c r="H712" s="33" t="s">
        <v>201</v>
      </c>
      <c r="I712" s="33" t="s">
        <v>196</v>
      </c>
      <c r="J712" s="34">
        <v>15087.04</v>
      </c>
      <c r="K712" s="34"/>
      <c r="L712" s="34">
        <v>15087.04</v>
      </c>
    </row>
    <row r="713" spans="2:12" x14ac:dyDescent="0.3">
      <c r="B713" s="25">
        <v>714</v>
      </c>
      <c r="C713" s="33">
        <v>3520</v>
      </c>
      <c r="D713" s="33" t="s">
        <v>600</v>
      </c>
      <c r="E713" s="35">
        <v>44405</v>
      </c>
      <c r="F713" s="33">
        <v>3</v>
      </c>
      <c r="G713" s="33" t="s">
        <v>231</v>
      </c>
      <c r="H713" s="33" t="s">
        <v>201</v>
      </c>
      <c r="I713" s="33" t="s">
        <v>198</v>
      </c>
      <c r="J713" s="34">
        <v>880.6</v>
      </c>
      <c r="K713" s="34"/>
      <c r="L713" s="34">
        <v>880.6</v>
      </c>
    </row>
    <row r="714" spans="2:12" x14ac:dyDescent="0.3">
      <c r="B714" s="25">
        <v>715</v>
      </c>
      <c r="C714" s="33">
        <v>3524</v>
      </c>
      <c r="D714" s="33" t="s">
        <v>583</v>
      </c>
      <c r="E714" s="35">
        <v>44405</v>
      </c>
      <c r="F714" s="33">
        <v>3</v>
      </c>
      <c r="G714" s="33" t="s">
        <v>124</v>
      </c>
      <c r="H714" s="33" t="s">
        <v>201</v>
      </c>
      <c r="I714" s="33" t="s">
        <v>197</v>
      </c>
      <c r="J714" s="34">
        <v>415.28</v>
      </c>
      <c r="K714" s="34">
        <v>80</v>
      </c>
      <c r="L714" s="34">
        <v>335.28</v>
      </c>
    </row>
    <row r="715" spans="2:12" x14ac:dyDescent="0.3">
      <c r="B715" s="25">
        <v>716</v>
      </c>
      <c r="C715" s="33">
        <v>3525</v>
      </c>
      <c r="D715" s="33" t="s">
        <v>584</v>
      </c>
      <c r="E715" s="35">
        <v>44405</v>
      </c>
      <c r="F715" s="33">
        <v>3</v>
      </c>
      <c r="G715" s="33" t="s">
        <v>122</v>
      </c>
      <c r="H715" s="33" t="s">
        <v>201</v>
      </c>
      <c r="I715" s="33" t="s">
        <v>196</v>
      </c>
      <c r="J715" s="34">
        <v>3748.8</v>
      </c>
      <c r="K715" s="34"/>
      <c r="L715" s="34">
        <v>3748.8</v>
      </c>
    </row>
    <row r="716" spans="2:12" x14ac:dyDescent="0.3">
      <c r="B716" s="25">
        <v>717</v>
      </c>
      <c r="C716" s="33">
        <v>3526</v>
      </c>
      <c r="D716" s="33" t="s">
        <v>584</v>
      </c>
      <c r="E716" s="35">
        <v>44405</v>
      </c>
      <c r="F716" s="33">
        <v>3</v>
      </c>
      <c r="G716" s="33" t="s">
        <v>122</v>
      </c>
      <c r="H716" s="33" t="s">
        <v>201</v>
      </c>
      <c r="I716" s="33" t="s">
        <v>196</v>
      </c>
      <c r="J716" s="34">
        <v>919.6</v>
      </c>
      <c r="K716" s="34"/>
      <c r="L716" s="34">
        <v>919.6</v>
      </c>
    </row>
    <row r="717" spans="2:12" x14ac:dyDescent="0.3">
      <c r="B717" s="25">
        <v>718</v>
      </c>
      <c r="C717" s="33">
        <v>3529</v>
      </c>
      <c r="D717" s="33" t="s">
        <v>601</v>
      </c>
      <c r="E717" s="35">
        <v>44405</v>
      </c>
      <c r="F717" s="33">
        <v>3</v>
      </c>
      <c r="G717" s="33" t="s">
        <v>231</v>
      </c>
      <c r="H717" s="33" t="s">
        <v>201</v>
      </c>
      <c r="I717" s="33" t="s">
        <v>198</v>
      </c>
      <c r="J717" s="34">
        <v>975.6</v>
      </c>
      <c r="K717" s="34"/>
      <c r="L717" s="34">
        <v>975.6</v>
      </c>
    </row>
    <row r="718" spans="2:12" x14ac:dyDescent="0.3">
      <c r="B718" s="25">
        <v>719</v>
      </c>
      <c r="C718" s="33">
        <v>3530</v>
      </c>
      <c r="D718" s="33" t="s">
        <v>406</v>
      </c>
      <c r="E718" s="35">
        <v>44405</v>
      </c>
      <c r="F718" s="33">
        <v>3</v>
      </c>
      <c r="G718" s="33" t="s">
        <v>122</v>
      </c>
      <c r="H718" s="33" t="s">
        <v>201</v>
      </c>
      <c r="I718" s="33" t="s">
        <v>196</v>
      </c>
      <c r="J718" s="34">
        <v>2778</v>
      </c>
      <c r="K718" s="34"/>
      <c r="L718" s="34">
        <v>2778</v>
      </c>
    </row>
    <row r="719" spans="2:12" x14ac:dyDescent="0.3">
      <c r="B719" s="25">
        <v>720</v>
      </c>
      <c r="C719" s="33">
        <v>3570</v>
      </c>
      <c r="D719" s="33" t="s">
        <v>394</v>
      </c>
      <c r="E719" s="35">
        <v>44406</v>
      </c>
      <c r="F719" s="33">
        <v>3</v>
      </c>
      <c r="G719" s="33" t="s">
        <v>122</v>
      </c>
      <c r="H719" s="33" t="s">
        <v>201</v>
      </c>
      <c r="I719" s="33" t="s">
        <v>196</v>
      </c>
      <c r="J719" s="34">
        <v>1793.22</v>
      </c>
      <c r="K719" s="34"/>
      <c r="L719" s="34">
        <v>1793.22</v>
      </c>
    </row>
    <row r="720" spans="2:12" x14ac:dyDescent="0.3">
      <c r="B720" s="25">
        <v>721</v>
      </c>
      <c r="C720" s="33">
        <v>3772</v>
      </c>
      <c r="D720" s="33" t="s">
        <v>556</v>
      </c>
      <c r="E720" s="35">
        <v>44413</v>
      </c>
      <c r="F720" s="33">
        <v>3</v>
      </c>
      <c r="G720" s="33" t="s">
        <v>124</v>
      </c>
      <c r="H720" s="33" t="s">
        <v>201</v>
      </c>
      <c r="I720" s="33" t="s">
        <v>197</v>
      </c>
      <c r="J720" s="34">
        <v>298.83</v>
      </c>
      <c r="K720" s="34">
        <v>80</v>
      </c>
      <c r="L720" s="34">
        <v>218.83</v>
      </c>
    </row>
    <row r="721" spans="2:12" x14ac:dyDescent="0.3">
      <c r="B721" s="25">
        <v>722</v>
      </c>
      <c r="C721" s="33">
        <v>3774</v>
      </c>
      <c r="D721" s="33" t="s">
        <v>557</v>
      </c>
      <c r="E721" s="35">
        <v>44413</v>
      </c>
      <c r="F721" s="33">
        <v>3</v>
      </c>
      <c r="G721" s="33" t="s">
        <v>124</v>
      </c>
      <c r="H721" s="33" t="s">
        <v>201</v>
      </c>
      <c r="I721" s="33" t="s">
        <v>197</v>
      </c>
      <c r="J721" s="34">
        <v>2228.4</v>
      </c>
      <c r="K721" s="34"/>
      <c r="L721" s="34">
        <v>2228.4</v>
      </c>
    </row>
    <row r="722" spans="2:12" x14ac:dyDescent="0.3">
      <c r="B722" s="25">
        <v>723</v>
      </c>
      <c r="C722" s="33">
        <v>3902</v>
      </c>
      <c r="D722" s="33" t="s">
        <v>602</v>
      </c>
      <c r="E722" s="35">
        <v>44434</v>
      </c>
      <c r="F722" s="33">
        <v>3</v>
      </c>
      <c r="G722" s="33" t="s">
        <v>231</v>
      </c>
      <c r="H722" s="33" t="s">
        <v>201</v>
      </c>
      <c r="I722" s="33" t="s">
        <v>198</v>
      </c>
      <c r="J722" s="34">
        <v>390</v>
      </c>
      <c r="K722" s="34">
        <v>80</v>
      </c>
      <c r="L722" s="34">
        <v>310</v>
      </c>
    </row>
    <row r="723" spans="2:12" x14ac:dyDescent="0.3">
      <c r="B723" s="25">
        <v>724</v>
      </c>
      <c r="C723" s="33">
        <v>3903</v>
      </c>
      <c r="D723" s="33" t="s">
        <v>603</v>
      </c>
      <c r="E723" s="35">
        <v>44434</v>
      </c>
      <c r="F723" s="33">
        <v>3</v>
      </c>
      <c r="G723" s="33" t="s">
        <v>231</v>
      </c>
      <c r="H723" s="33" t="s">
        <v>201</v>
      </c>
      <c r="I723" s="33" t="s">
        <v>198</v>
      </c>
      <c r="J723" s="34">
        <v>190</v>
      </c>
      <c r="K723" s="34">
        <v>80</v>
      </c>
      <c r="L723" s="34">
        <v>110</v>
      </c>
    </row>
    <row r="724" spans="2:12" x14ac:dyDescent="0.3">
      <c r="B724" s="25">
        <v>725</v>
      </c>
      <c r="C724" s="33">
        <v>3931</v>
      </c>
      <c r="D724" s="33" t="s">
        <v>600</v>
      </c>
      <c r="E724" s="35">
        <v>44434</v>
      </c>
      <c r="F724" s="33">
        <v>3</v>
      </c>
      <c r="G724" s="33" t="s">
        <v>231</v>
      </c>
      <c r="H724" s="33" t="s">
        <v>201</v>
      </c>
      <c r="I724" s="33" t="s">
        <v>198</v>
      </c>
      <c r="J724" s="34">
        <v>319.8</v>
      </c>
      <c r="K724" s="34">
        <v>80</v>
      </c>
      <c r="L724" s="34">
        <v>239.8</v>
      </c>
    </row>
    <row r="725" spans="2:12" x14ac:dyDescent="0.3">
      <c r="B725" s="25">
        <v>726</v>
      </c>
      <c r="C725" s="33">
        <v>3934</v>
      </c>
      <c r="D725" s="33" t="s">
        <v>552</v>
      </c>
      <c r="E725" s="35">
        <v>44434</v>
      </c>
      <c r="F725" s="33">
        <v>3</v>
      </c>
      <c r="G725" s="33" t="s">
        <v>122</v>
      </c>
      <c r="H725" s="33" t="s">
        <v>201</v>
      </c>
      <c r="I725" s="33" t="s">
        <v>196</v>
      </c>
      <c r="J725" s="34">
        <v>330.25</v>
      </c>
      <c r="K725" s="34">
        <v>80</v>
      </c>
      <c r="L725" s="34">
        <v>250.25</v>
      </c>
    </row>
    <row r="726" spans="2:12" x14ac:dyDescent="0.3">
      <c r="B726" s="25">
        <v>727</v>
      </c>
      <c r="C726" s="33">
        <v>3935</v>
      </c>
      <c r="D726" s="33" t="s">
        <v>473</v>
      </c>
      <c r="E726" s="35">
        <v>44434</v>
      </c>
      <c r="F726" s="33">
        <v>3</v>
      </c>
      <c r="G726" s="33" t="s">
        <v>122</v>
      </c>
      <c r="H726" s="33" t="s">
        <v>201</v>
      </c>
      <c r="I726" s="33" t="s">
        <v>196</v>
      </c>
      <c r="J726" s="34">
        <v>5308.6</v>
      </c>
      <c r="K726" s="34"/>
      <c r="L726" s="34">
        <v>5308.6</v>
      </c>
    </row>
    <row r="727" spans="2:12" x14ac:dyDescent="0.3">
      <c r="B727" s="25">
        <v>728</v>
      </c>
      <c r="C727" s="33">
        <v>3936</v>
      </c>
      <c r="D727" s="33" t="s">
        <v>584</v>
      </c>
      <c r="E727" s="35">
        <v>44434</v>
      </c>
      <c r="F727" s="33">
        <v>3</v>
      </c>
      <c r="G727" s="33" t="s">
        <v>122</v>
      </c>
      <c r="H727" s="33" t="s">
        <v>201</v>
      </c>
      <c r="I727" s="33" t="s">
        <v>196</v>
      </c>
      <c r="J727" s="34">
        <v>3335.2</v>
      </c>
      <c r="K727" s="34"/>
      <c r="L727" s="34">
        <v>3335.2</v>
      </c>
    </row>
    <row r="728" spans="2:12" x14ac:dyDescent="0.3">
      <c r="B728" s="25">
        <v>729</v>
      </c>
      <c r="C728" s="33">
        <v>3938</v>
      </c>
      <c r="D728" s="33" t="s">
        <v>362</v>
      </c>
      <c r="E728" s="35">
        <v>44434</v>
      </c>
      <c r="F728" s="33">
        <v>3</v>
      </c>
      <c r="G728" s="33" t="s">
        <v>124</v>
      </c>
      <c r="H728" s="33" t="s">
        <v>201</v>
      </c>
      <c r="I728" s="33" t="s">
        <v>197</v>
      </c>
      <c r="J728" s="34">
        <v>1720.38</v>
      </c>
      <c r="K728" s="34"/>
      <c r="L728" s="34">
        <v>1720.38</v>
      </c>
    </row>
    <row r="729" spans="2:12" x14ac:dyDescent="0.3">
      <c r="B729" s="25">
        <v>730</v>
      </c>
      <c r="C729" s="33">
        <v>3942</v>
      </c>
      <c r="D729" s="33" t="s">
        <v>604</v>
      </c>
      <c r="E729" s="35">
        <v>44434</v>
      </c>
      <c r="F729" s="33">
        <v>3</v>
      </c>
      <c r="G729" s="33" t="s">
        <v>122</v>
      </c>
      <c r="H729" s="33" t="s">
        <v>201</v>
      </c>
      <c r="I729" s="33" t="s">
        <v>196</v>
      </c>
      <c r="J729" s="34">
        <v>3454.2</v>
      </c>
      <c r="K729" s="34"/>
      <c r="L729" s="34">
        <v>3454.2</v>
      </c>
    </row>
    <row r="730" spans="2:12" x14ac:dyDescent="0.3">
      <c r="B730" s="25">
        <v>731</v>
      </c>
      <c r="C730" s="33">
        <v>4001</v>
      </c>
      <c r="D730" s="33" t="s">
        <v>605</v>
      </c>
      <c r="E730" s="35">
        <v>44440</v>
      </c>
      <c r="F730" s="33">
        <v>3</v>
      </c>
      <c r="G730" s="33" t="s">
        <v>231</v>
      </c>
      <c r="H730" s="33" t="s">
        <v>201</v>
      </c>
      <c r="I730" s="33" t="s">
        <v>198</v>
      </c>
      <c r="J730" s="34">
        <v>2897.4</v>
      </c>
      <c r="K730" s="34"/>
      <c r="L730" s="34">
        <v>2897.4</v>
      </c>
    </row>
    <row r="731" spans="2:12" x14ac:dyDescent="0.3">
      <c r="B731" s="25">
        <v>732</v>
      </c>
      <c r="C731" s="33">
        <v>4002</v>
      </c>
      <c r="D731" s="33" t="s">
        <v>415</v>
      </c>
      <c r="E731" s="35">
        <v>44440</v>
      </c>
      <c r="F731" s="33">
        <v>3</v>
      </c>
      <c r="G731" s="33" t="s">
        <v>122</v>
      </c>
      <c r="H731" s="33" t="s">
        <v>201</v>
      </c>
      <c r="I731" s="33" t="s">
        <v>196</v>
      </c>
      <c r="J731" s="34">
        <v>1099.33</v>
      </c>
      <c r="K731" s="34"/>
      <c r="L731" s="34">
        <v>1099.33</v>
      </c>
    </row>
    <row r="732" spans="2:12" x14ac:dyDescent="0.3">
      <c r="B732" s="25">
        <v>733</v>
      </c>
      <c r="C732" s="33">
        <v>4004</v>
      </c>
      <c r="D732" s="33" t="s">
        <v>606</v>
      </c>
      <c r="E732" s="35">
        <v>44440</v>
      </c>
      <c r="F732" s="33">
        <v>3</v>
      </c>
      <c r="G732" s="33" t="s">
        <v>124</v>
      </c>
      <c r="H732" s="33" t="s">
        <v>201</v>
      </c>
      <c r="I732" s="33" t="s">
        <v>197</v>
      </c>
      <c r="J732" s="34">
        <v>4524.29</v>
      </c>
      <c r="K732" s="34"/>
      <c r="L732" s="34">
        <v>4524.29</v>
      </c>
    </row>
    <row r="733" spans="2:12" x14ac:dyDescent="0.3">
      <c r="B733" s="25">
        <v>734</v>
      </c>
      <c r="C733" s="33">
        <v>4005</v>
      </c>
      <c r="D733" s="33" t="s">
        <v>362</v>
      </c>
      <c r="E733" s="35">
        <v>44440</v>
      </c>
      <c r="F733" s="33">
        <v>3</v>
      </c>
      <c r="G733" s="33" t="s">
        <v>124</v>
      </c>
      <c r="H733" s="33" t="s">
        <v>201</v>
      </c>
      <c r="I733" s="33" t="s">
        <v>197</v>
      </c>
      <c r="J733" s="34">
        <v>815.32</v>
      </c>
      <c r="K733" s="34"/>
      <c r="L733" s="34">
        <v>815.32</v>
      </c>
    </row>
    <row r="734" spans="2:12" x14ac:dyDescent="0.3">
      <c r="B734" s="25">
        <v>735</v>
      </c>
      <c r="C734" s="33">
        <v>4073</v>
      </c>
      <c r="D734" s="33" t="s">
        <v>607</v>
      </c>
      <c r="E734" s="35">
        <v>44445</v>
      </c>
      <c r="F734" s="33">
        <v>3</v>
      </c>
      <c r="G734" s="33" t="s">
        <v>122</v>
      </c>
      <c r="H734" s="33" t="s">
        <v>201</v>
      </c>
      <c r="I734" s="33" t="s">
        <v>196</v>
      </c>
      <c r="J734" s="34">
        <v>1846.8</v>
      </c>
      <c r="K734" s="34"/>
      <c r="L734" s="34">
        <v>1846.8</v>
      </c>
    </row>
    <row r="735" spans="2:12" x14ac:dyDescent="0.3">
      <c r="B735" s="25">
        <v>736</v>
      </c>
      <c r="C735" s="33">
        <v>4149</v>
      </c>
      <c r="D735" s="33" t="s">
        <v>608</v>
      </c>
      <c r="E735" s="35">
        <v>44448</v>
      </c>
      <c r="F735" s="33">
        <v>3</v>
      </c>
      <c r="G735" s="33" t="s">
        <v>124</v>
      </c>
      <c r="H735" s="33" t="s">
        <v>201</v>
      </c>
      <c r="I735" s="33" t="s">
        <v>197</v>
      </c>
      <c r="J735" s="34">
        <v>1239.7</v>
      </c>
      <c r="K735" s="34"/>
      <c r="L735" s="34">
        <v>1239.7</v>
      </c>
    </row>
    <row r="736" spans="2:12" x14ac:dyDescent="0.3">
      <c r="B736" s="25">
        <v>737</v>
      </c>
      <c r="C736" s="33">
        <v>4150</v>
      </c>
      <c r="D736" s="33" t="s">
        <v>416</v>
      </c>
      <c r="E736" s="35">
        <v>44448</v>
      </c>
      <c r="F736" s="33">
        <v>3</v>
      </c>
      <c r="G736" s="33" t="s">
        <v>231</v>
      </c>
      <c r="H736" s="33" t="s">
        <v>201</v>
      </c>
      <c r="I736" s="33" t="s">
        <v>198</v>
      </c>
      <c r="J736" s="34">
        <v>553.24</v>
      </c>
      <c r="K736" s="34">
        <v>80</v>
      </c>
      <c r="L736" s="34">
        <v>473.24</v>
      </c>
    </row>
    <row r="737" spans="2:12" x14ac:dyDescent="0.3">
      <c r="B737" s="25">
        <v>738</v>
      </c>
      <c r="C737" s="33">
        <v>4156</v>
      </c>
      <c r="D737" s="33" t="s">
        <v>473</v>
      </c>
      <c r="E737" s="35">
        <v>44448</v>
      </c>
      <c r="F737" s="33">
        <v>3</v>
      </c>
      <c r="G737" s="33" t="s">
        <v>122</v>
      </c>
      <c r="H737" s="33" t="s">
        <v>201</v>
      </c>
      <c r="I737" s="33" t="s">
        <v>196</v>
      </c>
      <c r="J737" s="34">
        <v>2649.07</v>
      </c>
      <c r="K737" s="34"/>
      <c r="L737" s="34">
        <v>2649.07</v>
      </c>
    </row>
    <row r="738" spans="2:12" x14ac:dyDescent="0.3">
      <c r="B738" s="25">
        <v>739</v>
      </c>
      <c r="C738" s="33">
        <v>4157</v>
      </c>
      <c r="D738" s="33" t="s">
        <v>609</v>
      </c>
      <c r="E738" s="35">
        <v>44448</v>
      </c>
      <c r="F738" s="33">
        <v>3</v>
      </c>
      <c r="G738" s="33" t="s">
        <v>124</v>
      </c>
      <c r="H738" s="33" t="s">
        <v>201</v>
      </c>
      <c r="I738" s="33" t="s">
        <v>197</v>
      </c>
      <c r="J738" s="34">
        <v>1366.2</v>
      </c>
      <c r="K738" s="34"/>
      <c r="L738" s="34">
        <v>1366.2</v>
      </c>
    </row>
    <row r="739" spans="2:12" x14ac:dyDescent="0.3">
      <c r="B739" s="25">
        <v>740</v>
      </c>
      <c r="C739" s="33">
        <v>4158</v>
      </c>
      <c r="D739" s="33" t="s">
        <v>556</v>
      </c>
      <c r="E739" s="35">
        <v>44448</v>
      </c>
      <c r="F739" s="33">
        <v>3</v>
      </c>
      <c r="G739" s="33" t="s">
        <v>124</v>
      </c>
      <c r="H739" s="33" t="s">
        <v>201</v>
      </c>
      <c r="I739" s="33" t="s">
        <v>197</v>
      </c>
      <c r="J739" s="34">
        <v>963.96</v>
      </c>
      <c r="K739" s="34">
        <v>80</v>
      </c>
      <c r="L739" s="34">
        <v>883.96</v>
      </c>
    </row>
    <row r="740" spans="2:12" x14ac:dyDescent="0.3">
      <c r="B740" s="25">
        <v>741</v>
      </c>
      <c r="C740" s="33">
        <v>4159</v>
      </c>
      <c r="D740" s="33" t="s">
        <v>584</v>
      </c>
      <c r="E740" s="35">
        <v>44448</v>
      </c>
      <c r="F740" s="33">
        <v>3</v>
      </c>
      <c r="G740" s="33" t="s">
        <v>122</v>
      </c>
      <c r="H740" s="33" t="s">
        <v>201</v>
      </c>
      <c r="I740" s="33" t="s">
        <v>196</v>
      </c>
      <c r="J740" s="34">
        <v>2123.1799999999998</v>
      </c>
      <c r="K740" s="34"/>
      <c r="L740" s="34">
        <v>2123.1799999999998</v>
      </c>
    </row>
    <row r="741" spans="2:12" x14ac:dyDescent="0.3">
      <c r="B741" s="25">
        <v>742</v>
      </c>
      <c r="C741" s="33">
        <v>4165</v>
      </c>
      <c r="D741" s="33" t="s">
        <v>442</v>
      </c>
      <c r="E741" s="35">
        <v>44448</v>
      </c>
      <c r="F741" s="33">
        <v>3</v>
      </c>
      <c r="G741" s="33" t="s">
        <v>122</v>
      </c>
      <c r="H741" s="33" t="s">
        <v>201</v>
      </c>
      <c r="I741" s="33" t="s">
        <v>196</v>
      </c>
      <c r="J741" s="34">
        <v>2751</v>
      </c>
      <c r="K741" s="34"/>
      <c r="L741" s="34">
        <v>2751</v>
      </c>
    </row>
    <row r="742" spans="2:12" x14ac:dyDescent="0.3">
      <c r="B742" s="25">
        <v>743</v>
      </c>
      <c r="C742" s="33">
        <v>31605</v>
      </c>
      <c r="D742" s="33" t="s">
        <v>394</v>
      </c>
      <c r="E742" s="35">
        <v>44419</v>
      </c>
      <c r="F742" s="33">
        <v>3</v>
      </c>
      <c r="G742" s="33" t="s">
        <v>122</v>
      </c>
      <c r="H742" s="33" t="s">
        <v>72</v>
      </c>
      <c r="I742" s="33" t="s">
        <v>196</v>
      </c>
      <c r="J742" s="34">
        <v>2940</v>
      </c>
      <c r="K742" s="34"/>
      <c r="L742" s="34">
        <v>2940</v>
      </c>
    </row>
    <row r="743" spans="2:12" x14ac:dyDescent="0.3">
      <c r="B743" s="25">
        <v>744</v>
      </c>
      <c r="C743" s="33">
        <v>31607</v>
      </c>
      <c r="D743" s="33" t="s">
        <v>394</v>
      </c>
      <c r="E743" s="35">
        <v>44419</v>
      </c>
      <c r="F743" s="33">
        <v>3</v>
      </c>
      <c r="G743" s="33" t="s">
        <v>122</v>
      </c>
      <c r="H743" s="33" t="s">
        <v>72</v>
      </c>
      <c r="I743" s="33" t="s">
        <v>196</v>
      </c>
      <c r="J743" s="34">
        <v>4018</v>
      </c>
      <c r="K743" s="34"/>
      <c r="L743" s="34">
        <v>4018</v>
      </c>
    </row>
    <row r="744" spans="2:12" x14ac:dyDescent="0.3">
      <c r="B744" s="25">
        <v>745</v>
      </c>
      <c r="C744" s="33">
        <v>31608</v>
      </c>
      <c r="D744" s="33" t="s">
        <v>394</v>
      </c>
      <c r="E744" s="35">
        <v>44420</v>
      </c>
      <c r="F744" s="33">
        <v>3</v>
      </c>
      <c r="G744" s="33" t="s">
        <v>122</v>
      </c>
      <c r="H744" s="33" t="s">
        <v>72</v>
      </c>
      <c r="I744" s="33" t="s">
        <v>196</v>
      </c>
      <c r="J744" s="34">
        <v>1550</v>
      </c>
      <c r="K744" s="34"/>
      <c r="L744" s="34">
        <v>1550</v>
      </c>
    </row>
    <row r="745" spans="2:12" x14ac:dyDescent="0.3">
      <c r="B745" s="25">
        <v>746</v>
      </c>
      <c r="C745" s="33">
        <v>31621</v>
      </c>
      <c r="D745" s="33" t="s">
        <v>233</v>
      </c>
      <c r="E745" s="35">
        <v>44427</v>
      </c>
      <c r="F745" s="33">
        <v>3</v>
      </c>
      <c r="G745" s="33" t="s">
        <v>122</v>
      </c>
      <c r="H745" s="33" t="s">
        <v>72</v>
      </c>
      <c r="I745" s="33" t="s">
        <v>196</v>
      </c>
      <c r="J745" s="34">
        <v>1012</v>
      </c>
      <c r="K745" s="34"/>
      <c r="L745" s="34">
        <v>1012</v>
      </c>
    </row>
    <row r="746" spans="2:12" x14ac:dyDescent="0.3">
      <c r="B746" s="25">
        <v>747</v>
      </c>
      <c r="C746" s="33">
        <v>31665</v>
      </c>
      <c r="D746" s="33" t="s">
        <v>610</v>
      </c>
      <c r="E746" s="35">
        <v>44434</v>
      </c>
      <c r="F746" s="33">
        <v>3</v>
      </c>
      <c r="G746" s="33" t="s">
        <v>231</v>
      </c>
      <c r="H746" s="33" t="s">
        <v>72</v>
      </c>
      <c r="I746" s="33" t="s">
        <v>198</v>
      </c>
      <c r="J746" s="34">
        <v>7870</v>
      </c>
      <c r="K746" s="34"/>
      <c r="L746" s="34">
        <v>7870</v>
      </c>
    </row>
    <row r="747" spans="2:12" x14ac:dyDescent="0.3">
      <c r="B747" s="25">
        <v>748</v>
      </c>
      <c r="C747" s="33">
        <v>31673</v>
      </c>
      <c r="D747" s="33" t="s">
        <v>611</v>
      </c>
      <c r="E747" s="35">
        <v>44435</v>
      </c>
      <c r="F747" s="33">
        <v>3</v>
      </c>
      <c r="G747" s="33" t="s">
        <v>231</v>
      </c>
      <c r="H747" s="33" t="s">
        <v>72</v>
      </c>
      <c r="I747" s="33" t="s">
        <v>198</v>
      </c>
      <c r="J747" s="34">
        <v>4742</v>
      </c>
      <c r="K747" s="34"/>
      <c r="L747" s="34">
        <v>4742</v>
      </c>
    </row>
    <row r="748" spans="2:12" x14ac:dyDescent="0.3">
      <c r="B748" s="25">
        <v>749</v>
      </c>
      <c r="C748" s="33">
        <v>31528</v>
      </c>
      <c r="D748" s="33" t="s">
        <v>395</v>
      </c>
      <c r="E748" s="35">
        <v>44389</v>
      </c>
      <c r="F748" s="33">
        <v>3</v>
      </c>
      <c r="G748" s="33" t="s">
        <v>122</v>
      </c>
      <c r="H748" s="33" t="s">
        <v>72</v>
      </c>
      <c r="I748" s="33" t="s">
        <v>196</v>
      </c>
      <c r="J748" s="34">
        <v>1677</v>
      </c>
      <c r="K748" s="34"/>
      <c r="L748" s="34">
        <v>1677</v>
      </c>
    </row>
    <row r="749" spans="2:12" x14ac:dyDescent="0.3">
      <c r="B749" s="25">
        <v>750</v>
      </c>
      <c r="C749" s="33">
        <v>31696</v>
      </c>
      <c r="D749" s="33" t="s">
        <v>394</v>
      </c>
      <c r="E749" s="35">
        <v>44437</v>
      </c>
      <c r="F749" s="33">
        <v>3</v>
      </c>
      <c r="G749" s="33" t="s">
        <v>122</v>
      </c>
      <c r="H749" s="33" t="s">
        <v>72</v>
      </c>
      <c r="I749" s="33" t="s">
        <v>196</v>
      </c>
      <c r="J749" s="34">
        <v>5830.1</v>
      </c>
      <c r="K749" s="34"/>
      <c r="L749" s="34">
        <v>5830.1</v>
      </c>
    </row>
    <row r="750" spans="2:12" x14ac:dyDescent="0.3">
      <c r="B750" s="25">
        <v>751</v>
      </c>
      <c r="C750" s="33">
        <v>31474</v>
      </c>
      <c r="D750" s="33" t="s">
        <v>394</v>
      </c>
      <c r="E750" s="35">
        <v>44384</v>
      </c>
      <c r="F750" s="33">
        <v>3</v>
      </c>
      <c r="G750" s="33" t="s">
        <v>122</v>
      </c>
      <c r="H750" s="33" t="s">
        <v>72</v>
      </c>
      <c r="I750" s="33" t="s">
        <v>196</v>
      </c>
      <c r="J750" s="34">
        <v>920</v>
      </c>
      <c r="K750" s="34"/>
      <c r="L750" s="34">
        <v>920</v>
      </c>
    </row>
    <row r="751" spans="2:12" x14ac:dyDescent="0.3">
      <c r="B751" s="25">
        <v>752</v>
      </c>
      <c r="C751" s="33">
        <v>31712</v>
      </c>
      <c r="D751" s="33" t="s">
        <v>394</v>
      </c>
      <c r="E751" s="35">
        <v>44437</v>
      </c>
      <c r="F751" s="33">
        <v>3</v>
      </c>
      <c r="G751" s="33" t="s">
        <v>122</v>
      </c>
      <c r="H751" s="33" t="s">
        <v>72</v>
      </c>
      <c r="I751" s="33" t="s">
        <v>196</v>
      </c>
      <c r="J751" s="34">
        <v>2145.8000000000002</v>
      </c>
      <c r="K751" s="34"/>
      <c r="L751" s="34">
        <v>2145.8000000000002</v>
      </c>
    </row>
    <row r="752" spans="2:12" x14ac:dyDescent="0.3">
      <c r="B752" s="25">
        <v>753</v>
      </c>
      <c r="C752" s="33">
        <v>31747</v>
      </c>
      <c r="D752" s="33" t="s">
        <v>459</v>
      </c>
      <c r="E752" s="35">
        <v>44439</v>
      </c>
      <c r="F752" s="33">
        <v>3</v>
      </c>
      <c r="G752" s="33" t="s">
        <v>231</v>
      </c>
      <c r="H752" s="33" t="s">
        <v>72</v>
      </c>
      <c r="I752" s="33" t="s">
        <v>198</v>
      </c>
      <c r="J752" s="34">
        <v>1096</v>
      </c>
      <c r="K752" s="34">
        <v>160</v>
      </c>
      <c r="L752" s="34">
        <v>936</v>
      </c>
    </row>
    <row r="753" spans="2:12" x14ac:dyDescent="0.3">
      <c r="B753" s="25">
        <v>754</v>
      </c>
      <c r="C753" s="33" t="s">
        <v>612</v>
      </c>
      <c r="D753" s="33" t="s">
        <v>613</v>
      </c>
      <c r="E753" s="35">
        <v>44407</v>
      </c>
      <c r="F753" s="33">
        <v>3</v>
      </c>
      <c r="G753" s="33" t="s">
        <v>124</v>
      </c>
      <c r="H753" s="33" t="s">
        <v>70</v>
      </c>
      <c r="I753" s="33" t="s">
        <v>197</v>
      </c>
      <c r="J753" s="34">
        <v>1169</v>
      </c>
      <c r="K753" s="34">
        <v>80</v>
      </c>
      <c r="L753" s="34">
        <v>1089</v>
      </c>
    </row>
    <row r="754" spans="2:12" x14ac:dyDescent="0.3">
      <c r="B754" s="25">
        <v>755</v>
      </c>
      <c r="C754" s="33" t="s">
        <v>614</v>
      </c>
      <c r="D754" s="33" t="s">
        <v>554</v>
      </c>
      <c r="E754" s="35">
        <v>44398</v>
      </c>
      <c r="F754" s="33">
        <v>3</v>
      </c>
      <c r="G754" s="33" t="s">
        <v>124</v>
      </c>
      <c r="H754" s="33" t="s">
        <v>70</v>
      </c>
      <c r="I754" s="33" t="s">
        <v>197</v>
      </c>
      <c r="J754" s="34">
        <v>3299</v>
      </c>
      <c r="K754" s="34">
        <v>95</v>
      </c>
      <c r="L754" s="34">
        <v>3204</v>
      </c>
    </row>
    <row r="755" spans="2:12" x14ac:dyDescent="0.3">
      <c r="B755" s="25">
        <v>756</v>
      </c>
      <c r="C755" s="33" t="s">
        <v>615</v>
      </c>
      <c r="D755" s="33" t="s">
        <v>616</v>
      </c>
      <c r="E755" s="35">
        <v>44383</v>
      </c>
      <c r="F755" s="33">
        <v>3</v>
      </c>
      <c r="G755" s="33" t="s">
        <v>122</v>
      </c>
      <c r="H755" s="33" t="s">
        <v>71</v>
      </c>
      <c r="I755" s="33" t="s">
        <v>196</v>
      </c>
      <c r="J755" s="34">
        <v>2425.29</v>
      </c>
      <c r="K755" s="34"/>
      <c r="L755" s="34">
        <v>2425.29</v>
      </c>
    </row>
    <row r="756" spans="2:12" x14ac:dyDescent="0.3">
      <c r="B756" s="25">
        <v>757</v>
      </c>
      <c r="C756" s="33">
        <v>3092</v>
      </c>
      <c r="D756" s="33" t="s">
        <v>617</v>
      </c>
      <c r="E756" s="35">
        <v>44390</v>
      </c>
      <c r="F756" s="33">
        <v>3</v>
      </c>
      <c r="G756" s="33" t="s">
        <v>122</v>
      </c>
      <c r="H756" s="33" t="s">
        <v>71</v>
      </c>
      <c r="I756" s="33" t="s">
        <v>196</v>
      </c>
      <c r="J756" s="34">
        <v>3001.33</v>
      </c>
      <c r="K756" s="34"/>
      <c r="L756" s="34">
        <v>3001.33</v>
      </c>
    </row>
    <row r="757" spans="2:12" x14ac:dyDescent="0.3">
      <c r="B757" s="25">
        <v>758</v>
      </c>
      <c r="C757" s="33">
        <v>2959</v>
      </c>
      <c r="D757" s="33" t="s">
        <v>618</v>
      </c>
      <c r="E757" s="35">
        <v>44383</v>
      </c>
      <c r="F757" s="33">
        <v>3</v>
      </c>
      <c r="G757" s="33" t="s">
        <v>122</v>
      </c>
      <c r="H757" s="33" t="s">
        <v>71</v>
      </c>
      <c r="I757" s="33" t="s">
        <v>196</v>
      </c>
      <c r="J757" s="34">
        <v>660.76</v>
      </c>
      <c r="K757" s="34">
        <v>80</v>
      </c>
      <c r="L757" s="34">
        <v>580.76</v>
      </c>
    </row>
    <row r="758" spans="2:12" x14ac:dyDescent="0.3">
      <c r="B758" s="25">
        <v>759</v>
      </c>
      <c r="C758" s="33">
        <v>2981</v>
      </c>
      <c r="D758" s="33" t="s">
        <v>391</v>
      </c>
      <c r="E758" s="35">
        <v>44384</v>
      </c>
      <c r="F758" s="33">
        <v>3</v>
      </c>
      <c r="G758" s="33" t="s">
        <v>122</v>
      </c>
      <c r="H758" s="33" t="s">
        <v>71</v>
      </c>
      <c r="I758" s="33" t="s">
        <v>196</v>
      </c>
      <c r="J758" s="34">
        <v>72.89</v>
      </c>
      <c r="K758" s="34"/>
      <c r="L758" s="34">
        <v>72.89</v>
      </c>
    </row>
    <row r="759" spans="2:12" x14ac:dyDescent="0.3">
      <c r="B759" s="25">
        <v>760</v>
      </c>
      <c r="C759" s="33">
        <v>2982</v>
      </c>
      <c r="D759" s="33" t="s">
        <v>391</v>
      </c>
      <c r="E759" s="35">
        <v>44384</v>
      </c>
      <c r="F759" s="33">
        <v>3</v>
      </c>
      <c r="G759" s="33" t="s">
        <v>122</v>
      </c>
      <c r="H759" s="33" t="s">
        <v>71</v>
      </c>
      <c r="I759" s="33" t="s">
        <v>196</v>
      </c>
      <c r="J759" s="34">
        <v>952.26</v>
      </c>
      <c r="K759" s="34"/>
      <c r="L759" s="34">
        <v>952.26</v>
      </c>
    </row>
    <row r="760" spans="2:12" x14ac:dyDescent="0.3">
      <c r="B760" s="25">
        <v>761</v>
      </c>
      <c r="C760" s="33">
        <v>2986</v>
      </c>
      <c r="D760" s="33" t="s">
        <v>471</v>
      </c>
      <c r="E760" s="35">
        <v>44384</v>
      </c>
      <c r="F760" s="33">
        <v>3</v>
      </c>
      <c r="G760" s="33" t="s">
        <v>122</v>
      </c>
      <c r="H760" s="33" t="s">
        <v>71</v>
      </c>
      <c r="I760" s="33" t="s">
        <v>196</v>
      </c>
      <c r="J760" s="34">
        <v>450.5</v>
      </c>
      <c r="K760" s="34">
        <v>80</v>
      </c>
      <c r="L760" s="34">
        <v>370.5</v>
      </c>
    </row>
    <row r="761" spans="2:12" x14ac:dyDescent="0.3">
      <c r="B761" s="25">
        <v>762</v>
      </c>
      <c r="C761" s="33">
        <v>2992</v>
      </c>
      <c r="D761" s="33" t="s">
        <v>426</v>
      </c>
      <c r="E761" s="35">
        <v>44384</v>
      </c>
      <c r="F761" s="33">
        <v>3</v>
      </c>
      <c r="G761" s="33" t="s">
        <v>232</v>
      </c>
      <c r="H761" s="33" t="s">
        <v>71</v>
      </c>
      <c r="I761" s="33" t="s">
        <v>75</v>
      </c>
      <c r="J761" s="34">
        <v>409.25</v>
      </c>
      <c r="K761" s="34"/>
      <c r="L761" s="34">
        <v>409.25</v>
      </c>
    </row>
    <row r="762" spans="2:12" x14ac:dyDescent="0.3">
      <c r="B762" s="25">
        <v>763</v>
      </c>
      <c r="C762" s="33">
        <v>3020</v>
      </c>
      <c r="D762" s="33" t="s">
        <v>518</v>
      </c>
      <c r="E762" s="35">
        <v>44386</v>
      </c>
      <c r="F762" s="33">
        <v>3</v>
      </c>
      <c r="G762" s="33" t="s">
        <v>231</v>
      </c>
      <c r="H762" s="33" t="s">
        <v>71</v>
      </c>
      <c r="I762" s="33" t="s">
        <v>198</v>
      </c>
      <c r="J762" s="34">
        <v>472.45</v>
      </c>
      <c r="K762" s="34">
        <v>80</v>
      </c>
      <c r="L762" s="34">
        <v>392.45</v>
      </c>
    </row>
    <row r="763" spans="2:12" x14ac:dyDescent="0.3">
      <c r="B763" s="25">
        <v>764</v>
      </c>
      <c r="C763" s="33">
        <v>3027</v>
      </c>
      <c r="D763" s="33" t="s">
        <v>430</v>
      </c>
      <c r="E763" s="35">
        <v>44386</v>
      </c>
      <c r="F763" s="33">
        <v>3</v>
      </c>
      <c r="G763" s="33" t="s">
        <v>231</v>
      </c>
      <c r="H763" s="33" t="s">
        <v>71</v>
      </c>
      <c r="I763" s="33" t="s">
        <v>198</v>
      </c>
      <c r="J763" s="34">
        <v>734.59</v>
      </c>
      <c r="K763" s="34">
        <v>80</v>
      </c>
      <c r="L763" s="34">
        <v>654.59</v>
      </c>
    </row>
    <row r="764" spans="2:12" x14ac:dyDescent="0.3">
      <c r="B764" s="25">
        <v>765</v>
      </c>
      <c r="C764" s="33">
        <v>3190</v>
      </c>
      <c r="D764" s="33" t="s">
        <v>277</v>
      </c>
      <c r="E764" s="35">
        <v>44396</v>
      </c>
      <c r="F764" s="33">
        <v>3</v>
      </c>
      <c r="G764" s="33" t="s">
        <v>124</v>
      </c>
      <c r="H764" s="33" t="s">
        <v>71</v>
      </c>
      <c r="I764" s="33" t="s">
        <v>197</v>
      </c>
      <c r="J764" s="34">
        <v>2842.67</v>
      </c>
      <c r="K764" s="34"/>
      <c r="L764" s="34">
        <v>2842.67</v>
      </c>
    </row>
    <row r="765" spans="2:12" x14ac:dyDescent="0.3">
      <c r="B765" s="25">
        <v>766</v>
      </c>
      <c r="C765" s="33">
        <v>3194</v>
      </c>
      <c r="D765" s="33" t="s">
        <v>277</v>
      </c>
      <c r="E765" s="35">
        <v>44396</v>
      </c>
      <c r="F765" s="33">
        <v>3</v>
      </c>
      <c r="G765" s="33" t="s">
        <v>124</v>
      </c>
      <c r="H765" s="33" t="s">
        <v>71</v>
      </c>
      <c r="I765" s="33" t="s">
        <v>197</v>
      </c>
      <c r="J765" s="34">
        <v>161.77000000000001</v>
      </c>
      <c r="K765" s="34"/>
      <c r="L765" s="34">
        <v>161.77000000000001</v>
      </c>
    </row>
    <row r="766" spans="2:12" x14ac:dyDescent="0.3">
      <c r="B766" s="25">
        <v>767</v>
      </c>
      <c r="C766" s="33">
        <v>3198</v>
      </c>
      <c r="D766" s="33" t="s">
        <v>619</v>
      </c>
      <c r="E766" s="35">
        <v>44396</v>
      </c>
      <c r="F766" s="33">
        <v>3</v>
      </c>
      <c r="G766" s="33" t="s">
        <v>124</v>
      </c>
      <c r="H766" s="33" t="s">
        <v>71</v>
      </c>
      <c r="I766" s="33" t="s">
        <v>197</v>
      </c>
      <c r="J766" s="34">
        <v>3597.67</v>
      </c>
      <c r="K766" s="34"/>
      <c r="L766" s="34">
        <v>3597.67</v>
      </c>
    </row>
    <row r="767" spans="2:12" x14ac:dyDescent="0.3">
      <c r="B767" s="25">
        <v>768</v>
      </c>
      <c r="C767" s="33">
        <v>3208</v>
      </c>
      <c r="D767" s="33" t="s">
        <v>474</v>
      </c>
      <c r="E767" s="35">
        <v>44397</v>
      </c>
      <c r="F767" s="33">
        <v>3</v>
      </c>
      <c r="G767" s="33" t="s">
        <v>232</v>
      </c>
      <c r="H767" s="33" t="s">
        <v>71</v>
      </c>
      <c r="I767" s="33" t="s">
        <v>75</v>
      </c>
      <c r="J767" s="34">
        <v>460.9</v>
      </c>
      <c r="K767" s="34">
        <v>80</v>
      </c>
      <c r="L767" s="34">
        <v>380.9</v>
      </c>
    </row>
    <row r="768" spans="2:12" x14ac:dyDescent="0.3">
      <c r="B768" s="25">
        <v>769</v>
      </c>
      <c r="C768" s="33">
        <v>3353</v>
      </c>
      <c r="D768" s="33" t="s">
        <v>620</v>
      </c>
      <c r="E768" s="35">
        <v>44403</v>
      </c>
      <c r="F768" s="33">
        <v>3</v>
      </c>
      <c r="G768" s="33" t="s">
        <v>124</v>
      </c>
      <c r="H768" s="33" t="s">
        <v>71</v>
      </c>
      <c r="I768" s="33" t="s">
        <v>197</v>
      </c>
      <c r="J768" s="34">
        <v>512.84</v>
      </c>
      <c r="K768" s="34">
        <v>80</v>
      </c>
      <c r="L768" s="34">
        <v>432.84</v>
      </c>
    </row>
    <row r="769" spans="2:12" x14ac:dyDescent="0.3">
      <c r="B769" s="25">
        <v>770</v>
      </c>
      <c r="C769" s="33">
        <v>3414</v>
      </c>
      <c r="D769" s="33" t="s">
        <v>519</v>
      </c>
      <c r="E769" s="35">
        <v>44407</v>
      </c>
      <c r="F769" s="33">
        <v>3</v>
      </c>
      <c r="G769" s="33" t="s">
        <v>232</v>
      </c>
      <c r="H769" s="33" t="s">
        <v>71</v>
      </c>
      <c r="I769" s="33" t="s">
        <v>75</v>
      </c>
      <c r="J769" s="34">
        <v>919.53</v>
      </c>
      <c r="K769" s="34"/>
      <c r="L769" s="34">
        <v>919.53</v>
      </c>
    </row>
    <row r="770" spans="2:12" x14ac:dyDescent="0.3">
      <c r="B770" s="25">
        <v>771</v>
      </c>
      <c r="C770" s="33">
        <v>3611</v>
      </c>
      <c r="D770" s="33" t="s">
        <v>391</v>
      </c>
      <c r="E770" s="35">
        <v>44424</v>
      </c>
      <c r="F770" s="33">
        <v>3</v>
      </c>
      <c r="G770" s="33" t="s">
        <v>122</v>
      </c>
      <c r="H770" s="33" t="s">
        <v>71</v>
      </c>
      <c r="I770" s="33" t="s">
        <v>196</v>
      </c>
      <c r="J770" s="34">
        <v>524.39</v>
      </c>
      <c r="K770" s="34">
        <v>80</v>
      </c>
      <c r="L770" s="34">
        <v>444.39</v>
      </c>
    </row>
    <row r="771" spans="2:12" x14ac:dyDescent="0.3">
      <c r="B771" s="25">
        <v>772</v>
      </c>
      <c r="C771" s="33">
        <v>3845</v>
      </c>
      <c r="D771" s="33" t="s">
        <v>278</v>
      </c>
      <c r="E771" s="35">
        <v>44438</v>
      </c>
      <c r="F771" s="33">
        <v>3</v>
      </c>
      <c r="G771" s="33" t="s">
        <v>124</v>
      </c>
      <c r="H771" s="33" t="s">
        <v>71</v>
      </c>
      <c r="I771" s="33" t="s">
        <v>197</v>
      </c>
      <c r="J771" s="34">
        <v>539.9</v>
      </c>
      <c r="K771" s="34">
        <v>80</v>
      </c>
      <c r="L771" s="34">
        <v>459.9</v>
      </c>
    </row>
    <row r="772" spans="2:12" x14ac:dyDescent="0.3">
      <c r="B772" s="25">
        <v>773</v>
      </c>
      <c r="C772" s="33">
        <v>31855</v>
      </c>
      <c r="D772" s="33" t="s">
        <v>621</v>
      </c>
      <c r="E772" s="35">
        <v>44459</v>
      </c>
      <c r="F772" s="33">
        <v>3</v>
      </c>
      <c r="G772" s="33" t="s">
        <v>122</v>
      </c>
      <c r="H772" s="33" t="s">
        <v>72</v>
      </c>
      <c r="I772" s="33" t="s">
        <v>196</v>
      </c>
      <c r="J772" s="34">
        <v>1693.6</v>
      </c>
      <c r="K772" s="34"/>
      <c r="L772" s="34">
        <v>1693.6</v>
      </c>
    </row>
    <row r="773" spans="2:12" x14ac:dyDescent="0.3">
      <c r="B773" s="25">
        <v>774</v>
      </c>
      <c r="C773" s="33">
        <v>3565</v>
      </c>
      <c r="D773" s="33" t="s">
        <v>391</v>
      </c>
      <c r="E773" s="35">
        <v>44418</v>
      </c>
      <c r="F773" s="33">
        <v>3</v>
      </c>
      <c r="G773" s="33" t="s">
        <v>122</v>
      </c>
      <c r="H773" s="33" t="s">
        <v>71</v>
      </c>
      <c r="I773" s="33" t="s">
        <v>196</v>
      </c>
      <c r="J773" s="34">
        <v>630.61</v>
      </c>
      <c r="K773" s="34"/>
      <c r="L773" s="34">
        <v>630.61</v>
      </c>
    </row>
    <row r="774" spans="2:12" x14ac:dyDescent="0.3">
      <c r="B774" s="25">
        <v>775</v>
      </c>
      <c r="C774" s="33">
        <v>52682</v>
      </c>
      <c r="D774" s="33" t="s">
        <v>400</v>
      </c>
      <c r="E774" s="35">
        <v>44391</v>
      </c>
      <c r="F774" s="33">
        <v>3</v>
      </c>
      <c r="G774" s="33" t="s">
        <v>231</v>
      </c>
      <c r="H774" s="33" t="s">
        <v>73</v>
      </c>
      <c r="I774" s="33" t="s">
        <v>198</v>
      </c>
      <c r="J774" s="34">
        <v>860.82</v>
      </c>
      <c r="K774" s="34"/>
      <c r="L774" s="34">
        <v>860.82</v>
      </c>
    </row>
    <row r="775" spans="2:12" x14ac:dyDescent="0.3">
      <c r="B775" s="25">
        <v>776</v>
      </c>
      <c r="C775" s="33">
        <v>52683</v>
      </c>
      <c r="D775" s="33" t="s">
        <v>400</v>
      </c>
      <c r="E775" s="35">
        <v>44391</v>
      </c>
      <c r="F775" s="33">
        <v>3</v>
      </c>
      <c r="G775" s="33" t="s">
        <v>231</v>
      </c>
      <c r="H775" s="33" t="s">
        <v>73</v>
      </c>
      <c r="I775" s="33" t="s">
        <v>198</v>
      </c>
      <c r="J775" s="34">
        <v>30.55</v>
      </c>
      <c r="K775" s="34"/>
      <c r="L775" s="34">
        <v>30.55</v>
      </c>
    </row>
    <row r="776" spans="2:12" x14ac:dyDescent="0.3">
      <c r="B776" s="25">
        <v>777</v>
      </c>
      <c r="C776" s="33">
        <v>52685</v>
      </c>
      <c r="D776" s="33" t="s">
        <v>443</v>
      </c>
      <c r="E776" s="35">
        <v>44392</v>
      </c>
      <c r="F776" s="33">
        <v>3</v>
      </c>
      <c r="G776" s="33" t="s">
        <v>122</v>
      </c>
      <c r="H776" s="33" t="s">
        <v>73</v>
      </c>
      <c r="I776" s="33" t="s">
        <v>196</v>
      </c>
      <c r="J776" s="34">
        <v>8112.91</v>
      </c>
      <c r="K776" s="34"/>
      <c r="L776" s="34">
        <v>8112.91</v>
      </c>
    </row>
    <row r="777" spans="2:12" x14ac:dyDescent="0.3">
      <c r="B777" s="25">
        <v>778</v>
      </c>
      <c r="C777" s="33">
        <v>52686</v>
      </c>
      <c r="D777" s="33" t="s">
        <v>411</v>
      </c>
      <c r="E777" s="35">
        <v>44392</v>
      </c>
      <c r="F777" s="33">
        <v>3</v>
      </c>
      <c r="G777" s="33" t="s">
        <v>122</v>
      </c>
      <c r="H777" s="33">
        <v>53</v>
      </c>
      <c r="I777" s="33" t="s">
        <v>196</v>
      </c>
      <c r="J777" s="34">
        <v>743.5</v>
      </c>
      <c r="K777" s="34"/>
      <c r="L777" s="34">
        <v>743.5</v>
      </c>
    </row>
    <row r="778" spans="2:12" x14ac:dyDescent="0.3">
      <c r="B778" s="25">
        <v>779</v>
      </c>
      <c r="C778" s="33">
        <v>52687</v>
      </c>
      <c r="D778" s="33" t="s">
        <v>413</v>
      </c>
      <c r="E778" s="35">
        <v>44392</v>
      </c>
      <c r="F778" s="33">
        <v>3</v>
      </c>
      <c r="G778" s="33" t="s">
        <v>122</v>
      </c>
      <c r="H778" s="33" t="s">
        <v>73</v>
      </c>
      <c r="I778" s="33" t="s">
        <v>196</v>
      </c>
      <c r="J778" s="34">
        <v>2068</v>
      </c>
      <c r="K778" s="34"/>
      <c r="L778" s="34">
        <v>2068</v>
      </c>
    </row>
    <row r="779" spans="2:12" x14ac:dyDescent="0.3">
      <c r="B779" s="25">
        <v>780</v>
      </c>
      <c r="C779" s="33">
        <v>52688</v>
      </c>
      <c r="D779" s="33" t="s">
        <v>622</v>
      </c>
      <c r="E779" s="35">
        <v>44392</v>
      </c>
      <c r="F779" s="33">
        <v>3</v>
      </c>
      <c r="G779" s="33" t="s">
        <v>122</v>
      </c>
      <c r="H779" s="33">
        <v>53</v>
      </c>
      <c r="I779" s="33" t="s">
        <v>196</v>
      </c>
      <c r="J779" s="34">
        <v>14245.2</v>
      </c>
      <c r="K779" s="34"/>
      <c r="L779" s="34">
        <v>14245.2</v>
      </c>
    </row>
    <row r="780" spans="2:12" x14ac:dyDescent="0.3">
      <c r="B780" s="25">
        <v>781</v>
      </c>
      <c r="C780" s="33">
        <v>52696</v>
      </c>
      <c r="D780" s="33" t="s">
        <v>412</v>
      </c>
      <c r="E780" s="35">
        <v>44392</v>
      </c>
      <c r="F780" s="33">
        <v>3</v>
      </c>
      <c r="G780" s="33" t="s">
        <v>231</v>
      </c>
      <c r="H780" s="33" t="s">
        <v>73</v>
      </c>
      <c r="I780" s="33" t="s">
        <v>198</v>
      </c>
      <c r="J780" s="34">
        <v>2248.0100000000002</v>
      </c>
      <c r="K780" s="34"/>
      <c r="L780" s="34">
        <v>2248.0100000000002</v>
      </c>
    </row>
    <row r="781" spans="2:12" x14ac:dyDescent="0.3">
      <c r="B781" s="25">
        <v>782</v>
      </c>
      <c r="C781" s="33">
        <v>52784</v>
      </c>
      <c r="D781" s="33" t="s">
        <v>391</v>
      </c>
      <c r="E781" s="35">
        <v>44399</v>
      </c>
      <c r="F781" s="33">
        <v>3</v>
      </c>
      <c r="G781" s="33" t="s">
        <v>122</v>
      </c>
      <c r="H781" s="33">
        <v>53</v>
      </c>
      <c r="I781" s="33" t="s">
        <v>196</v>
      </c>
      <c r="J781" s="34">
        <v>1066.5</v>
      </c>
      <c r="K781" s="34"/>
      <c r="L781" s="34">
        <v>1066.5</v>
      </c>
    </row>
    <row r="782" spans="2:12" x14ac:dyDescent="0.3">
      <c r="B782" s="25">
        <v>783</v>
      </c>
      <c r="C782" s="33">
        <v>52786</v>
      </c>
      <c r="D782" s="33" t="s">
        <v>414</v>
      </c>
      <c r="E782" s="35">
        <v>44399</v>
      </c>
      <c r="F782" s="33">
        <v>3</v>
      </c>
      <c r="G782" s="33" t="s">
        <v>122</v>
      </c>
      <c r="H782" s="33">
        <v>53</v>
      </c>
      <c r="I782" s="33" t="s">
        <v>196</v>
      </c>
      <c r="J782" s="34">
        <v>125.5</v>
      </c>
      <c r="K782" s="34"/>
      <c r="L782" s="34">
        <v>125.5</v>
      </c>
    </row>
    <row r="783" spans="2:12" x14ac:dyDescent="0.3">
      <c r="B783" s="25">
        <v>784</v>
      </c>
      <c r="C783" s="33">
        <v>52794</v>
      </c>
      <c r="D783" s="33" t="s">
        <v>623</v>
      </c>
      <c r="E783" s="35">
        <v>44399</v>
      </c>
      <c r="F783" s="33">
        <v>3</v>
      </c>
      <c r="G783" s="33" t="s">
        <v>122</v>
      </c>
      <c r="H783" s="33" t="s">
        <v>73</v>
      </c>
      <c r="I783" s="33" t="s">
        <v>196</v>
      </c>
      <c r="J783" s="34">
        <v>1726.05</v>
      </c>
      <c r="K783" s="34"/>
      <c r="L783" s="34">
        <v>1726.05</v>
      </c>
    </row>
    <row r="784" spans="2:12" x14ac:dyDescent="0.3">
      <c r="B784" s="25">
        <v>785</v>
      </c>
      <c r="C784" s="33">
        <v>52978</v>
      </c>
      <c r="D784" s="33" t="s">
        <v>400</v>
      </c>
      <c r="E784" s="35">
        <v>44440</v>
      </c>
      <c r="F784" s="33">
        <v>3</v>
      </c>
      <c r="G784" s="33" t="s">
        <v>231</v>
      </c>
      <c r="H784" s="33" t="s">
        <v>73</v>
      </c>
      <c r="I784" s="33" t="s">
        <v>198</v>
      </c>
      <c r="J784" s="34">
        <v>528.62</v>
      </c>
      <c r="K784" s="34"/>
      <c r="L784" s="34">
        <v>528.62</v>
      </c>
    </row>
    <row r="785" spans="2:12" x14ac:dyDescent="0.3">
      <c r="B785" s="25">
        <v>786</v>
      </c>
      <c r="C785" s="33">
        <v>52979</v>
      </c>
      <c r="D785" s="33" t="s">
        <v>400</v>
      </c>
      <c r="E785" s="35">
        <v>44440</v>
      </c>
      <c r="F785" s="33">
        <v>3</v>
      </c>
      <c r="G785" s="33" t="s">
        <v>231</v>
      </c>
      <c r="H785" s="33">
        <v>53</v>
      </c>
      <c r="I785" s="33" t="s">
        <v>198</v>
      </c>
      <c r="J785" s="34">
        <v>922.46</v>
      </c>
      <c r="K785" s="34"/>
      <c r="L785" s="34">
        <v>922.46</v>
      </c>
    </row>
    <row r="786" spans="2:12" x14ac:dyDescent="0.3">
      <c r="B786" s="25">
        <v>787</v>
      </c>
      <c r="C786" s="33">
        <v>53003</v>
      </c>
      <c r="D786" s="33" t="s">
        <v>412</v>
      </c>
      <c r="E786" s="35">
        <v>44441</v>
      </c>
      <c r="F786" s="33">
        <v>3</v>
      </c>
      <c r="G786" s="33" t="s">
        <v>231</v>
      </c>
      <c r="H786" s="33">
        <v>53</v>
      </c>
      <c r="I786" s="33" t="s">
        <v>198</v>
      </c>
      <c r="J786" s="34">
        <v>974</v>
      </c>
      <c r="K786" s="34"/>
      <c r="L786" s="34">
        <v>974</v>
      </c>
    </row>
    <row r="787" spans="2:12" x14ac:dyDescent="0.3">
      <c r="B787" s="25">
        <v>788</v>
      </c>
      <c r="C787" s="33">
        <v>53004</v>
      </c>
      <c r="D787" s="33" t="s">
        <v>438</v>
      </c>
      <c r="E787" s="35">
        <v>44441</v>
      </c>
      <c r="F787" s="33">
        <v>3</v>
      </c>
      <c r="G787" s="33" t="s">
        <v>122</v>
      </c>
      <c r="H787" s="33" t="s">
        <v>73</v>
      </c>
      <c r="I787" s="33" t="s">
        <v>196</v>
      </c>
      <c r="J787" s="34">
        <v>697</v>
      </c>
      <c r="K787" s="34"/>
      <c r="L787" s="34">
        <v>697</v>
      </c>
    </row>
    <row r="788" spans="2:12" x14ac:dyDescent="0.3">
      <c r="B788" s="25">
        <v>789</v>
      </c>
      <c r="C788" s="33">
        <v>53006</v>
      </c>
      <c r="D788" s="33" t="s">
        <v>411</v>
      </c>
      <c r="E788" s="35">
        <v>44441</v>
      </c>
      <c r="F788" s="33">
        <v>3</v>
      </c>
      <c r="G788" s="33" t="s">
        <v>122</v>
      </c>
      <c r="H788" s="33">
        <v>53</v>
      </c>
      <c r="I788" s="33" t="s">
        <v>196</v>
      </c>
      <c r="J788" s="34">
        <v>549.5</v>
      </c>
      <c r="K788" s="34"/>
      <c r="L788" s="34">
        <v>549.5</v>
      </c>
    </row>
    <row r="789" spans="2:12" x14ac:dyDescent="0.3">
      <c r="B789" s="25">
        <v>790</v>
      </c>
      <c r="C789" s="33">
        <v>53015</v>
      </c>
      <c r="D789" s="33" t="s">
        <v>413</v>
      </c>
      <c r="E789" s="35">
        <v>44441</v>
      </c>
      <c r="F789" s="33">
        <v>3</v>
      </c>
      <c r="G789" s="33" t="s">
        <v>122</v>
      </c>
      <c r="H789" s="33" t="s">
        <v>73</v>
      </c>
      <c r="I789" s="33" t="s">
        <v>196</v>
      </c>
      <c r="J789" s="34">
        <v>216.5</v>
      </c>
      <c r="K789" s="34"/>
      <c r="L789" s="34">
        <v>216.5</v>
      </c>
    </row>
    <row r="790" spans="2:12" x14ac:dyDescent="0.3">
      <c r="B790" s="25">
        <v>791</v>
      </c>
      <c r="C790" s="33">
        <v>53086</v>
      </c>
      <c r="D790" s="33" t="s">
        <v>282</v>
      </c>
      <c r="E790" s="35">
        <v>44448</v>
      </c>
      <c r="F790" s="33">
        <v>3</v>
      </c>
      <c r="G790" s="33" t="s">
        <v>124</v>
      </c>
      <c r="H790" s="33" t="s">
        <v>73</v>
      </c>
      <c r="I790" s="33" t="s">
        <v>197</v>
      </c>
      <c r="J790" s="34">
        <v>618</v>
      </c>
      <c r="K790" s="34"/>
      <c r="L790" s="34">
        <v>618</v>
      </c>
    </row>
    <row r="791" spans="2:12" x14ac:dyDescent="0.3">
      <c r="B791" s="25">
        <v>792</v>
      </c>
      <c r="C791" s="33">
        <v>4198</v>
      </c>
      <c r="D791" s="33" t="s">
        <v>624</v>
      </c>
      <c r="E791" s="35">
        <v>44462</v>
      </c>
      <c r="F791" s="33">
        <v>3</v>
      </c>
      <c r="G791" s="33" t="s">
        <v>122</v>
      </c>
      <c r="H791" s="33" t="s">
        <v>71</v>
      </c>
      <c r="I791" s="33" t="s">
        <v>196</v>
      </c>
      <c r="J791" s="34">
        <v>1162.93</v>
      </c>
      <c r="K791" s="34"/>
      <c r="L791" s="34">
        <v>1162.93</v>
      </c>
    </row>
    <row r="792" spans="2:12" x14ac:dyDescent="0.3">
      <c r="B792" s="25">
        <v>793</v>
      </c>
      <c r="C792" s="33" t="s">
        <v>625</v>
      </c>
      <c r="D792" s="33" t="s">
        <v>624</v>
      </c>
      <c r="E792" s="35">
        <v>44460</v>
      </c>
      <c r="F792" s="33">
        <v>3</v>
      </c>
      <c r="G792" s="33" t="s">
        <v>231</v>
      </c>
      <c r="H792" s="33" t="s">
        <v>71</v>
      </c>
      <c r="I792" s="33" t="s">
        <v>198</v>
      </c>
      <c r="J792" s="34">
        <v>1585.81</v>
      </c>
      <c r="K792" s="34"/>
      <c r="L792" s="34">
        <v>1585.81</v>
      </c>
    </row>
    <row r="793" spans="2:12" x14ac:dyDescent="0.3">
      <c r="B793" s="25">
        <v>794</v>
      </c>
      <c r="C793" s="33" t="s">
        <v>626</v>
      </c>
      <c r="D793" s="33" t="s">
        <v>627</v>
      </c>
      <c r="E793" s="35">
        <v>44466</v>
      </c>
      <c r="F793" s="33">
        <v>3</v>
      </c>
      <c r="G793" s="33" t="s">
        <v>231</v>
      </c>
      <c r="H793" s="33" t="s">
        <v>71</v>
      </c>
      <c r="I793" s="33" t="s">
        <v>198</v>
      </c>
      <c r="J793" s="34">
        <v>519.41</v>
      </c>
      <c r="K793" s="34"/>
      <c r="L793" s="34">
        <v>519.41</v>
      </c>
    </row>
    <row r="794" spans="2:12" x14ac:dyDescent="0.3">
      <c r="B794" s="25">
        <v>795</v>
      </c>
      <c r="C794" s="33">
        <v>4236</v>
      </c>
      <c r="D794" s="33" t="s">
        <v>627</v>
      </c>
      <c r="E794" s="35">
        <v>44466</v>
      </c>
      <c r="F794" s="33">
        <v>3</v>
      </c>
      <c r="G794" s="33" t="s">
        <v>122</v>
      </c>
      <c r="H794" s="33" t="s">
        <v>71</v>
      </c>
      <c r="I794" s="33" t="s">
        <v>196</v>
      </c>
      <c r="J794" s="34">
        <v>361.86</v>
      </c>
      <c r="K794" s="34"/>
      <c r="L794" s="34">
        <v>361.86</v>
      </c>
    </row>
    <row r="795" spans="2:12" x14ac:dyDescent="0.3">
      <c r="B795" s="25">
        <v>796</v>
      </c>
      <c r="C795" s="33">
        <v>4276</v>
      </c>
      <c r="D795" s="33" t="s">
        <v>554</v>
      </c>
      <c r="E795" s="35">
        <v>44454</v>
      </c>
      <c r="F795" s="33">
        <v>3</v>
      </c>
      <c r="G795" s="33" t="s">
        <v>124</v>
      </c>
      <c r="H795" s="33" t="s">
        <v>201</v>
      </c>
      <c r="I795" s="33" t="s">
        <v>197</v>
      </c>
      <c r="J795" s="34">
        <v>1201.2</v>
      </c>
      <c r="K795" s="34"/>
      <c r="L795" s="34">
        <v>1201.2</v>
      </c>
    </row>
    <row r="796" spans="2:12" x14ac:dyDescent="0.3">
      <c r="B796" s="25">
        <v>797</v>
      </c>
      <c r="C796" s="33">
        <v>4278</v>
      </c>
      <c r="D796" s="33" t="s">
        <v>632</v>
      </c>
      <c r="E796" s="35">
        <v>44454</v>
      </c>
      <c r="F796" s="33">
        <v>3</v>
      </c>
      <c r="G796" s="33" t="s">
        <v>122</v>
      </c>
      <c r="H796" s="33" t="s">
        <v>201</v>
      </c>
      <c r="I796" s="33" t="s">
        <v>196</v>
      </c>
      <c r="J796" s="34">
        <v>411.2</v>
      </c>
      <c r="K796" s="34">
        <v>80</v>
      </c>
      <c r="L796" s="34">
        <v>331.2</v>
      </c>
    </row>
    <row r="797" spans="2:12" x14ac:dyDescent="0.3">
      <c r="B797" s="25">
        <v>798</v>
      </c>
      <c r="C797" s="33">
        <v>4279</v>
      </c>
      <c r="D797" s="33" t="s">
        <v>473</v>
      </c>
      <c r="E797" s="35">
        <v>44454</v>
      </c>
      <c r="F797" s="33">
        <v>3</v>
      </c>
      <c r="G797" s="33" t="s">
        <v>122</v>
      </c>
      <c r="H797" s="33" t="s">
        <v>201</v>
      </c>
      <c r="I797" s="33" t="s">
        <v>196</v>
      </c>
      <c r="J797" s="34">
        <v>2296.36</v>
      </c>
      <c r="K797" s="34"/>
      <c r="L797" s="34">
        <v>2296.36</v>
      </c>
    </row>
    <row r="798" spans="2:12" x14ac:dyDescent="0.3">
      <c r="B798" s="25">
        <v>799</v>
      </c>
      <c r="C798" s="33">
        <v>4280</v>
      </c>
      <c r="D798" s="33" t="s">
        <v>473</v>
      </c>
      <c r="E798" s="35">
        <v>44454</v>
      </c>
      <c r="F798" s="33">
        <v>3</v>
      </c>
      <c r="G798" s="33" t="s">
        <v>122</v>
      </c>
      <c r="H798" s="33" t="s">
        <v>201</v>
      </c>
      <c r="I798" s="33" t="s">
        <v>196</v>
      </c>
      <c r="J798" s="34">
        <v>2277.0500000000002</v>
      </c>
      <c r="K798" s="34"/>
      <c r="L798" s="34">
        <v>2277.0500000000002</v>
      </c>
    </row>
    <row r="799" spans="2:12" x14ac:dyDescent="0.3">
      <c r="B799" s="25">
        <v>800</v>
      </c>
      <c r="C799" s="33">
        <v>4281</v>
      </c>
      <c r="D799" s="33" t="s">
        <v>415</v>
      </c>
      <c r="E799" s="35">
        <v>44454</v>
      </c>
      <c r="F799" s="33">
        <v>3</v>
      </c>
      <c r="G799" s="33" t="s">
        <v>122</v>
      </c>
      <c r="H799" s="33" t="s">
        <v>201</v>
      </c>
      <c r="I799" s="33" t="s">
        <v>196</v>
      </c>
      <c r="J799" s="34">
        <v>2566.52</v>
      </c>
      <c r="K799" s="34"/>
      <c r="L799" s="34">
        <v>2566.52</v>
      </c>
    </row>
    <row r="800" spans="2:12" x14ac:dyDescent="0.3">
      <c r="B800" s="25">
        <v>801</v>
      </c>
      <c r="C800" s="33">
        <v>4283</v>
      </c>
      <c r="D800" s="33" t="s">
        <v>584</v>
      </c>
      <c r="E800" s="35">
        <v>44454</v>
      </c>
      <c r="F800" s="33">
        <v>3</v>
      </c>
      <c r="G800" s="33" t="s">
        <v>122</v>
      </c>
      <c r="H800" s="33" t="s">
        <v>201</v>
      </c>
      <c r="I800" s="33" t="s">
        <v>196</v>
      </c>
      <c r="J800" s="34">
        <v>9489.92</v>
      </c>
      <c r="K800" s="34"/>
      <c r="L800" s="34">
        <v>9489.92</v>
      </c>
    </row>
    <row r="801" spans="2:12" x14ac:dyDescent="0.3">
      <c r="B801" s="25">
        <v>802</v>
      </c>
      <c r="C801" s="33">
        <v>4286</v>
      </c>
      <c r="D801" s="33" t="s">
        <v>413</v>
      </c>
      <c r="E801" s="35">
        <v>44454</v>
      </c>
      <c r="F801" s="33">
        <v>3</v>
      </c>
      <c r="G801" s="33" t="s">
        <v>122</v>
      </c>
      <c r="H801" s="33" t="s">
        <v>201</v>
      </c>
      <c r="I801" s="33" t="s">
        <v>196</v>
      </c>
      <c r="J801" s="34">
        <v>1269</v>
      </c>
      <c r="K801" s="34"/>
      <c r="L801" s="34">
        <v>1269</v>
      </c>
    </row>
    <row r="802" spans="2:12" x14ac:dyDescent="0.3">
      <c r="B802" s="25">
        <v>803</v>
      </c>
      <c r="C802" s="33">
        <v>4287</v>
      </c>
      <c r="D802" s="33" t="s">
        <v>411</v>
      </c>
      <c r="E802" s="35">
        <v>44454</v>
      </c>
      <c r="F802" s="33">
        <v>3</v>
      </c>
      <c r="G802" s="33" t="s">
        <v>122</v>
      </c>
      <c r="H802" s="33" t="s">
        <v>201</v>
      </c>
      <c r="I802" s="33" t="s">
        <v>196</v>
      </c>
      <c r="J802" s="34">
        <v>2161.2800000000002</v>
      </c>
      <c r="K802" s="34"/>
      <c r="L802" s="34">
        <v>2161.2800000000002</v>
      </c>
    </row>
    <row r="803" spans="2:12" x14ac:dyDescent="0.3">
      <c r="B803" s="25">
        <v>804</v>
      </c>
      <c r="C803" s="33">
        <v>4295</v>
      </c>
      <c r="D803" s="33" t="s">
        <v>633</v>
      </c>
      <c r="E803" s="35">
        <v>44455</v>
      </c>
      <c r="F803" s="33">
        <v>3</v>
      </c>
      <c r="G803" s="33" t="s">
        <v>231</v>
      </c>
      <c r="H803" s="33" t="s">
        <v>201</v>
      </c>
      <c r="I803" s="33" t="s">
        <v>198</v>
      </c>
      <c r="J803" s="34">
        <v>36</v>
      </c>
      <c r="K803" s="34"/>
      <c r="L803" s="34">
        <v>36</v>
      </c>
    </row>
    <row r="804" spans="2:12" x14ac:dyDescent="0.3">
      <c r="B804" s="25">
        <v>805</v>
      </c>
      <c r="C804" s="33">
        <v>4303</v>
      </c>
      <c r="D804" s="33" t="s">
        <v>406</v>
      </c>
      <c r="E804" s="35">
        <v>44455</v>
      </c>
      <c r="F804" s="33">
        <v>3</v>
      </c>
      <c r="G804" s="33" t="s">
        <v>122</v>
      </c>
      <c r="H804" s="33" t="s">
        <v>201</v>
      </c>
      <c r="I804" s="33" t="s">
        <v>196</v>
      </c>
      <c r="J804" s="34">
        <v>3828</v>
      </c>
      <c r="K804" s="34"/>
      <c r="L804" s="34">
        <v>3828</v>
      </c>
    </row>
    <row r="805" spans="2:12" x14ac:dyDescent="0.3">
      <c r="B805" s="25">
        <v>806</v>
      </c>
      <c r="C805" s="33" t="s">
        <v>634</v>
      </c>
      <c r="D805" s="33" t="s">
        <v>606</v>
      </c>
      <c r="E805" s="35">
        <v>44460</v>
      </c>
      <c r="F805" s="33">
        <v>3</v>
      </c>
      <c r="G805" s="33" t="s">
        <v>124</v>
      </c>
      <c r="H805" s="33" t="s">
        <v>201</v>
      </c>
      <c r="I805" s="33" t="s">
        <v>197</v>
      </c>
      <c r="J805" s="34">
        <v>-175</v>
      </c>
      <c r="K805" s="34"/>
      <c r="L805" s="34">
        <v>-175</v>
      </c>
    </row>
    <row r="806" spans="2:12" x14ac:dyDescent="0.3">
      <c r="B806" s="25">
        <v>807</v>
      </c>
      <c r="C806" s="33">
        <v>4416</v>
      </c>
      <c r="D806" s="33" t="s">
        <v>635</v>
      </c>
      <c r="E806" s="35">
        <v>44461</v>
      </c>
      <c r="F806" s="33">
        <v>3</v>
      </c>
      <c r="G806" s="33" t="s">
        <v>231</v>
      </c>
      <c r="H806" s="33" t="s">
        <v>201</v>
      </c>
      <c r="I806" s="33" t="s">
        <v>198</v>
      </c>
      <c r="J806" s="34">
        <v>935</v>
      </c>
      <c r="K806" s="34"/>
      <c r="L806" s="34">
        <v>935</v>
      </c>
    </row>
    <row r="807" spans="2:12" x14ac:dyDescent="0.3">
      <c r="B807" s="25">
        <v>808</v>
      </c>
      <c r="C807" s="33">
        <v>4417</v>
      </c>
      <c r="D807" s="33" t="s">
        <v>636</v>
      </c>
      <c r="E807" s="35">
        <v>44461</v>
      </c>
      <c r="F807" s="33">
        <v>3</v>
      </c>
      <c r="G807" s="33" t="s">
        <v>124</v>
      </c>
      <c r="H807" s="33" t="s">
        <v>201</v>
      </c>
      <c r="I807" s="33" t="s">
        <v>197</v>
      </c>
      <c r="J807" s="34">
        <v>511.2</v>
      </c>
      <c r="K807" s="34">
        <v>80</v>
      </c>
      <c r="L807" s="34">
        <v>431.2</v>
      </c>
    </row>
    <row r="808" spans="2:12" x14ac:dyDescent="0.3">
      <c r="B808" s="25">
        <v>809</v>
      </c>
      <c r="C808" s="33">
        <v>4422</v>
      </c>
      <c r="D808" s="33" t="s">
        <v>564</v>
      </c>
      <c r="E808" s="35">
        <v>44461</v>
      </c>
      <c r="F808" s="33">
        <v>3</v>
      </c>
      <c r="G808" s="33" t="s">
        <v>124</v>
      </c>
      <c r="H808" s="33" t="s">
        <v>201</v>
      </c>
      <c r="I808" s="33" t="s">
        <v>197</v>
      </c>
      <c r="J808" s="34">
        <v>1081.92</v>
      </c>
      <c r="K808" s="34"/>
      <c r="L808" s="34">
        <v>1081.92</v>
      </c>
    </row>
    <row r="809" spans="2:12" x14ac:dyDescent="0.3">
      <c r="B809" s="25">
        <v>810</v>
      </c>
      <c r="C809" s="33">
        <v>4423</v>
      </c>
      <c r="D809" s="33" t="s">
        <v>580</v>
      </c>
      <c r="E809" s="35">
        <v>44461</v>
      </c>
      <c r="F809" s="33">
        <v>3</v>
      </c>
      <c r="G809" s="33" t="s">
        <v>124</v>
      </c>
      <c r="H809" s="33" t="s">
        <v>201</v>
      </c>
      <c r="I809" s="33" t="s">
        <v>197</v>
      </c>
      <c r="J809" s="34">
        <v>2442</v>
      </c>
      <c r="K809" s="34"/>
      <c r="L809" s="34">
        <v>2442</v>
      </c>
    </row>
    <row r="810" spans="2:12" x14ac:dyDescent="0.3">
      <c r="B810" s="25">
        <v>811</v>
      </c>
      <c r="C810" s="33">
        <v>4426</v>
      </c>
      <c r="D810" s="33" t="s">
        <v>584</v>
      </c>
      <c r="E810" s="35">
        <v>44461</v>
      </c>
      <c r="F810" s="33">
        <v>3</v>
      </c>
      <c r="G810" s="33" t="s">
        <v>122</v>
      </c>
      <c r="H810" s="33" t="s">
        <v>201</v>
      </c>
      <c r="I810" s="33" t="s">
        <v>196</v>
      </c>
      <c r="J810" s="34">
        <v>3182.65</v>
      </c>
      <c r="K810" s="34"/>
      <c r="L810" s="34">
        <v>3182.65</v>
      </c>
    </row>
    <row r="811" spans="2:12" x14ac:dyDescent="0.3">
      <c r="B811" s="25">
        <v>812</v>
      </c>
      <c r="C811" s="33">
        <v>4430</v>
      </c>
      <c r="D811" s="33" t="s">
        <v>637</v>
      </c>
      <c r="E811" s="35">
        <v>44461</v>
      </c>
      <c r="F811" s="33">
        <v>3</v>
      </c>
      <c r="G811" s="33" t="s">
        <v>124</v>
      </c>
      <c r="H811" s="33" t="s">
        <v>201</v>
      </c>
      <c r="I811" s="33" t="s">
        <v>197</v>
      </c>
      <c r="J811" s="34">
        <v>1464</v>
      </c>
      <c r="K811" s="34"/>
      <c r="L811" s="34">
        <v>1464</v>
      </c>
    </row>
    <row r="812" spans="2:12" x14ac:dyDescent="0.3">
      <c r="B812" s="25">
        <v>813</v>
      </c>
      <c r="C812" s="33">
        <v>4458</v>
      </c>
      <c r="D812" s="33" t="s">
        <v>638</v>
      </c>
      <c r="E812" s="35">
        <v>44462</v>
      </c>
      <c r="F812" s="33">
        <v>3</v>
      </c>
      <c r="G812" s="33" t="s">
        <v>231</v>
      </c>
      <c r="H812" s="33" t="s">
        <v>201</v>
      </c>
      <c r="I812" s="33" t="s">
        <v>198</v>
      </c>
      <c r="J812" s="34">
        <v>130</v>
      </c>
      <c r="K812" s="34">
        <v>20</v>
      </c>
      <c r="L812" s="34">
        <v>110</v>
      </c>
    </row>
    <row r="813" spans="2:12" x14ac:dyDescent="0.3">
      <c r="B813" s="25">
        <v>814</v>
      </c>
      <c r="C813" s="33">
        <v>4491</v>
      </c>
      <c r="D813" s="33" t="s">
        <v>584</v>
      </c>
      <c r="E813" s="35">
        <v>44462</v>
      </c>
      <c r="F813" s="33">
        <v>3</v>
      </c>
      <c r="G813" s="33" t="s">
        <v>122</v>
      </c>
      <c r="H813" s="33" t="s">
        <v>201</v>
      </c>
      <c r="I813" s="33" t="s">
        <v>196</v>
      </c>
      <c r="J813" s="34">
        <v>1695.76</v>
      </c>
      <c r="K813" s="34"/>
      <c r="L813" s="34">
        <v>1695.76</v>
      </c>
    </row>
    <row r="814" spans="2:12" x14ac:dyDescent="0.3">
      <c r="B814" s="25">
        <v>815</v>
      </c>
      <c r="C814" s="33">
        <v>31919</v>
      </c>
      <c r="D814" s="33" t="s">
        <v>532</v>
      </c>
      <c r="E814" s="35">
        <v>44464</v>
      </c>
      <c r="F814" s="33">
        <v>3</v>
      </c>
      <c r="G814" s="33" t="s">
        <v>122</v>
      </c>
      <c r="H814" s="33" t="s">
        <v>72</v>
      </c>
      <c r="I814" s="33" t="s">
        <v>196</v>
      </c>
      <c r="J814" s="34">
        <v>9183.4</v>
      </c>
      <c r="K814" s="34"/>
      <c r="L814" s="34">
        <v>9183.4</v>
      </c>
    </row>
    <row r="815" spans="2:12" x14ac:dyDescent="0.3">
      <c r="B815" s="25">
        <v>816</v>
      </c>
      <c r="C815" s="33">
        <v>31932</v>
      </c>
      <c r="D815" s="33" t="s">
        <v>531</v>
      </c>
      <c r="E815" s="35">
        <v>44464</v>
      </c>
      <c r="F815" s="33">
        <v>3</v>
      </c>
      <c r="G815" s="33" t="s">
        <v>122</v>
      </c>
      <c r="H815" s="33" t="s">
        <v>72</v>
      </c>
      <c r="I815" s="33" t="s">
        <v>196</v>
      </c>
      <c r="J815" s="34">
        <v>1119.2</v>
      </c>
      <c r="K815" s="34"/>
      <c r="L815" s="34">
        <v>1119.2</v>
      </c>
    </row>
    <row r="816" spans="2:12" x14ac:dyDescent="0.3">
      <c r="B816" s="25">
        <v>817</v>
      </c>
      <c r="C816" s="33">
        <v>31534</v>
      </c>
      <c r="D816" s="33" t="s">
        <v>395</v>
      </c>
      <c r="E816" s="35">
        <v>44390</v>
      </c>
      <c r="F816" s="33">
        <v>3</v>
      </c>
      <c r="G816" s="33" t="s">
        <v>122</v>
      </c>
      <c r="H816" s="33" t="s">
        <v>72</v>
      </c>
      <c r="I816" s="33" t="s">
        <v>196</v>
      </c>
      <c r="J816" s="34">
        <v>1271</v>
      </c>
      <c r="K816" s="34"/>
      <c r="L816" s="34">
        <v>1271</v>
      </c>
    </row>
    <row r="817" spans="2:12" x14ac:dyDescent="0.3">
      <c r="B817" s="25">
        <v>818</v>
      </c>
      <c r="C817" s="33">
        <v>31939</v>
      </c>
      <c r="D817" s="33" t="s">
        <v>394</v>
      </c>
      <c r="E817" s="35">
        <v>44464</v>
      </c>
      <c r="F817" s="33">
        <v>3</v>
      </c>
      <c r="G817" s="33" t="s">
        <v>122</v>
      </c>
      <c r="H817" s="33" t="s">
        <v>72</v>
      </c>
      <c r="I817" s="33" t="s">
        <v>196</v>
      </c>
      <c r="J817" s="34">
        <v>13415.2</v>
      </c>
      <c r="K817" s="34"/>
      <c r="L817" s="34">
        <v>13415.2</v>
      </c>
    </row>
    <row r="818" spans="2:12" x14ac:dyDescent="0.3">
      <c r="B818" s="25">
        <v>819</v>
      </c>
      <c r="C818" s="33">
        <v>31957</v>
      </c>
      <c r="D818" s="33" t="s">
        <v>639</v>
      </c>
      <c r="E818" s="35">
        <v>44464</v>
      </c>
      <c r="F818" s="33">
        <v>3</v>
      </c>
      <c r="G818" s="33" t="s">
        <v>122</v>
      </c>
      <c r="H818" s="33" t="s">
        <v>72</v>
      </c>
      <c r="I818" s="33" t="s">
        <v>196</v>
      </c>
      <c r="J818" s="34">
        <v>1847.2</v>
      </c>
      <c r="K818" s="34">
        <v>100</v>
      </c>
      <c r="L818" s="34">
        <v>1747.2</v>
      </c>
    </row>
    <row r="819" spans="2:12" x14ac:dyDescent="0.3">
      <c r="B819" s="25">
        <v>820</v>
      </c>
      <c r="C819" s="33">
        <v>31964</v>
      </c>
      <c r="D819" s="33" t="s">
        <v>553</v>
      </c>
      <c r="E819" s="35">
        <v>44466</v>
      </c>
      <c r="F819" s="33">
        <v>3</v>
      </c>
      <c r="G819" s="33" t="s">
        <v>122</v>
      </c>
      <c r="H819" s="33" t="s">
        <v>72</v>
      </c>
      <c r="I819" s="33" t="s">
        <v>196</v>
      </c>
      <c r="J819" s="34">
        <v>374</v>
      </c>
      <c r="K819" s="34"/>
      <c r="L819" s="34">
        <v>374</v>
      </c>
    </row>
    <row r="820" spans="2:12" x14ac:dyDescent="0.3">
      <c r="B820" s="25">
        <v>821</v>
      </c>
      <c r="C820" s="33">
        <v>31966</v>
      </c>
      <c r="D820" s="33" t="s">
        <v>640</v>
      </c>
      <c r="E820" s="35">
        <v>44466</v>
      </c>
      <c r="F820" s="33">
        <v>3</v>
      </c>
      <c r="G820" s="33" t="s">
        <v>122</v>
      </c>
      <c r="H820" s="33" t="s">
        <v>72</v>
      </c>
      <c r="I820" s="33" t="s">
        <v>196</v>
      </c>
      <c r="J820" s="34">
        <v>3260</v>
      </c>
      <c r="K820" s="34"/>
      <c r="L820" s="34">
        <v>3260</v>
      </c>
    </row>
    <row r="821" spans="2:12" x14ac:dyDescent="0.3">
      <c r="B821" s="25">
        <v>822</v>
      </c>
      <c r="C821" s="33">
        <v>31984</v>
      </c>
      <c r="D821" s="33" t="s">
        <v>611</v>
      </c>
      <c r="E821" s="35">
        <v>44467</v>
      </c>
      <c r="F821" s="33">
        <v>3</v>
      </c>
      <c r="G821" s="33" t="s">
        <v>231</v>
      </c>
      <c r="H821" s="33" t="s">
        <v>72</v>
      </c>
      <c r="I821" s="33" t="s">
        <v>198</v>
      </c>
      <c r="J821" s="34">
        <v>4742</v>
      </c>
      <c r="K821" s="34"/>
      <c r="L821" s="34">
        <v>4742</v>
      </c>
    </row>
    <row r="822" spans="2:12" x14ac:dyDescent="0.3">
      <c r="B822" s="25">
        <v>823</v>
      </c>
      <c r="C822" s="33">
        <v>53117</v>
      </c>
      <c r="D822" s="33" t="s">
        <v>414</v>
      </c>
      <c r="E822" s="35">
        <v>44378</v>
      </c>
      <c r="F822" s="33">
        <v>3</v>
      </c>
      <c r="G822" s="33" t="s">
        <v>122</v>
      </c>
      <c r="H822" s="33" t="s">
        <v>69</v>
      </c>
      <c r="I822" s="33" t="s">
        <v>196</v>
      </c>
      <c r="J822" s="34">
        <v>45</v>
      </c>
      <c r="K822" s="34"/>
      <c r="L822" s="34">
        <v>45</v>
      </c>
    </row>
    <row r="823" spans="2:12" x14ac:dyDescent="0.3">
      <c r="B823" s="25">
        <v>824</v>
      </c>
      <c r="C823" s="33">
        <v>53422</v>
      </c>
      <c r="D823" s="33" t="s">
        <v>391</v>
      </c>
      <c r="E823" s="35">
        <v>44392</v>
      </c>
      <c r="F823" s="33">
        <v>3</v>
      </c>
      <c r="G823" s="33" t="s">
        <v>122</v>
      </c>
      <c r="H823" s="33" t="s">
        <v>69</v>
      </c>
      <c r="I823" s="33" t="s">
        <v>196</v>
      </c>
      <c r="J823" s="34">
        <v>3651.49</v>
      </c>
      <c r="K823" s="34"/>
      <c r="L823" s="34">
        <v>3651.49</v>
      </c>
    </row>
    <row r="824" spans="2:12" x14ac:dyDescent="0.3">
      <c r="B824" s="25">
        <v>825</v>
      </c>
      <c r="C824" s="33">
        <v>53423</v>
      </c>
      <c r="D824" s="33" t="s">
        <v>404</v>
      </c>
      <c r="E824" s="35">
        <v>44392</v>
      </c>
      <c r="F824" s="33">
        <v>3</v>
      </c>
      <c r="G824" s="33" t="s">
        <v>122</v>
      </c>
      <c r="H824" s="33" t="s">
        <v>69</v>
      </c>
      <c r="I824" s="33" t="s">
        <v>196</v>
      </c>
      <c r="J824" s="34">
        <v>1255</v>
      </c>
      <c r="K824" s="34"/>
      <c r="L824" s="34">
        <v>1255</v>
      </c>
    </row>
    <row r="825" spans="2:12" x14ac:dyDescent="0.3">
      <c r="B825" s="25">
        <v>826</v>
      </c>
      <c r="C825" s="33">
        <v>53446</v>
      </c>
      <c r="D825" s="33" t="s">
        <v>400</v>
      </c>
      <c r="E825" s="35">
        <v>44392</v>
      </c>
      <c r="F825" s="33">
        <v>3</v>
      </c>
      <c r="G825" s="33" t="s">
        <v>231</v>
      </c>
      <c r="H825" s="33" t="s">
        <v>69</v>
      </c>
      <c r="I825" s="33" t="s">
        <v>198</v>
      </c>
      <c r="J825" s="34">
        <v>624.66999999999996</v>
      </c>
      <c r="K825" s="34"/>
      <c r="L825" s="34">
        <v>624.66999999999996</v>
      </c>
    </row>
    <row r="826" spans="2:12" x14ac:dyDescent="0.3">
      <c r="B826" s="25">
        <v>827</v>
      </c>
      <c r="C826" s="33">
        <v>53447</v>
      </c>
      <c r="D826" s="33" t="s">
        <v>400</v>
      </c>
      <c r="E826" s="35">
        <v>44392</v>
      </c>
      <c r="F826" s="33">
        <v>3</v>
      </c>
      <c r="G826" s="33" t="s">
        <v>231</v>
      </c>
      <c r="H826" s="33" t="s">
        <v>69</v>
      </c>
      <c r="I826" s="33" t="s">
        <v>198</v>
      </c>
      <c r="J826" s="34">
        <v>1039.82</v>
      </c>
      <c r="K826" s="34"/>
      <c r="L826" s="34">
        <v>1039.82</v>
      </c>
    </row>
    <row r="827" spans="2:12" x14ac:dyDescent="0.3">
      <c r="B827" s="25">
        <v>828</v>
      </c>
      <c r="C827" s="33">
        <v>53448</v>
      </c>
      <c r="D827" s="33" t="s">
        <v>400</v>
      </c>
      <c r="E827" s="35">
        <v>44392</v>
      </c>
      <c r="F827" s="33">
        <v>3</v>
      </c>
      <c r="G827" s="33" t="s">
        <v>231</v>
      </c>
      <c r="H827" s="33" t="s">
        <v>69</v>
      </c>
      <c r="I827" s="33" t="s">
        <v>198</v>
      </c>
      <c r="J827" s="34">
        <v>2276.08</v>
      </c>
      <c r="K827" s="34"/>
      <c r="L827" s="34">
        <v>2276.08</v>
      </c>
    </row>
    <row r="828" spans="2:12" x14ac:dyDescent="0.3">
      <c r="B828" s="25">
        <v>829</v>
      </c>
      <c r="C828" s="33">
        <v>53449</v>
      </c>
      <c r="D828" s="33" t="s">
        <v>400</v>
      </c>
      <c r="E828" s="35">
        <v>44392</v>
      </c>
      <c r="F828" s="33">
        <v>3</v>
      </c>
      <c r="G828" s="33" t="s">
        <v>231</v>
      </c>
      <c r="H828" s="33" t="s">
        <v>69</v>
      </c>
      <c r="I828" s="33" t="s">
        <v>198</v>
      </c>
      <c r="J828" s="34">
        <v>895.73</v>
      </c>
      <c r="K828" s="34"/>
      <c r="L828" s="34">
        <v>895.73</v>
      </c>
    </row>
    <row r="829" spans="2:12" x14ac:dyDescent="0.3">
      <c r="B829" s="25">
        <v>830</v>
      </c>
      <c r="C829" s="33">
        <v>53450</v>
      </c>
      <c r="D829" s="33" t="s">
        <v>400</v>
      </c>
      <c r="E829" s="35">
        <v>44392</v>
      </c>
      <c r="F829" s="33">
        <v>3</v>
      </c>
      <c r="G829" s="33" t="s">
        <v>231</v>
      </c>
      <c r="H829" s="33" t="s">
        <v>69</v>
      </c>
      <c r="I829" s="33" t="s">
        <v>198</v>
      </c>
      <c r="J829" s="34">
        <v>956.4</v>
      </c>
      <c r="K829" s="34"/>
      <c r="L829" s="34">
        <v>956.4</v>
      </c>
    </row>
    <row r="830" spans="2:12" x14ac:dyDescent="0.3">
      <c r="B830" s="25">
        <v>831</v>
      </c>
      <c r="C830" s="33">
        <v>53451</v>
      </c>
      <c r="D830" s="33" t="s">
        <v>400</v>
      </c>
      <c r="E830" s="35">
        <v>44392</v>
      </c>
      <c r="F830" s="33">
        <v>3</v>
      </c>
      <c r="G830" s="33" t="s">
        <v>231</v>
      </c>
      <c r="H830" s="33" t="s">
        <v>69</v>
      </c>
      <c r="I830" s="33" t="s">
        <v>198</v>
      </c>
      <c r="J830" s="34">
        <v>121.44</v>
      </c>
      <c r="K830" s="34"/>
      <c r="L830" s="34">
        <v>121.44</v>
      </c>
    </row>
    <row r="831" spans="2:12" x14ac:dyDescent="0.3">
      <c r="B831" s="25">
        <v>832</v>
      </c>
      <c r="C831" s="33">
        <v>53452</v>
      </c>
      <c r="D831" s="33" t="s">
        <v>400</v>
      </c>
      <c r="E831" s="35">
        <v>44392</v>
      </c>
      <c r="F831" s="33">
        <v>3</v>
      </c>
      <c r="G831" s="33" t="s">
        <v>231</v>
      </c>
      <c r="H831" s="33" t="s">
        <v>69</v>
      </c>
      <c r="I831" s="33" t="s">
        <v>198</v>
      </c>
      <c r="J831" s="34">
        <v>510.19</v>
      </c>
      <c r="K831" s="34"/>
      <c r="L831" s="34">
        <v>510.19</v>
      </c>
    </row>
    <row r="832" spans="2:12" x14ac:dyDescent="0.3">
      <c r="B832" s="25">
        <v>833</v>
      </c>
      <c r="C832" s="33">
        <v>53453</v>
      </c>
      <c r="D832" s="33" t="s">
        <v>400</v>
      </c>
      <c r="E832" s="35">
        <v>44392</v>
      </c>
      <c r="F832" s="33">
        <v>3</v>
      </c>
      <c r="G832" s="33" t="s">
        <v>231</v>
      </c>
      <c r="H832" s="33" t="s">
        <v>69</v>
      </c>
      <c r="I832" s="33" t="s">
        <v>198</v>
      </c>
      <c r="J832" s="34">
        <v>1432.15</v>
      </c>
      <c r="K832" s="34"/>
      <c r="L832" s="34">
        <v>1432.15</v>
      </c>
    </row>
    <row r="833" spans="2:12" x14ac:dyDescent="0.3">
      <c r="B833" s="25">
        <v>834</v>
      </c>
      <c r="C833" s="33">
        <v>53454</v>
      </c>
      <c r="D833" s="33" t="s">
        <v>400</v>
      </c>
      <c r="E833" s="35">
        <v>44392</v>
      </c>
      <c r="F833" s="33">
        <v>3</v>
      </c>
      <c r="G833" s="33" t="s">
        <v>231</v>
      </c>
      <c r="H833" s="33" t="s">
        <v>69</v>
      </c>
      <c r="I833" s="33" t="s">
        <v>198</v>
      </c>
      <c r="J833" s="34">
        <v>1179.44</v>
      </c>
      <c r="K833" s="34"/>
      <c r="L833" s="34">
        <v>1179.44</v>
      </c>
    </row>
    <row r="834" spans="2:12" x14ac:dyDescent="0.3">
      <c r="B834" s="25">
        <v>835</v>
      </c>
      <c r="C834" s="33">
        <v>53455</v>
      </c>
      <c r="D834" s="33" t="s">
        <v>401</v>
      </c>
      <c r="E834" s="35">
        <v>44392</v>
      </c>
      <c r="F834" s="33">
        <v>3</v>
      </c>
      <c r="G834" s="33" t="s">
        <v>231</v>
      </c>
      <c r="H834" s="33" t="s">
        <v>69</v>
      </c>
      <c r="I834" s="33" t="s">
        <v>198</v>
      </c>
      <c r="J834" s="34">
        <v>5685</v>
      </c>
      <c r="K834" s="34"/>
      <c r="L834" s="34">
        <v>5685</v>
      </c>
    </row>
    <row r="835" spans="2:12" x14ac:dyDescent="0.3">
      <c r="B835" s="25">
        <v>836</v>
      </c>
      <c r="C835" s="33">
        <v>53474</v>
      </c>
      <c r="D835" s="33" t="s">
        <v>512</v>
      </c>
      <c r="E835" s="35">
        <v>44393</v>
      </c>
      <c r="F835" s="33">
        <v>3</v>
      </c>
      <c r="G835" s="33" t="s">
        <v>122</v>
      </c>
      <c r="H835" s="33" t="s">
        <v>69</v>
      </c>
      <c r="I835" s="33" t="s">
        <v>196</v>
      </c>
      <c r="J835" s="34">
        <v>2477.5</v>
      </c>
      <c r="K835" s="34"/>
      <c r="L835" s="34">
        <v>2477.5</v>
      </c>
    </row>
    <row r="836" spans="2:12" x14ac:dyDescent="0.3">
      <c r="B836" s="25">
        <v>837</v>
      </c>
      <c r="C836" s="33" t="s">
        <v>641</v>
      </c>
      <c r="D836" s="33" t="s">
        <v>400</v>
      </c>
      <c r="E836" s="35">
        <v>44399</v>
      </c>
      <c r="F836" s="33">
        <v>3</v>
      </c>
      <c r="G836" s="33" t="s">
        <v>231</v>
      </c>
      <c r="H836" s="33" t="s">
        <v>69</v>
      </c>
      <c r="I836" s="33" t="s">
        <v>198</v>
      </c>
      <c r="J836" s="34">
        <v>-395.94</v>
      </c>
      <c r="K836" s="34"/>
      <c r="L836" s="34">
        <v>-395.94</v>
      </c>
    </row>
    <row r="837" spans="2:12" x14ac:dyDescent="0.3">
      <c r="B837" s="25">
        <v>838</v>
      </c>
      <c r="C837" s="33">
        <v>53545</v>
      </c>
      <c r="D837" s="33" t="s">
        <v>484</v>
      </c>
      <c r="E837" s="35">
        <v>44399</v>
      </c>
      <c r="F837" s="33">
        <v>3</v>
      </c>
      <c r="G837" s="33" t="s">
        <v>122</v>
      </c>
      <c r="H837" s="33" t="s">
        <v>69</v>
      </c>
      <c r="I837" s="33" t="s">
        <v>196</v>
      </c>
      <c r="J837" s="34">
        <v>46</v>
      </c>
      <c r="K837" s="34"/>
      <c r="L837" s="34">
        <v>46</v>
      </c>
    </row>
    <row r="838" spans="2:12" x14ac:dyDescent="0.3">
      <c r="B838" s="25">
        <v>839</v>
      </c>
      <c r="C838" s="33">
        <v>53549</v>
      </c>
      <c r="D838" s="33" t="s">
        <v>438</v>
      </c>
      <c r="E838" s="35">
        <v>44399</v>
      </c>
      <c r="F838" s="33">
        <v>3</v>
      </c>
      <c r="G838" s="33" t="s">
        <v>122</v>
      </c>
      <c r="H838" s="33" t="s">
        <v>69</v>
      </c>
      <c r="I838" s="33" t="s">
        <v>196</v>
      </c>
      <c r="J838" s="34">
        <v>1902</v>
      </c>
      <c r="K838" s="34"/>
      <c r="L838" s="34">
        <v>1902</v>
      </c>
    </row>
    <row r="839" spans="2:12" x14ac:dyDescent="0.3">
      <c r="B839" s="25">
        <v>840</v>
      </c>
      <c r="C839" s="33">
        <v>53550</v>
      </c>
      <c r="D839" s="33" t="s">
        <v>411</v>
      </c>
      <c r="E839" s="35">
        <v>44399</v>
      </c>
      <c r="F839" s="33">
        <v>3</v>
      </c>
      <c r="G839" s="33" t="s">
        <v>122</v>
      </c>
      <c r="H839" s="33" t="s">
        <v>69</v>
      </c>
      <c r="I839" s="33" t="s">
        <v>196</v>
      </c>
      <c r="J839" s="34">
        <v>2884.99</v>
      </c>
      <c r="K839" s="34"/>
      <c r="L839" s="34">
        <v>2884.99</v>
      </c>
    </row>
    <row r="840" spans="2:12" x14ac:dyDescent="0.3">
      <c r="B840" s="25">
        <v>841</v>
      </c>
      <c r="C840" s="33">
        <v>53552</v>
      </c>
      <c r="D840" s="33" t="s">
        <v>281</v>
      </c>
      <c r="E840" s="35">
        <v>44399</v>
      </c>
      <c r="F840" s="33">
        <v>3</v>
      </c>
      <c r="G840" s="33" t="s">
        <v>124</v>
      </c>
      <c r="H840" s="33" t="s">
        <v>69</v>
      </c>
      <c r="I840" s="33" t="s">
        <v>197</v>
      </c>
      <c r="J840" s="34">
        <v>1967.6</v>
      </c>
      <c r="K840" s="34"/>
      <c r="L840" s="34">
        <v>1967.6</v>
      </c>
    </row>
    <row r="841" spans="2:12" x14ac:dyDescent="0.3">
      <c r="B841" s="25">
        <v>842</v>
      </c>
      <c r="C841" s="33">
        <v>53553</v>
      </c>
      <c r="D841" s="33" t="s">
        <v>281</v>
      </c>
      <c r="E841" s="35">
        <v>44399</v>
      </c>
      <c r="F841" s="33">
        <v>3</v>
      </c>
      <c r="G841" s="33" t="s">
        <v>124</v>
      </c>
      <c r="H841" s="33" t="s">
        <v>69</v>
      </c>
      <c r="I841" s="33" t="s">
        <v>197</v>
      </c>
      <c r="J841" s="34">
        <v>1004.8</v>
      </c>
      <c r="K841" s="34"/>
      <c r="L841" s="34">
        <v>1004.8</v>
      </c>
    </row>
    <row r="842" spans="2:12" x14ac:dyDescent="0.3">
      <c r="B842" s="25">
        <v>843</v>
      </c>
      <c r="C842" s="33" t="s">
        <v>642</v>
      </c>
      <c r="D842" s="33" t="s">
        <v>400</v>
      </c>
      <c r="E842" s="35">
        <v>44405</v>
      </c>
      <c r="F842" s="33">
        <v>3</v>
      </c>
      <c r="G842" s="33" t="s">
        <v>231</v>
      </c>
      <c r="H842" s="33" t="s">
        <v>69</v>
      </c>
      <c r="I842" s="33" t="s">
        <v>198</v>
      </c>
      <c r="J842" s="34">
        <v>-208</v>
      </c>
      <c r="K842" s="34"/>
      <c r="L842" s="34">
        <v>-208</v>
      </c>
    </row>
    <row r="843" spans="2:12" x14ac:dyDescent="0.3">
      <c r="B843" s="25">
        <v>844</v>
      </c>
      <c r="C843" s="33" t="s">
        <v>643</v>
      </c>
      <c r="D843" s="33" t="s">
        <v>512</v>
      </c>
      <c r="E843" s="35">
        <v>44408</v>
      </c>
      <c r="F843" s="33">
        <v>3</v>
      </c>
      <c r="G843" s="33" t="s">
        <v>122</v>
      </c>
      <c r="H843" s="33" t="s">
        <v>69</v>
      </c>
      <c r="I843" s="33" t="s">
        <v>196</v>
      </c>
      <c r="J843" s="34">
        <v>-2477.5</v>
      </c>
      <c r="K843" s="34"/>
      <c r="L843" s="34">
        <v>-2477.5</v>
      </c>
    </row>
    <row r="844" spans="2:12" x14ac:dyDescent="0.3">
      <c r="B844" s="25">
        <v>845</v>
      </c>
      <c r="C844" s="33" t="s">
        <v>644</v>
      </c>
      <c r="D844" s="33" t="s">
        <v>400</v>
      </c>
      <c r="E844" s="35">
        <v>44408</v>
      </c>
      <c r="F844" s="33">
        <v>3</v>
      </c>
      <c r="G844" s="33" t="s">
        <v>231</v>
      </c>
      <c r="H844" s="33" t="s">
        <v>69</v>
      </c>
      <c r="I844" s="33" t="s">
        <v>198</v>
      </c>
      <c r="J844" s="34">
        <v>-346.93</v>
      </c>
      <c r="K844" s="34"/>
      <c r="L844" s="34">
        <v>-346.93</v>
      </c>
    </row>
    <row r="845" spans="2:12" x14ac:dyDescent="0.3">
      <c r="B845" s="25">
        <v>846</v>
      </c>
      <c r="C845" s="33">
        <v>13675</v>
      </c>
      <c r="D845" s="33" t="s">
        <v>512</v>
      </c>
      <c r="E845" s="35">
        <v>44408</v>
      </c>
      <c r="F845" s="33">
        <v>3</v>
      </c>
      <c r="G845" s="33" t="s">
        <v>122</v>
      </c>
      <c r="H845" s="33" t="s">
        <v>69</v>
      </c>
      <c r="I845" s="33" t="s">
        <v>196</v>
      </c>
      <c r="J845" s="34">
        <v>2477.5</v>
      </c>
      <c r="K845" s="34"/>
      <c r="L845" s="34">
        <v>2477.5</v>
      </c>
    </row>
    <row r="846" spans="2:12" x14ac:dyDescent="0.3">
      <c r="B846" s="25">
        <v>847</v>
      </c>
      <c r="C846" s="33">
        <v>53813</v>
      </c>
      <c r="D846" s="33" t="s">
        <v>400</v>
      </c>
      <c r="E846" s="35">
        <v>44441</v>
      </c>
      <c r="F846" s="33">
        <v>3</v>
      </c>
      <c r="G846" s="33" t="s">
        <v>231</v>
      </c>
      <c r="H846" s="33" t="s">
        <v>69</v>
      </c>
      <c r="I846" s="33" t="s">
        <v>198</v>
      </c>
      <c r="J846" s="34">
        <v>772.11</v>
      </c>
      <c r="K846" s="34"/>
      <c r="L846" s="34">
        <v>772.11</v>
      </c>
    </row>
    <row r="847" spans="2:12" x14ac:dyDescent="0.3">
      <c r="B847" s="25">
        <v>848</v>
      </c>
      <c r="C847" s="33">
        <v>53814</v>
      </c>
      <c r="D847" s="33" t="s">
        <v>400</v>
      </c>
      <c r="E847" s="35">
        <v>44441</v>
      </c>
      <c r="F847" s="33">
        <v>3</v>
      </c>
      <c r="G847" s="33" t="s">
        <v>231</v>
      </c>
      <c r="H847" s="33" t="s">
        <v>69</v>
      </c>
      <c r="I847" s="33" t="s">
        <v>198</v>
      </c>
      <c r="J847" s="34">
        <v>2607.35</v>
      </c>
      <c r="K847" s="34"/>
      <c r="L847" s="34">
        <v>2607.35</v>
      </c>
    </row>
    <row r="848" spans="2:12" x14ac:dyDescent="0.3">
      <c r="B848" s="25">
        <v>849</v>
      </c>
      <c r="C848" s="33">
        <v>53844</v>
      </c>
      <c r="D848" s="33" t="s">
        <v>416</v>
      </c>
      <c r="E848" s="35">
        <v>44441</v>
      </c>
      <c r="F848" s="33">
        <v>3</v>
      </c>
      <c r="G848" s="33" t="s">
        <v>231</v>
      </c>
      <c r="H848" s="33" t="s">
        <v>69</v>
      </c>
      <c r="I848" s="33" t="s">
        <v>198</v>
      </c>
      <c r="J848" s="34">
        <v>3546.51</v>
      </c>
      <c r="K848" s="34"/>
      <c r="L848" s="34">
        <v>3546.51</v>
      </c>
    </row>
    <row r="849" spans="2:12" x14ac:dyDescent="0.3">
      <c r="B849" s="25">
        <v>850</v>
      </c>
      <c r="C849" s="33">
        <v>53852</v>
      </c>
      <c r="D849" s="33" t="s">
        <v>414</v>
      </c>
      <c r="E849" s="35">
        <v>44441</v>
      </c>
      <c r="F849" s="33">
        <v>3</v>
      </c>
      <c r="G849" s="33" t="s">
        <v>122</v>
      </c>
      <c r="H849" s="33" t="s">
        <v>69</v>
      </c>
      <c r="I849" s="33" t="s">
        <v>196</v>
      </c>
      <c r="J849" s="34">
        <v>529.5</v>
      </c>
      <c r="K849" s="34"/>
      <c r="L849" s="34">
        <v>529.5</v>
      </c>
    </row>
    <row r="850" spans="2:12" x14ac:dyDescent="0.3">
      <c r="B850" s="25">
        <v>851</v>
      </c>
      <c r="C850" s="33">
        <v>53854</v>
      </c>
      <c r="D850" s="33" t="s">
        <v>412</v>
      </c>
      <c r="E850" s="35">
        <v>44441</v>
      </c>
      <c r="F850" s="33">
        <v>3</v>
      </c>
      <c r="G850" s="33" t="s">
        <v>231</v>
      </c>
      <c r="H850" s="33" t="s">
        <v>69</v>
      </c>
      <c r="I850" s="33" t="s">
        <v>198</v>
      </c>
      <c r="J850" s="34">
        <v>1285.33</v>
      </c>
      <c r="K850" s="34"/>
      <c r="L850" s="34">
        <v>1285.33</v>
      </c>
    </row>
    <row r="851" spans="2:12" x14ac:dyDescent="0.3">
      <c r="B851" s="25">
        <v>852</v>
      </c>
      <c r="C851" s="33">
        <v>53859</v>
      </c>
      <c r="D851" s="33" t="s">
        <v>409</v>
      </c>
      <c r="E851" s="35">
        <v>44441</v>
      </c>
      <c r="F851" s="33">
        <v>3</v>
      </c>
      <c r="G851" s="33" t="s">
        <v>231</v>
      </c>
      <c r="H851" s="33" t="s">
        <v>69</v>
      </c>
      <c r="I851" s="33" t="s">
        <v>198</v>
      </c>
      <c r="J851" s="34">
        <v>2428.6</v>
      </c>
      <c r="K851" s="34"/>
      <c r="L851" s="34">
        <v>2428.6</v>
      </c>
    </row>
    <row r="852" spans="2:12" x14ac:dyDescent="0.3">
      <c r="B852" s="25">
        <v>853</v>
      </c>
      <c r="C852" s="33">
        <v>53861</v>
      </c>
      <c r="D852" s="33" t="s">
        <v>645</v>
      </c>
      <c r="E852" s="35">
        <v>44441</v>
      </c>
      <c r="F852" s="33">
        <v>3</v>
      </c>
      <c r="G852" s="33" t="s">
        <v>124</v>
      </c>
      <c r="H852" s="33" t="s">
        <v>69</v>
      </c>
      <c r="I852" s="33" t="s">
        <v>197</v>
      </c>
      <c r="J852" s="34">
        <v>4363.2</v>
      </c>
      <c r="K852" s="34"/>
      <c r="L852" s="34">
        <v>4363.2</v>
      </c>
    </row>
    <row r="853" spans="2:12" x14ac:dyDescent="0.3">
      <c r="B853" s="25">
        <v>854</v>
      </c>
      <c r="C853" s="33">
        <v>53951</v>
      </c>
      <c r="D853" s="33" t="s">
        <v>411</v>
      </c>
      <c r="E853" s="35">
        <v>44448</v>
      </c>
      <c r="F853" s="33">
        <v>3</v>
      </c>
      <c r="G853" s="33" t="s">
        <v>122</v>
      </c>
      <c r="H853" s="33" t="s">
        <v>69</v>
      </c>
      <c r="I853" s="33" t="s">
        <v>196</v>
      </c>
      <c r="J853" s="34">
        <v>2373</v>
      </c>
      <c r="K853" s="34"/>
      <c r="L853" s="34">
        <v>2373</v>
      </c>
    </row>
    <row r="854" spans="2:12" x14ac:dyDescent="0.3">
      <c r="B854" s="25">
        <v>855</v>
      </c>
      <c r="C854" s="33">
        <v>53953</v>
      </c>
      <c r="D854" s="33" t="s">
        <v>275</v>
      </c>
      <c r="E854" s="35">
        <v>44448</v>
      </c>
      <c r="F854" s="33">
        <v>3</v>
      </c>
      <c r="G854" s="33" t="s">
        <v>124</v>
      </c>
      <c r="H854" s="33" t="s">
        <v>69</v>
      </c>
      <c r="I854" s="33" t="s">
        <v>197</v>
      </c>
      <c r="J854" s="34">
        <v>343</v>
      </c>
      <c r="K854" s="34"/>
      <c r="L854" s="34">
        <v>343</v>
      </c>
    </row>
    <row r="855" spans="2:12" x14ac:dyDescent="0.3">
      <c r="B855" s="25">
        <v>856</v>
      </c>
      <c r="C855" s="33">
        <v>54001</v>
      </c>
      <c r="D855" s="33" t="s">
        <v>400</v>
      </c>
      <c r="E855" s="35">
        <v>44449</v>
      </c>
      <c r="F855" s="33">
        <v>3</v>
      </c>
      <c r="G855" s="33" t="s">
        <v>231</v>
      </c>
      <c r="H855" s="33" t="s">
        <v>69</v>
      </c>
      <c r="I855" s="33" t="s">
        <v>198</v>
      </c>
      <c r="J855" s="34">
        <v>2116.5100000000002</v>
      </c>
      <c r="K855" s="34"/>
      <c r="L855" s="34">
        <v>2116.5100000000002</v>
      </c>
    </row>
    <row r="856" spans="2:12" x14ac:dyDescent="0.3">
      <c r="B856" s="25">
        <v>857</v>
      </c>
      <c r="C856" s="33">
        <v>54003</v>
      </c>
      <c r="D856" s="33" t="s">
        <v>416</v>
      </c>
      <c r="E856" s="35">
        <v>44449</v>
      </c>
      <c r="F856" s="33">
        <v>3</v>
      </c>
      <c r="G856" s="33" t="s">
        <v>231</v>
      </c>
      <c r="H856" s="33" t="s">
        <v>69</v>
      </c>
      <c r="I856" s="33" t="s">
        <v>198</v>
      </c>
      <c r="J856" s="34">
        <v>4041</v>
      </c>
      <c r="K856" s="34"/>
      <c r="L856" s="34">
        <v>4041</v>
      </c>
    </row>
    <row r="857" spans="2:12" x14ac:dyDescent="0.3">
      <c r="B857" s="25">
        <v>858</v>
      </c>
      <c r="C857" s="33">
        <v>54024</v>
      </c>
      <c r="D857" s="33" t="s">
        <v>275</v>
      </c>
      <c r="E857" s="35">
        <v>44449</v>
      </c>
      <c r="F857" s="33">
        <v>3</v>
      </c>
      <c r="G857" s="33" t="s">
        <v>124</v>
      </c>
      <c r="H857" s="33" t="s">
        <v>69</v>
      </c>
      <c r="I857" s="33" t="s">
        <v>197</v>
      </c>
      <c r="J857" s="34">
        <v>1747</v>
      </c>
      <c r="K857" s="34"/>
      <c r="L857" s="34">
        <v>1747</v>
      </c>
    </row>
    <row r="858" spans="2:12" x14ac:dyDescent="0.3">
      <c r="B858" s="25">
        <v>859</v>
      </c>
      <c r="C858" s="33">
        <v>14632</v>
      </c>
      <c r="D858" s="33" t="s">
        <v>410</v>
      </c>
      <c r="E858" s="35">
        <v>44453</v>
      </c>
      <c r="F858" s="33">
        <v>3</v>
      </c>
      <c r="G858" s="33" t="s">
        <v>231</v>
      </c>
      <c r="H858" s="33" t="s">
        <v>69</v>
      </c>
      <c r="I858" s="33" t="s">
        <v>198</v>
      </c>
      <c r="J858" s="34">
        <v>1716.5</v>
      </c>
      <c r="K858" s="34"/>
      <c r="L858" s="34">
        <v>1716.5</v>
      </c>
    </row>
    <row r="859" spans="2:12" x14ac:dyDescent="0.3">
      <c r="B859" s="25">
        <v>860</v>
      </c>
      <c r="C859" s="33">
        <v>54055</v>
      </c>
      <c r="D859" s="33" t="s">
        <v>593</v>
      </c>
      <c r="E859" s="35">
        <v>44455</v>
      </c>
      <c r="F859" s="33">
        <v>3</v>
      </c>
      <c r="G859" s="33" t="s">
        <v>122</v>
      </c>
      <c r="H859" s="33" t="s">
        <v>69</v>
      </c>
      <c r="I859" s="33" t="s">
        <v>196</v>
      </c>
      <c r="J859" s="34">
        <v>209.94</v>
      </c>
      <c r="K859" s="34"/>
      <c r="L859" s="34">
        <v>209.94</v>
      </c>
    </row>
    <row r="860" spans="2:12" x14ac:dyDescent="0.3">
      <c r="B860" s="25">
        <v>861</v>
      </c>
      <c r="C860" s="33">
        <v>54062</v>
      </c>
      <c r="D860" s="33" t="s">
        <v>415</v>
      </c>
      <c r="E860" s="35">
        <v>44455</v>
      </c>
      <c r="F860" s="33">
        <v>3</v>
      </c>
      <c r="G860" s="33" t="s">
        <v>122</v>
      </c>
      <c r="H860" s="33" t="s">
        <v>69</v>
      </c>
      <c r="I860" s="33" t="s">
        <v>196</v>
      </c>
      <c r="J860" s="34">
        <v>1759.5</v>
      </c>
      <c r="K860" s="34"/>
      <c r="L860" s="34">
        <v>1759.5</v>
      </c>
    </row>
    <row r="861" spans="2:12" x14ac:dyDescent="0.3">
      <c r="B861" s="25">
        <v>862</v>
      </c>
      <c r="C861" s="33">
        <v>54063</v>
      </c>
      <c r="D861" s="33" t="s">
        <v>645</v>
      </c>
      <c r="E861" s="35">
        <v>44455</v>
      </c>
      <c r="F861" s="33">
        <v>3</v>
      </c>
      <c r="G861" s="33" t="s">
        <v>124</v>
      </c>
      <c r="H861" s="33" t="s">
        <v>69</v>
      </c>
      <c r="I861" s="33" t="s">
        <v>197</v>
      </c>
      <c r="J861" s="34">
        <v>668.4</v>
      </c>
      <c r="K861" s="34"/>
      <c r="L861" s="34">
        <v>668.4</v>
      </c>
    </row>
    <row r="862" spans="2:12" x14ac:dyDescent="0.3">
      <c r="B862" s="25">
        <v>863</v>
      </c>
      <c r="C862" s="33">
        <v>54070</v>
      </c>
      <c r="D862" s="33" t="s">
        <v>511</v>
      </c>
      <c r="E862" s="35">
        <v>44456</v>
      </c>
      <c r="F862" s="33">
        <v>3</v>
      </c>
      <c r="G862" s="33" t="s">
        <v>122</v>
      </c>
      <c r="H862" s="33" t="s">
        <v>69</v>
      </c>
      <c r="I862" s="33" t="s">
        <v>196</v>
      </c>
      <c r="J862" s="34">
        <v>1915.2</v>
      </c>
      <c r="K862" s="34"/>
      <c r="L862" s="34">
        <v>1915.2</v>
      </c>
    </row>
    <row r="863" spans="2:12" x14ac:dyDescent="0.3">
      <c r="B863" s="25">
        <v>864</v>
      </c>
      <c r="C863" s="33">
        <v>54140</v>
      </c>
      <c r="D863" s="33" t="s">
        <v>400</v>
      </c>
      <c r="E863" s="35">
        <v>44459</v>
      </c>
      <c r="F863" s="33">
        <v>3</v>
      </c>
      <c r="G863" s="33" t="s">
        <v>231</v>
      </c>
      <c r="H863" s="33" t="s">
        <v>69</v>
      </c>
      <c r="I863" s="33" t="s">
        <v>198</v>
      </c>
      <c r="J863" s="34">
        <v>95.54</v>
      </c>
      <c r="K863" s="34"/>
      <c r="L863" s="34">
        <v>95.54</v>
      </c>
    </row>
    <row r="864" spans="2:12" x14ac:dyDescent="0.3">
      <c r="B864" s="25">
        <v>865</v>
      </c>
      <c r="C864" s="33">
        <v>54141</v>
      </c>
      <c r="D864" s="33" t="s">
        <v>400</v>
      </c>
      <c r="E864" s="35">
        <v>44459</v>
      </c>
      <c r="F864" s="33">
        <v>3</v>
      </c>
      <c r="G864" s="33" t="s">
        <v>231</v>
      </c>
      <c r="H864" s="33" t="s">
        <v>69</v>
      </c>
      <c r="I864" s="33" t="s">
        <v>198</v>
      </c>
      <c r="J864" s="34">
        <v>264.32</v>
      </c>
      <c r="K864" s="34"/>
      <c r="L864" s="34">
        <v>264.32</v>
      </c>
    </row>
    <row r="865" spans="2:12" x14ac:dyDescent="0.3">
      <c r="B865" s="25">
        <v>866</v>
      </c>
      <c r="C865" s="33">
        <v>54142</v>
      </c>
      <c r="D865" s="33" t="s">
        <v>400</v>
      </c>
      <c r="E865" s="35">
        <v>44459</v>
      </c>
      <c r="F865" s="33">
        <v>3</v>
      </c>
      <c r="G865" s="33" t="s">
        <v>231</v>
      </c>
      <c r="H865" s="33" t="s">
        <v>69</v>
      </c>
      <c r="I865" s="33" t="s">
        <v>198</v>
      </c>
      <c r="J865" s="34">
        <v>1090.26</v>
      </c>
      <c r="K865" s="34"/>
      <c r="L865" s="34">
        <v>1090.26</v>
      </c>
    </row>
    <row r="866" spans="2:12" x14ac:dyDescent="0.3">
      <c r="B866" s="25">
        <v>867</v>
      </c>
      <c r="C866" s="33">
        <v>54143</v>
      </c>
      <c r="D866" s="33" t="s">
        <v>400</v>
      </c>
      <c r="E866" s="35">
        <v>44459</v>
      </c>
      <c r="F866" s="33">
        <v>3</v>
      </c>
      <c r="G866" s="33" t="s">
        <v>231</v>
      </c>
      <c r="H866" s="33" t="s">
        <v>69</v>
      </c>
      <c r="I866" s="33" t="s">
        <v>198</v>
      </c>
      <c r="J866" s="34">
        <v>3036.94</v>
      </c>
      <c r="K866" s="34"/>
      <c r="L866" s="34">
        <v>3036.94</v>
      </c>
    </row>
    <row r="867" spans="2:12" x14ac:dyDescent="0.3">
      <c r="B867" s="25">
        <v>868</v>
      </c>
      <c r="C867" s="33">
        <v>54144</v>
      </c>
      <c r="D867" s="33" t="s">
        <v>400</v>
      </c>
      <c r="E867" s="35">
        <v>44459</v>
      </c>
      <c r="F867" s="33">
        <v>3</v>
      </c>
      <c r="G867" s="33" t="s">
        <v>231</v>
      </c>
      <c r="H867" s="33" t="s">
        <v>69</v>
      </c>
      <c r="I867" s="33" t="s">
        <v>198</v>
      </c>
      <c r="J867" s="34">
        <v>48.98</v>
      </c>
      <c r="K867" s="34"/>
      <c r="L867" s="34">
        <v>48.98</v>
      </c>
    </row>
    <row r="868" spans="2:12" x14ac:dyDescent="0.3">
      <c r="B868" s="25">
        <v>869</v>
      </c>
      <c r="C868" s="33">
        <v>54145</v>
      </c>
      <c r="D868" s="33" t="s">
        <v>400</v>
      </c>
      <c r="E868" s="35">
        <v>44459</v>
      </c>
      <c r="F868" s="33">
        <v>3</v>
      </c>
      <c r="G868" s="33" t="s">
        <v>231</v>
      </c>
      <c r="H868" s="33" t="s">
        <v>69</v>
      </c>
      <c r="I868" s="33" t="s">
        <v>198</v>
      </c>
      <c r="J868" s="34">
        <v>1552.41</v>
      </c>
      <c r="K868" s="34"/>
      <c r="L868" s="34">
        <v>1552.41</v>
      </c>
    </row>
    <row r="869" spans="2:12" x14ac:dyDescent="0.3">
      <c r="B869" s="25">
        <v>870</v>
      </c>
      <c r="C869" s="33">
        <v>54146</v>
      </c>
      <c r="D869" s="33" t="s">
        <v>400</v>
      </c>
      <c r="E869" s="35">
        <v>44459</v>
      </c>
      <c r="F869" s="33">
        <v>3</v>
      </c>
      <c r="G869" s="33" t="s">
        <v>231</v>
      </c>
      <c r="H869" s="33" t="s">
        <v>69</v>
      </c>
      <c r="I869" s="33" t="s">
        <v>198</v>
      </c>
      <c r="J869" s="34">
        <v>43.64</v>
      </c>
      <c r="K869" s="34"/>
      <c r="L869" s="34">
        <v>43.64</v>
      </c>
    </row>
    <row r="870" spans="2:12" x14ac:dyDescent="0.3">
      <c r="B870" s="25">
        <v>871</v>
      </c>
      <c r="C870" s="33">
        <v>54147</v>
      </c>
      <c r="D870" s="33" t="s">
        <v>400</v>
      </c>
      <c r="E870" s="35">
        <v>44459</v>
      </c>
      <c r="F870" s="33">
        <v>3</v>
      </c>
      <c r="G870" s="33" t="s">
        <v>231</v>
      </c>
      <c r="H870" s="33" t="s">
        <v>69</v>
      </c>
      <c r="I870" s="33" t="s">
        <v>198</v>
      </c>
      <c r="J870" s="34">
        <v>32.01</v>
      </c>
      <c r="K870" s="34"/>
      <c r="L870" s="34">
        <v>32.01</v>
      </c>
    </row>
    <row r="871" spans="2:12" x14ac:dyDescent="0.3">
      <c r="B871" s="25">
        <v>872</v>
      </c>
      <c r="C871" s="33">
        <v>54203</v>
      </c>
      <c r="D871" s="33" t="s">
        <v>404</v>
      </c>
      <c r="E871" s="35">
        <v>44462</v>
      </c>
      <c r="F871" s="33">
        <v>3</v>
      </c>
      <c r="G871" s="33" t="s">
        <v>122</v>
      </c>
      <c r="H871" s="33" t="s">
        <v>69</v>
      </c>
      <c r="I871" s="33" t="s">
        <v>196</v>
      </c>
      <c r="J871" s="34">
        <v>1053.5</v>
      </c>
      <c r="K871" s="34"/>
      <c r="L871" s="34">
        <v>1053.5</v>
      </c>
    </row>
    <row r="872" spans="2:12" x14ac:dyDescent="0.3">
      <c r="B872" s="25">
        <v>873</v>
      </c>
      <c r="C872" s="33">
        <v>54208</v>
      </c>
      <c r="D872" s="33" t="s">
        <v>442</v>
      </c>
      <c r="E872" s="35">
        <v>44462</v>
      </c>
      <c r="F872" s="33">
        <v>3</v>
      </c>
      <c r="G872" s="33" t="s">
        <v>122</v>
      </c>
      <c r="H872" s="33" t="s">
        <v>69</v>
      </c>
      <c r="I872" s="33" t="s">
        <v>196</v>
      </c>
      <c r="J872" s="34">
        <v>838.5</v>
      </c>
      <c r="K872" s="34"/>
      <c r="L872" s="34">
        <v>838.5</v>
      </c>
    </row>
    <row r="873" spans="2:12" x14ac:dyDescent="0.3">
      <c r="B873" s="25">
        <v>874</v>
      </c>
      <c r="C873" s="33">
        <v>54210</v>
      </c>
      <c r="D873" s="33" t="s">
        <v>281</v>
      </c>
      <c r="E873" s="35">
        <v>44462</v>
      </c>
      <c r="F873" s="33">
        <v>3</v>
      </c>
      <c r="G873" s="33" t="s">
        <v>124</v>
      </c>
      <c r="H873" s="33" t="s">
        <v>69</v>
      </c>
      <c r="I873" s="33" t="s">
        <v>197</v>
      </c>
      <c r="J873" s="34">
        <v>8673.2900000000009</v>
      </c>
      <c r="K873" s="34"/>
      <c r="L873" s="34">
        <v>8673.2900000000009</v>
      </c>
    </row>
    <row r="874" spans="2:12" x14ac:dyDescent="0.3">
      <c r="B874" s="25">
        <v>875</v>
      </c>
      <c r="C874" s="33">
        <v>54214</v>
      </c>
      <c r="D874" s="33" t="s">
        <v>234</v>
      </c>
      <c r="E874" s="35">
        <v>44462</v>
      </c>
      <c r="F874" s="33">
        <v>3</v>
      </c>
      <c r="G874" s="33" t="s">
        <v>122</v>
      </c>
      <c r="H874" s="33" t="s">
        <v>69</v>
      </c>
      <c r="I874" s="33" t="s">
        <v>196</v>
      </c>
      <c r="J874" s="34">
        <v>505.3</v>
      </c>
      <c r="K874" s="34"/>
      <c r="L874" s="34">
        <v>505.3</v>
      </c>
    </row>
    <row r="875" spans="2:12" x14ac:dyDescent="0.3">
      <c r="B875" s="25">
        <v>876</v>
      </c>
      <c r="C875" s="33">
        <v>54255</v>
      </c>
      <c r="D875" s="33" t="s">
        <v>400</v>
      </c>
      <c r="E875" s="35">
        <v>44463</v>
      </c>
      <c r="F875" s="33">
        <v>3</v>
      </c>
      <c r="G875" s="33" t="s">
        <v>231</v>
      </c>
      <c r="H875" s="33" t="s">
        <v>69</v>
      </c>
      <c r="I875" s="33" t="s">
        <v>198</v>
      </c>
      <c r="J875" s="34">
        <v>519.9</v>
      </c>
      <c r="K875" s="34"/>
      <c r="L875" s="34">
        <v>519.9</v>
      </c>
    </row>
    <row r="876" spans="2:12" x14ac:dyDescent="0.3">
      <c r="B876" s="25">
        <v>877</v>
      </c>
      <c r="C876" s="33">
        <v>54256</v>
      </c>
      <c r="D876" s="33" t="s">
        <v>400</v>
      </c>
      <c r="E876" s="35">
        <v>44463</v>
      </c>
      <c r="F876" s="33">
        <v>3</v>
      </c>
      <c r="G876" s="33" t="s">
        <v>231</v>
      </c>
      <c r="H876" s="33" t="s">
        <v>69</v>
      </c>
      <c r="I876" s="33" t="s">
        <v>198</v>
      </c>
      <c r="J876" s="34">
        <v>223.58</v>
      </c>
      <c r="K876" s="34"/>
      <c r="L876" s="34">
        <v>223.58</v>
      </c>
    </row>
    <row r="877" spans="2:12" x14ac:dyDescent="0.3">
      <c r="B877" s="25">
        <v>878</v>
      </c>
      <c r="C877" s="33">
        <v>54257</v>
      </c>
      <c r="D877" s="33" t="s">
        <v>400</v>
      </c>
      <c r="E877" s="35">
        <v>44463</v>
      </c>
      <c r="F877" s="33">
        <v>3</v>
      </c>
      <c r="G877" s="33" t="s">
        <v>231</v>
      </c>
      <c r="H877" s="33" t="s">
        <v>69</v>
      </c>
      <c r="I877" s="33" t="s">
        <v>198</v>
      </c>
      <c r="J877" s="34">
        <v>2176.6799999999998</v>
      </c>
      <c r="K877" s="34"/>
      <c r="L877" s="34">
        <v>2176.6799999999998</v>
      </c>
    </row>
    <row r="878" spans="2:12" x14ac:dyDescent="0.3">
      <c r="B878" s="25">
        <v>879</v>
      </c>
      <c r="C878" s="33">
        <v>54258</v>
      </c>
      <c r="D878" s="33" t="s">
        <v>400</v>
      </c>
      <c r="E878" s="35">
        <v>44463</v>
      </c>
      <c r="F878" s="33">
        <v>3</v>
      </c>
      <c r="G878" s="33" t="s">
        <v>231</v>
      </c>
      <c r="H878" s="33" t="s">
        <v>69</v>
      </c>
      <c r="I878" s="33" t="s">
        <v>198</v>
      </c>
      <c r="J878" s="34">
        <v>604.78</v>
      </c>
      <c r="K878" s="34"/>
      <c r="L878" s="34">
        <v>604.78</v>
      </c>
    </row>
    <row r="879" spans="2:12" x14ac:dyDescent="0.3">
      <c r="B879" s="25">
        <v>880</v>
      </c>
      <c r="C879" s="33">
        <v>54259</v>
      </c>
      <c r="D879" s="33" t="s">
        <v>400</v>
      </c>
      <c r="E879" s="35">
        <v>44463</v>
      </c>
      <c r="F879" s="33">
        <v>3</v>
      </c>
      <c r="G879" s="33" t="s">
        <v>231</v>
      </c>
      <c r="H879" s="33" t="s">
        <v>69</v>
      </c>
      <c r="I879" s="33" t="s">
        <v>198</v>
      </c>
      <c r="J879" s="34">
        <v>1882.27</v>
      </c>
      <c r="K879" s="34"/>
      <c r="L879" s="34">
        <v>1882.27</v>
      </c>
    </row>
    <row r="880" spans="2:12" x14ac:dyDescent="0.3">
      <c r="B880" s="25">
        <v>881</v>
      </c>
      <c r="C880" s="33">
        <v>54262</v>
      </c>
      <c r="D880" s="33" t="s">
        <v>417</v>
      </c>
      <c r="E880" s="35">
        <v>44463</v>
      </c>
      <c r="F880" s="33">
        <v>3</v>
      </c>
      <c r="G880" s="33" t="s">
        <v>231</v>
      </c>
      <c r="H880" s="33" t="s">
        <v>69</v>
      </c>
      <c r="I880" s="33" t="s">
        <v>198</v>
      </c>
      <c r="J880" s="34">
        <v>393.49</v>
      </c>
      <c r="K880" s="34"/>
      <c r="L880" s="34">
        <v>393.49</v>
      </c>
    </row>
    <row r="881" spans="2:12" x14ac:dyDescent="0.3">
      <c r="B881" s="25">
        <v>882</v>
      </c>
      <c r="C881" s="33">
        <v>54269</v>
      </c>
      <c r="D881" s="33" t="s">
        <v>409</v>
      </c>
      <c r="E881" s="35">
        <v>44463</v>
      </c>
      <c r="F881" s="33">
        <v>3</v>
      </c>
      <c r="G881" s="33" t="s">
        <v>231</v>
      </c>
      <c r="H881" s="33" t="s">
        <v>69</v>
      </c>
      <c r="I881" s="33" t="s">
        <v>198</v>
      </c>
      <c r="J881" s="34">
        <v>2022.5</v>
      </c>
      <c r="K881" s="34"/>
      <c r="L881" s="34">
        <v>2022.5</v>
      </c>
    </row>
    <row r="882" spans="2:12" x14ac:dyDescent="0.3">
      <c r="B882" s="25">
        <v>883</v>
      </c>
      <c r="C882" s="33">
        <v>54270</v>
      </c>
      <c r="D882" s="33" t="s">
        <v>409</v>
      </c>
      <c r="E882" s="35">
        <v>44463</v>
      </c>
      <c r="F882" s="33">
        <v>3</v>
      </c>
      <c r="G882" s="33" t="s">
        <v>231</v>
      </c>
      <c r="H882" s="33" t="s">
        <v>69</v>
      </c>
      <c r="I882" s="33" t="s">
        <v>198</v>
      </c>
      <c r="J882" s="34">
        <v>639.5</v>
      </c>
      <c r="K882" s="34"/>
      <c r="L882" s="34">
        <v>639.5</v>
      </c>
    </row>
    <row r="883" spans="2:12" x14ac:dyDescent="0.3">
      <c r="B883" s="25">
        <v>884</v>
      </c>
      <c r="C883" s="33">
        <v>4606</v>
      </c>
      <c r="D883" s="33" t="s">
        <v>608</v>
      </c>
      <c r="E883" s="35">
        <v>44468</v>
      </c>
      <c r="F883" s="33">
        <v>3</v>
      </c>
      <c r="G883" s="33" t="s">
        <v>124</v>
      </c>
      <c r="H883" s="33" t="s">
        <v>201</v>
      </c>
      <c r="I883" s="33" t="s">
        <v>197</v>
      </c>
      <c r="J883" s="34">
        <v>781.55</v>
      </c>
      <c r="K883" s="34"/>
      <c r="L883" s="34">
        <v>781.55</v>
      </c>
    </row>
    <row r="884" spans="2:12" x14ac:dyDescent="0.3">
      <c r="B884" s="25">
        <v>885</v>
      </c>
      <c r="C884" s="33">
        <v>4607</v>
      </c>
      <c r="D884" s="33" t="s">
        <v>394</v>
      </c>
      <c r="E884" s="35">
        <v>44468</v>
      </c>
      <c r="F884" s="33">
        <v>3</v>
      </c>
      <c r="G884" s="33" t="s">
        <v>122</v>
      </c>
      <c r="H884" s="33" t="s">
        <v>201</v>
      </c>
      <c r="I884" s="33" t="s">
        <v>196</v>
      </c>
      <c r="J884" s="34">
        <v>1322.2</v>
      </c>
      <c r="K884" s="34"/>
      <c r="L884" s="34">
        <v>1322.2</v>
      </c>
    </row>
    <row r="885" spans="2:12" x14ac:dyDescent="0.3">
      <c r="B885" s="25">
        <v>886</v>
      </c>
      <c r="C885" s="33">
        <v>4612</v>
      </c>
      <c r="D885" s="33" t="s">
        <v>552</v>
      </c>
      <c r="E885" s="35">
        <v>44468</v>
      </c>
      <c r="F885" s="33">
        <v>3</v>
      </c>
      <c r="G885" s="33" t="s">
        <v>122</v>
      </c>
      <c r="H885" s="33" t="s">
        <v>201</v>
      </c>
      <c r="I885" s="33" t="s">
        <v>196</v>
      </c>
      <c r="J885" s="34">
        <v>5933.4</v>
      </c>
      <c r="K885" s="34"/>
      <c r="L885" s="34">
        <v>5933.4</v>
      </c>
    </row>
    <row r="886" spans="2:12" x14ac:dyDescent="0.3">
      <c r="B886" s="25">
        <v>887</v>
      </c>
      <c r="C886" s="33">
        <v>4613</v>
      </c>
      <c r="D886" s="33" t="s">
        <v>473</v>
      </c>
      <c r="E886" s="35">
        <v>44468</v>
      </c>
      <c r="F886" s="33">
        <v>3</v>
      </c>
      <c r="G886" s="33" t="s">
        <v>122</v>
      </c>
      <c r="H886" s="33" t="s">
        <v>201</v>
      </c>
      <c r="I886" s="33" t="s">
        <v>196</v>
      </c>
      <c r="J886" s="34">
        <v>2870.04</v>
      </c>
      <c r="K886" s="34"/>
      <c r="L886" s="34">
        <v>2870.04</v>
      </c>
    </row>
    <row r="887" spans="2:12" x14ac:dyDescent="0.3">
      <c r="B887" s="25">
        <v>888</v>
      </c>
      <c r="C887" s="33">
        <v>4614</v>
      </c>
      <c r="D887" s="33" t="s">
        <v>646</v>
      </c>
      <c r="E887" s="35">
        <v>44468</v>
      </c>
      <c r="F887" s="33">
        <v>3</v>
      </c>
      <c r="G887" s="33" t="s">
        <v>231</v>
      </c>
      <c r="H887" s="33" t="s">
        <v>201</v>
      </c>
      <c r="I887" s="33" t="s">
        <v>198</v>
      </c>
      <c r="J887" s="34">
        <v>231.8</v>
      </c>
      <c r="K887" s="34">
        <v>80</v>
      </c>
      <c r="L887" s="34">
        <v>151.80000000000001</v>
      </c>
    </row>
    <row r="888" spans="2:12" x14ac:dyDescent="0.3">
      <c r="B888" s="25">
        <v>889</v>
      </c>
      <c r="C888" s="33">
        <v>4615</v>
      </c>
      <c r="D888" s="33" t="s">
        <v>583</v>
      </c>
      <c r="E888" s="35">
        <v>44468</v>
      </c>
      <c r="F888" s="33">
        <v>3</v>
      </c>
      <c r="G888" s="33" t="s">
        <v>124</v>
      </c>
      <c r="H888" s="33" t="s">
        <v>201</v>
      </c>
      <c r="I888" s="33" t="s">
        <v>197</v>
      </c>
      <c r="J888" s="34">
        <v>2290.75</v>
      </c>
      <c r="K888" s="34"/>
      <c r="L888" s="34">
        <v>2290.75</v>
      </c>
    </row>
    <row r="889" spans="2:12" x14ac:dyDescent="0.3">
      <c r="B889" s="25">
        <v>890</v>
      </c>
      <c r="C889" s="33">
        <v>4618</v>
      </c>
      <c r="D889" s="33" t="s">
        <v>647</v>
      </c>
      <c r="E889" s="35">
        <v>44468</v>
      </c>
      <c r="F889" s="33">
        <v>3</v>
      </c>
      <c r="G889" s="33" t="s">
        <v>231</v>
      </c>
      <c r="H889" s="33" t="s">
        <v>201</v>
      </c>
      <c r="I889" s="33" t="s">
        <v>198</v>
      </c>
      <c r="J889" s="34">
        <v>3416.6</v>
      </c>
      <c r="K889" s="34"/>
      <c r="L889" s="34">
        <v>3416.6</v>
      </c>
    </row>
    <row r="890" spans="2:12" x14ac:dyDescent="0.3">
      <c r="B890" s="25">
        <v>891</v>
      </c>
      <c r="C890" s="33">
        <v>4620</v>
      </c>
      <c r="D890" s="33" t="s">
        <v>585</v>
      </c>
      <c r="E890" s="35">
        <v>44468</v>
      </c>
      <c r="F890" s="33">
        <v>3</v>
      </c>
      <c r="G890" s="33" t="s">
        <v>231</v>
      </c>
      <c r="H890" s="33" t="s">
        <v>201</v>
      </c>
      <c r="I890" s="33" t="s">
        <v>198</v>
      </c>
      <c r="J890" s="34">
        <v>5035.25</v>
      </c>
      <c r="K890" s="34"/>
      <c r="L890" s="34">
        <v>5035.25</v>
      </c>
    </row>
    <row r="891" spans="2:12" x14ac:dyDescent="0.3">
      <c r="B891" s="25">
        <v>892</v>
      </c>
      <c r="C891" s="33">
        <v>4621</v>
      </c>
      <c r="D891" s="33" t="s">
        <v>411</v>
      </c>
      <c r="E891" s="35">
        <v>44468</v>
      </c>
      <c r="F891" s="33">
        <v>3</v>
      </c>
      <c r="G891" s="33" t="s">
        <v>122</v>
      </c>
      <c r="H891" s="33" t="s">
        <v>201</v>
      </c>
      <c r="I891" s="33" t="s">
        <v>196</v>
      </c>
      <c r="J891" s="34">
        <v>2358.1799999999998</v>
      </c>
      <c r="K891" s="34"/>
      <c r="L891" s="34">
        <v>2358.1799999999998</v>
      </c>
    </row>
    <row r="892" spans="2:12" x14ac:dyDescent="0.3">
      <c r="B892" s="25">
        <v>893</v>
      </c>
      <c r="C892" s="33" t="s">
        <v>648</v>
      </c>
      <c r="D892" s="33" t="s">
        <v>649</v>
      </c>
      <c r="E892" s="35">
        <v>44441</v>
      </c>
      <c r="F892" s="33">
        <v>3</v>
      </c>
      <c r="G892" s="33" t="s">
        <v>231</v>
      </c>
      <c r="H892" s="33" t="s">
        <v>71</v>
      </c>
      <c r="I892" s="33" t="s">
        <v>198</v>
      </c>
      <c r="J892" s="34">
        <v>2842.5</v>
      </c>
      <c r="K892" s="34">
        <v>100</v>
      </c>
      <c r="L892" s="34">
        <v>2742.5</v>
      </c>
    </row>
    <row r="893" spans="2:12" x14ac:dyDescent="0.3">
      <c r="B893" s="25">
        <v>894</v>
      </c>
      <c r="C893" s="33">
        <v>3925</v>
      </c>
      <c r="D893" s="33" t="s">
        <v>285</v>
      </c>
      <c r="E893" s="35">
        <v>44447</v>
      </c>
      <c r="F893" s="33">
        <v>3</v>
      </c>
      <c r="G893" s="33" t="s">
        <v>124</v>
      </c>
      <c r="H893" s="33" t="s">
        <v>71</v>
      </c>
      <c r="I893" s="33" t="s">
        <v>197</v>
      </c>
      <c r="J893" s="34">
        <v>569.53</v>
      </c>
      <c r="K893" s="34">
        <v>80</v>
      </c>
      <c r="L893" s="34">
        <v>489.53</v>
      </c>
    </row>
    <row r="894" spans="2:12" x14ac:dyDescent="0.3">
      <c r="B894" s="25">
        <v>895</v>
      </c>
      <c r="C894" s="33">
        <v>3968</v>
      </c>
      <c r="D894" s="33" t="s">
        <v>275</v>
      </c>
      <c r="E894" s="35">
        <v>44448</v>
      </c>
      <c r="F894" s="33">
        <v>3</v>
      </c>
      <c r="G894" s="33" t="s">
        <v>124</v>
      </c>
      <c r="H894" s="33" t="s">
        <v>71</v>
      </c>
      <c r="I894" s="33" t="s">
        <v>197</v>
      </c>
      <c r="J894" s="34">
        <v>302.89999999999998</v>
      </c>
      <c r="K894" s="34">
        <v>80</v>
      </c>
      <c r="L894" s="34">
        <v>222.9</v>
      </c>
    </row>
    <row r="895" spans="2:12" x14ac:dyDescent="0.3">
      <c r="B895" s="25">
        <v>896</v>
      </c>
      <c r="C895" s="33" t="s">
        <v>650</v>
      </c>
      <c r="D895" s="33" t="s">
        <v>651</v>
      </c>
      <c r="E895" s="35">
        <v>44452</v>
      </c>
      <c r="F895" s="33">
        <v>3</v>
      </c>
      <c r="G895" s="33" t="s">
        <v>231</v>
      </c>
      <c r="H895" s="33" t="s">
        <v>71</v>
      </c>
      <c r="I895" s="33" t="s">
        <v>198</v>
      </c>
      <c r="J895" s="34">
        <v>260.70999999999998</v>
      </c>
      <c r="K895" s="34"/>
      <c r="L895" s="34">
        <v>260.70999999999998</v>
      </c>
    </row>
    <row r="896" spans="2:12" x14ac:dyDescent="0.3">
      <c r="B896" s="25">
        <v>897</v>
      </c>
      <c r="C896" s="33" t="s">
        <v>652</v>
      </c>
      <c r="D896" s="33" t="s">
        <v>651</v>
      </c>
      <c r="E896" s="35">
        <v>44452</v>
      </c>
      <c r="F896" s="33">
        <v>3</v>
      </c>
      <c r="G896" s="33" t="s">
        <v>231</v>
      </c>
      <c r="H896" s="33" t="s">
        <v>71</v>
      </c>
      <c r="I896" s="33" t="s">
        <v>198</v>
      </c>
      <c r="J896" s="34">
        <v>850</v>
      </c>
      <c r="K896" s="34">
        <v>300</v>
      </c>
      <c r="L896" s="34">
        <v>550</v>
      </c>
    </row>
    <row r="897" spans="2:12" x14ac:dyDescent="0.3">
      <c r="B897" s="25">
        <v>898</v>
      </c>
      <c r="C897" s="33">
        <v>4006</v>
      </c>
      <c r="D897" s="33" t="s">
        <v>407</v>
      </c>
      <c r="E897" s="35">
        <v>44453</v>
      </c>
      <c r="F897" s="33">
        <v>3</v>
      </c>
      <c r="G897" s="33" t="s">
        <v>231</v>
      </c>
      <c r="H897" s="33" t="s">
        <v>71</v>
      </c>
      <c r="I897" s="33" t="s">
        <v>198</v>
      </c>
      <c r="J897" s="34">
        <v>651.35</v>
      </c>
      <c r="K897" s="34">
        <v>80</v>
      </c>
      <c r="L897" s="34">
        <v>571.35</v>
      </c>
    </row>
    <row r="898" spans="2:12" x14ac:dyDescent="0.3">
      <c r="B898" s="25">
        <v>899</v>
      </c>
      <c r="C898" s="33">
        <v>4028</v>
      </c>
      <c r="D898" s="33" t="s">
        <v>653</v>
      </c>
      <c r="E898" s="35">
        <v>44454</v>
      </c>
      <c r="F898" s="33">
        <v>3</v>
      </c>
      <c r="G898" s="33" t="s">
        <v>232</v>
      </c>
      <c r="H898" s="33" t="s">
        <v>71</v>
      </c>
      <c r="I898" s="33" t="s">
        <v>75</v>
      </c>
      <c r="J898" s="34">
        <v>1417.16</v>
      </c>
      <c r="K898" s="34"/>
      <c r="L898" s="34">
        <v>1417.16</v>
      </c>
    </row>
    <row r="899" spans="2:12" x14ac:dyDescent="0.3">
      <c r="B899" s="25">
        <v>900</v>
      </c>
      <c r="C899" s="33">
        <v>4077</v>
      </c>
      <c r="D899" s="33" t="s">
        <v>654</v>
      </c>
      <c r="E899" s="35">
        <v>44455</v>
      </c>
      <c r="F899" s="33">
        <v>3</v>
      </c>
      <c r="G899" s="33" t="s">
        <v>232</v>
      </c>
      <c r="H899" s="33" t="s">
        <v>71</v>
      </c>
      <c r="I899" s="33" t="s">
        <v>75</v>
      </c>
      <c r="J899" s="34">
        <v>333.94</v>
      </c>
      <c r="K899" s="34">
        <v>80</v>
      </c>
      <c r="L899" s="34">
        <v>253.94</v>
      </c>
    </row>
    <row r="900" spans="2:12" x14ac:dyDescent="0.3">
      <c r="B900" s="25">
        <v>901</v>
      </c>
      <c r="C900" s="33">
        <v>4078</v>
      </c>
      <c r="D900" s="33" t="s">
        <v>391</v>
      </c>
      <c r="E900" s="35">
        <v>44455</v>
      </c>
      <c r="F900" s="33">
        <v>3</v>
      </c>
      <c r="G900" s="33" t="s">
        <v>122</v>
      </c>
      <c r="H900" s="33" t="s">
        <v>71</v>
      </c>
      <c r="I900" s="33" t="s">
        <v>196</v>
      </c>
      <c r="J900" s="34">
        <v>711.08</v>
      </c>
      <c r="K900" s="34">
        <v>80</v>
      </c>
      <c r="L900" s="34">
        <v>631.08000000000004</v>
      </c>
    </row>
    <row r="901" spans="2:12" x14ac:dyDescent="0.3">
      <c r="B901" s="25">
        <v>902</v>
      </c>
      <c r="C901" s="33">
        <v>4118</v>
      </c>
      <c r="D901" s="33" t="s">
        <v>393</v>
      </c>
      <c r="E901" s="35">
        <v>44456</v>
      </c>
      <c r="F901" s="33">
        <v>3</v>
      </c>
      <c r="G901" s="33" t="s">
        <v>122</v>
      </c>
      <c r="H901" s="33" t="s">
        <v>71</v>
      </c>
      <c r="I901" s="33" t="s">
        <v>196</v>
      </c>
      <c r="J901" s="34">
        <v>1232.06</v>
      </c>
      <c r="K901" s="34"/>
      <c r="L901" s="34">
        <v>1232.06</v>
      </c>
    </row>
    <row r="902" spans="2:12" x14ac:dyDescent="0.3">
      <c r="B902" s="25">
        <v>903</v>
      </c>
      <c r="C902" s="33">
        <v>4120</v>
      </c>
      <c r="D902" s="33" t="s">
        <v>384</v>
      </c>
      <c r="E902" s="35">
        <v>44456</v>
      </c>
      <c r="F902" s="33">
        <v>3</v>
      </c>
      <c r="G902" s="33" t="s">
        <v>124</v>
      </c>
      <c r="H902" s="33" t="s">
        <v>71</v>
      </c>
      <c r="I902" s="33" t="s">
        <v>197</v>
      </c>
      <c r="J902" s="34">
        <v>904.39</v>
      </c>
      <c r="K902" s="34">
        <v>80</v>
      </c>
      <c r="L902" s="34">
        <v>824.39</v>
      </c>
    </row>
    <row r="903" spans="2:12" x14ac:dyDescent="0.3">
      <c r="B903" s="25">
        <v>904</v>
      </c>
      <c r="C903" s="33">
        <v>4121</v>
      </c>
      <c r="D903" s="33" t="s">
        <v>655</v>
      </c>
      <c r="E903" s="35">
        <v>44456</v>
      </c>
      <c r="F903" s="33">
        <v>3</v>
      </c>
      <c r="G903" s="33" t="s">
        <v>122</v>
      </c>
      <c r="H903" s="33" t="s">
        <v>71</v>
      </c>
      <c r="I903" s="33" t="s">
        <v>196</v>
      </c>
      <c r="J903" s="34">
        <v>680.21</v>
      </c>
      <c r="K903" s="34">
        <v>80</v>
      </c>
      <c r="L903" s="34">
        <v>600.21</v>
      </c>
    </row>
    <row r="904" spans="2:12" x14ac:dyDescent="0.3">
      <c r="B904" s="25">
        <v>905</v>
      </c>
      <c r="C904" s="33">
        <v>4191</v>
      </c>
      <c r="D904" s="33" t="s">
        <v>656</v>
      </c>
      <c r="E904" s="35">
        <v>44461</v>
      </c>
      <c r="F904" s="33">
        <v>3</v>
      </c>
      <c r="G904" s="33" t="s">
        <v>124</v>
      </c>
      <c r="H904" s="33" t="s">
        <v>71</v>
      </c>
      <c r="I904" s="33" t="s">
        <v>197</v>
      </c>
      <c r="J904" s="34">
        <v>319.83</v>
      </c>
      <c r="K904" s="34">
        <v>80</v>
      </c>
      <c r="L904" s="34">
        <v>239.83</v>
      </c>
    </row>
    <row r="905" spans="2:12" x14ac:dyDescent="0.3">
      <c r="B905" s="25">
        <v>906</v>
      </c>
      <c r="C905" s="33">
        <v>4192</v>
      </c>
      <c r="D905" s="33" t="s">
        <v>657</v>
      </c>
      <c r="E905" s="35">
        <v>44461</v>
      </c>
      <c r="F905" s="33">
        <v>3</v>
      </c>
      <c r="G905" s="33" t="s">
        <v>124</v>
      </c>
      <c r="H905" s="33" t="s">
        <v>71</v>
      </c>
      <c r="I905" s="33" t="s">
        <v>197</v>
      </c>
      <c r="J905" s="34">
        <v>675.59</v>
      </c>
      <c r="K905" s="34">
        <v>80</v>
      </c>
      <c r="L905" s="34">
        <v>595.59</v>
      </c>
    </row>
    <row r="906" spans="2:12" x14ac:dyDescent="0.3">
      <c r="B906" s="25">
        <v>907</v>
      </c>
      <c r="C906" s="33" t="s">
        <v>658</v>
      </c>
      <c r="D906" s="33" t="s">
        <v>426</v>
      </c>
      <c r="E906" s="35">
        <v>44466</v>
      </c>
      <c r="F906" s="33">
        <v>3</v>
      </c>
      <c r="G906" s="33" t="s">
        <v>232</v>
      </c>
      <c r="H906" s="33" t="s">
        <v>71</v>
      </c>
      <c r="I906" s="33" t="s">
        <v>75</v>
      </c>
      <c r="J906" s="34">
        <v>1487.4</v>
      </c>
      <c r="K906" s="34"/>
      <c r="L906" s="34">
        <v>1487.4</v>
      </c>
    </row>
    <row r="907" spans="2:12" x14ac:dyDescent="0.3">
      <c r="B907" s="25">
        <v>908</v>
      </c>
      <c r="C907" s="33">
        <v>4294</v>
      </c>
      <c r="D907" s="33" t="s">
        <v>503</v>
      </c>
      <c r="E907" s="35">
        <v>44467</v>
      </c>
      <c r="F907" s="33">
        <v>3</v>
      </c>
      <c r="G907" s="33" t="s">
        <v>232</v>
      </c>
      <c r="H907" s="33" t="s">
        <v>71</v>
      </c>
      <c r="I907" s="33" t="s">
        <v>75</v>
      </c>
      <c r="J907" s="34">
        <v>1200.42</v>
      </c>
      <c r="K907" s="34"/>
      <c r="L907" s="34">
        <v>1200.42</v>
      </c>
    </row>
    <row r="908" spans="2:12" x14ac:dyDescent="0.3">
      <c r="B908" s="25">
        <v>909</v>
      </c>
      <c r="C908" s="33">
        <v>4315</v>
      </c>
      <c r="D908" s="33" t="s">
        <v>420</v>
      </c>
      <c r="E908" s="35">
        <v>44468</v>
      </c>
      <c r="F908" s="33">
        <v>3</v>
      </c>
      <c r="G908" s="33" t="s">
        <v>232</v>
      </c>
      <c r="H908" s="33" t="s">
        <v>71</v>
      </c>
      <c r="I908" s="33" t="s">
        <v>75</v>
      </c>
      <c r="J908" s="34">
        <v>879.9</v>
      </c>
      <c r="K908" s="34">
        <v>80</v>
      </c>
      <c r="L908" s="34">
        <v>799.9</v>
      </c>
    </row>
    <row r="909" spans="2:12" x14ac:dyDescent="0.3">
      <c r="B909" s="25">
        <v>910</v>
      </c>
      <c r="C909" s="33">
        <v>4316</v>
      </c>
      <c r="D909" s="33" t="s">
        <v>613</v>
      </c>
      <c r="E909" s="35">
        <v>44468</v>
      </c>
      <c r="F909" s="33">
        <v>3</v>
      </c>
      <c r="G909" s="33" t="s">
        <v>124</v>
      </c>
      <c r="H909" s="33" t="s">
        <v>71</v>
      </c>
      <c r="I909" s="33" t="s">
        <v>197</v>
      </c>
      <c r="J909" s="34">
        <v>632.54</v>
      </c>
      <c r="K909" s="34">
        <v>80</v>
      </c>
      <c r="L909" s="34">
        <v>552.54</v>
      </c>
    </row>
    <row r="910" spans="2:12" x14ac:dyDescent="0.3">
      <c r="B910" s="25">
        <v>911</v>
      </c>
      <c r="C910" s="33">
        <v>32052</v>
      </c>
      <c r="D910" s="33" t="s">
        <v>659</v>
      </c>
      <c r="E910" s="35">
        <v>44480</v>
      </c>
      <c r="F910" s="33">
        <v>4</v>
      </c>
      <c r="G910" s="33" t="s">
        <v>122</v>
      </c>
      <c r="H910" s="33" t="s">
        <v>72</v>
      </c>
      <c r="I910" s="33" t="s">
        <v>196</v>
      </c>
      <c r="J910" s="34">
        <v>4322</v>
      </c>
      <c r="K910" s="34"/>
      <c r="L910" s="34">
        <v>4322</v>
      </c>
    </row>
    <row r="911" spans="2:12" x14ac:dyDescent="0.3">
      <c r="B911" s="25">
        <v>912</v>
      </c>
      <c r="C911" s="33">
        <v>4719</v>
      </c>
      <c r="D911" s="33" t="s">
        <v>584</v>
      </c>
      <c r="E911" s="35">
        <v>44474</v>
      </c>
      <c r="F911" s="33">
        <v>4</v>
      </c>
      <c r="G911" s="33" t="s">
        <v>122</v>
      </c>
      <c r="H911" s="33" t="s">
        <v>201</v>
      </c>
      <c r="I911" s="33" t="s">
        <v>196</v>
      </c>
      <c r="J911" s="34">
        <v>56.43</v>
      </c>
      <c r="K911" s="34"/>
      <c r="L911" s="34">
        <v>56.43</v>
      </c>
    </row>
    <row r="912" spans="2:12" x14ac:dyDescent="0.3">
      <c r="B912" s="25">
        <v>913</v>
      </c>
      <c r="C912" s="33">
        <v>4756</v>
      </c>
      <c r="D912" s="33" t="s">
        <v>394</v>
      </c>
      <c r="E912" s="35">
        <v>44475</v>
      </c>
      <c r="F912" s="33">
        <v>4</v>
      </c>
      <c r="G912" s="33" t="s">
        <v>122</v>
      </c>
      <c r="H912" s="33" t="s">
        <v>201</v>
      </c>
      <c r="I912" s="33" t="s">
        <v>196</v>
      </c>
      <c r="J912" s="34">
        <v>5555</v>
      </c>
      <c r="K912" s="34"/>
      <c r="L912" s="34">
        <v>5555</v>
      </c>
    </row>
    <row r="913" spans="2:12" x14ac:dyDescent="0.3">
      <c r="B913" s="25">
        <v>914</v>
      </c>
      <c r="C913" s="33">
        <v>4760</v>
      </c>
      <c r="D913" s="33" t="s">
        <v>565</v>
      </c>
      <c r="E913" s="35">
        <v>44474</v>
      </c>
      <c r="F913" s="33">
        <v>4</v>
      </c>
      <c r="G913" s="33" t="s">
        <v>124</v>
      </c>
      <c r="H913" s="33" t="s">
        <v>201</v>
      </c>
      <c r="I913" s="33" t="s">
        <v>197</v>
      </c>
      <c r="J913" s="34">
        <v>14899.99</v>
      </c>
      <c r="K913" s="34"/>
      <c r="L913" s="34">
        <v>14899.99</v>
      </c>
    </row>
    <row r="914" spans="2:12" x14ac:dyDescent="0.3">
      <c r="B914" s="25">
        <v>915</v>
      </c>
      <c r="C914" s="33">
        <v>4765</v>
      </c>
      <c r="D914" s="33" t="s">
        <v>584</v>
      </c>
      <c r="E914" s="35">
        <v>44475</v>
      </c>
      <c r="F914" s="33">
        <v>4</v>
      </c>
      <c r="G914" s="33" t="s">
        <v>122</v>
      </c>
      <c r="H914" s="33" t="s">
        <v>201</v>
      </c>
      <c r="I914" s="33" t="s">
        <v>196</v>
      </c>
      <c r="J914" s="34">
        <v>1382.48</v>
      </c>
      <c r="K914" s="34"/>
      <c r="L914" s="34">
        <v>1382.48</v>
      </c>
    </row>
    <row r="915" spans="2:12" x14ac:dyDescent="0.3">
      <c r="B915" s="25">
        <v>916</v>
      </c>
      <c r="C915" s="33">
        <v>4766</v>
      </c>
      <c r="D915" s="33" t="s">
        <v>584</v>
      </c>
      <c r="E915" s="35">
        <v>44475</v>
      </c>
      <c r="F915" s="33">
        <v>4</v>
      </c>
      <c r="G915" s="33" t="s">
        <v>122</v>
      </c>
      <c r="H915" s="33" t="s">
        <v>201</v>
      </c>
      <c r="I915" s="33" t="s">
        <v>196</v>
      </c>
      <c r="J915" s="34">
        <v>1439.68</v>
      </c>
      <c r="K915" s="34"/>
      <c r="L915" s="34">
        <v>1439.68</v>
      </c>
    </row>
    <row r="916" spans="2:12" x14ac:dyDescent="0.3">
      <c r="B916" s="25">
        <v>917</v>
      </c>
      <c r="C916" s="33">
        <v>4769</v>
      </c>
      <c r="D916" s="33" t="s">
        <v>660</v>
      </c>
      <c r="E916" s="35">
        <v>44475</v>
      </c>
      <c r="F916" s="33">
        <v>4</v>
      </c>
      <c r="G916" s="33" t="s">
        <v>124</v>
      </c>
      <c r="H916" s="33" t="s">
        <v>201</v>
      </c>
      <c r="I916" s="33" t="s">
        <v>197</v>
      </c>
      <c r="J916" s="34">
        <v>1944.28</v>
      </c>
      <c r="K916" s="34"/>
      <c r="L916" s="34">
        <v>1944.28</v>
      </c>
    </row>
    <row r="917" spans="2:12" x14ac:dyDescent="0.3">
      <c r="B917" s="25">
        <v>918</v>
      </c>
      <c r="C917" s="33">
        <v>4770</v>
      </c>
      <c r="D917" s="33" t="s">
        <v>380</v>
      </c>
      <c r="E917" s="35">
        <v>44475</v>
      </c>
      <c r="F917" s="33">
        <v>4</v>
      </c>
      <c r="G917" s="33" t="s">
        <v>122</v>
      </c>
      <c r="H917" s="33" t="s">
        <v>201</v>
      </c>
      <c r="I917" s="33" t="s">
        <v>196</v>
      </c>
      <c r="J917" s="34">
        <v>184.63</v>
      </c>
      <c r="K917" s="34"/>
      <c r="L917" s="34">
        <v>184.63</v>
      </c>
    </row>
    <row r="918" spans="2:12" x14ac:dyDescent="0.3">
      <c r="B918" s="25">
        <v>919</v>
      </c>
      <c r="C918" s="33" t="s">
        <v>661</v>
      </c>
      <c r="D918" s="33" t="s">
        <v>380</v>
      </c>
      <c r="E918" s="35">
        <v>44461</v>
      </c>
      <c r="F918" s="33">
        <v>3</v>
      </c>
      <c r="G918" s="33" t="s">
        <v>231</v>
      </c>
      <c r="H918" s="33" t="s">
        <v>201</v>
      </c>
      <c r="I918" s="33" t="s">
        <v>198</v>
      </c>
      <c r="J918" s="34">
        <v>261.10000000000002</v>
      </c>
      <c r="K918" s="34"/>
      <c r="L918" s="34">
        <v>261.10000000000002</v>
      </c>
    </row>
    <row r="919" spans="2:12" x14ac:dyDescent="0.3">
      <c r="B919" s="25">
        <v>920</v>
      </c>
      <c r="C919" s="33">
        <v>32065</v>
      </c>
      <c r="D919" s="33" t="s">
        <v>553</v>
      </c>
      <c r="E919" s="35">
        <v>44481</v>
      </c>
      <c r="F919" s="33">
        <v>4</v>
      </c>
      <c r="G919" s="33" t="s">
        <v>122</v>
      </c>
      <c r="H919" s="33" t="s">
        <v>72</v>
      </c>
      <c r="I919" s="33" t="s">
        <v>196</v>
      </c>
      <c r="J919" s="34">
        <v>874</v>
      </c>
      <c r="K919" s="34"/>
      <c r="L919" s="34">
        <v>874</v>
      </c>
    </row>
    <row r="920" spans="2:12" x14ac:dyDescent="0.3">
      <c r="B920" s="25">
        <v>921</v>
      </c>
      <c r="C920" s="33">
        <v>4371</v>
      </c>
      <c r="D920" s="33" t="s">
        <v>654</v>
      </c>
      <c r="E920" s="35">
        <v>44470</v>
      </c>
      <c r="F920" s="33">
        <v>4</v>
      </c>
      <c r="G920" s="33" t="s">
        <v>232</v>
      </c>
      <c r="H920" s="33" t="s">
        <v>71</v>
      </c>
      <c r="I920" s="33" t="s">
        <v>75</v>
      </c>
      <c r="J920" s="34">
        <v>491.47</v>
      </c>
      <c r="K920" s="34">
        <v>80</v>
      </c>
      <c r="L920" s="34">
        <v>411.47</v>
      </c>
    </row>
    <row r="921" spans="2:12" x14ac:dyDescent="0.3">
      <c r="B921" s="25">
        <v>922</v>
      </c>
      <c r="C921" s="33">
        <v>31468</v>
      </c>
      <c r="D921" s="33" t="s">
        <v>659</v>
      </c>
      <c r="E921" s="35">
        <v>44382</v>
      </c>
      <c r="F921" s="33">
        <v>3</v>
      </c>
      <c r="G921" s="33" t="s">
        <v>122</v>
      </c>
      <c r="H921" s="33" t="s">
        <v>72</v>
      </c>
      <c r="I921" s="33" t="s">
        <v>196</v>
      </c>
      <c r="J921" s="34">
        <v>4979</v>
      </c>
      <c r="K921" s="34"/>
      <c r="L921" s="34">
        <v>4979</v>
      </c>
    </row>
    <row r="922" spans="2:12" x14ac:dyDescent="0.3">
      <c r="B922" s="25">
        <v>923</v>
      </c>
      <c r="C922" s="33">
        <v>31479</v>
      </c>
      <c r="D922" s="33" t="s">
        <v>662</v>
      </c>
      <c r="E922" s="35">
        <v>44385</v>
      </c>
      <c r="F922" s="33">
        <v>3</v>
      </c>
      <c r="G922" s="33" t="s">
        <v>124</v>
      </c>
      <c r="H922" s="33" t="s">
        <v>72</v>
      </c>
      <c r="I922" s="33" t="s">
        <v>197</v>
      </c>
      <c r="J922" s="34">
        <v>6124</v>
      </c>
      <c r="K922" s="34"/>
      <c r="L922" s="34">
        <v>6124</v>
      </c>
    </row>
    <row r="923" spans="2:12" x14ac:dyDescent="0.3">
      <c r="B923" s="25">
        <v>924</v>
      </c>
      <c r="C923" s="33">
        <v>31533</v>
      </c>
      <c r="D923" s="33" t="s">
        <v>659</v>
      </c>
      <c r="E923" s="35">
        <v>44390</v>
      </c>
      <c r="F923" s="33">
        <v>3</v>
      </c>
      <c r="G923" s="33" t="s">
        <v>122</v>
      </c>
      <c r="H923" s="33" t="s">
        <v>72</v>
      </c>
      <c r="I923" s="33" t="s">
        <v>196</v>
      </c>
      <c r="J923" s="34">
        <v>4321</v>
      </c>
      <c r="K923" s="34"/>
      <c r="L923" s="34">
        <v>4321</v>
      </c>
    </row>
    <row r="924" spans="2:12" x14ac:dyDescent="0.3">
      <c r="B924" s="25">
        <v>925</v>
      </c>
      <c r="C924" s="33">
        <v>31598</v>
      </c>
      <c r="D924" s="33" t="s">
        <v>413</v>
      </c>
      <c r="E924" s="35">
        <v>44393</v>
      </c>
      <c r="F924" s="33">
        <v>3</v>
      </c>
      <c r="G924" s="33" t="s">
        <v>122</v>
      </c>
      <c r="H924" s="33" t="s">
        <v>72</v>
      </c>
      <c r="I924" s="33" t="s">
        <v>196</v>
      </c>
      <c r="J924" s="34">
        <v>5899.2</v>
      </c>
      <c r="K924" s="34"/>
      <c r="L924" s="34">
        <v>5899.2</v>
      </c>
    </row>
    <row r="925" spans="2:12" x14ac:dyDescent="0.3">
      <c r="B925" s="25">
        <v>926</v>
      </c>
      <c r="C925" s="33">
        <v>3330</v>
      </c>
      <c r="D925" s="33" t="s">
        <v>663</v>
      </c>
      <c r="E925" s="35">
        <v>44398</v>
      </c>
      <c r="F925" s="33">
        <v>3</v>
      </c>
      <c r="G925" s="33" t="s">
        <v>122</v>
      </c>
      <c r="H925" s="33" t="s">
        <v>201</v>
      </c>
      <c r="I925" s="33" t="s">
        <v>196</v>
      </c>
      <c r="J925" s="34">
        <v>730</v>
      </c>
      <c r="K925" s="34"/>
      <c r="L925" s="34">
        <v>730</v>
      </c>
    </row>
    <row r="926" spans="2:12" x14ac:dyDescent="0.3">
      <c r="B926" s="25">
        <v>927</v>
      </c>
      <c r="C926" s="33">
        <v>4931</v>
      </c>
      <c r="D926" s="33" t="s">
        <v>550</v>
      </c>
      <c r="E926" s="35">
        <v>44482</v>
      </c>
      <c r="F926" s="33">
        <v>4</v>
      </c>
      <c r="G926" s="33" t="s">
        <v>124</v>
      </c>
      <c r="H926" s="33" t="s">
        <v>201</v>
      </c>
      <c r="I926" s="33" t="s">
        <v>197</v>
      </c>
      <c r="J926" s="34">
        <v>2037.6</v>
      </c>
      <c r="K926" s="34"/>
      <c r="L926" s="34">
        <v>2037.6</v>
      </c>
    </row>
    <row r="927" spans="2:12" x14ac:dyDescent="0.3">
      <c r="B927" s="25">
        <v>928</v>
      </c>
      <c r="C927" s="33">
        <v>4932</v>
      </c>
      <c r="D927" s="33" t="s">
        <v>608</v>
      </c>
      <c r="E927" s="35">
        <v>44482</v>
      </c>
      <c r="F927" s="33">
        <v>4</v>
      </c>
      <c r="G927" s="33" t="s">
        <v>124</v>
      </c>
      <c r="H927" s="33" t="s">
        <v>201</v>
      </c>
      <c r="I927" s="33" t="s">
        <v>197</v>
      </c>
      <c r="J927" s="34">
        <v>2230.25</v>
      </c>
      <c r="K927" s="34"/>
      <c r="L927" s="34">
        <v>2230.25</v>
      </c>
    </row>
    <row r="928" spans="2:12" x14ac:dyDescent="0.3">
      <c r="B928" s="25">
        <v>929</v>
      </c>
      <c r="C928" s="33">
        <v>4934</v>
      </c>
      <c r="D928" s="33" t="s">
        <v>473</v>
      </c>
      <c r="E928" s="35">
        <v>44482</v>
      </c>
      <c r="F928" s="33">
        <v>4</v>
      </c>
      <c r="G928" s="33" t="s">
        <v>122</v>
      </c>
      <c r="H928" s="33" t="s">
        <v>201</v>
      </c>
      <c r="I928" s="33" t="s">
        <v>196</v>
      </c>
      <c r="J928" s="34">
        <v>5460.12</v>
      </c>
      <c r="K928" s="34"/>
      <c r="L928" s="34">
        <v>5460.12</v>
      </c>
    </row>
    <row r="929" spans="2:12" x14ac:dyDescent="0.3">
      <c r="B929" s="25">
        <v>930</v>
      </c>
      <c r="C929" s="33">
        <v>4935</v>
      </c>
      <c r="D929" s="33" t="s">
        <v>565</v>
      </c>
      <c r="E929" s="35">
        <v>44482</v>
      </c>
      <c r="F929" s="33">
        <v>4</v>
      </c>
      <c r="G929" s="33" t="s">
        <v>124</v>
      </c>
      <c r="H929" s="33" t="s">
        <v>201</v>
      </c>
      <c r="I929" s="33" t="s">
        <v>197</v>
      </c>
      <c r="J929" s="34">
        <v>4501.7299999999996</v>
      </c>
      <c r="K929" s="34"/>
      <c r="L929" s="34">
        <v>4501.7299999999996</v>
      </c>
    </row>
    <row r="930" spans="2:12" x14ac:dyDescent="0.3">
      <c r="B930" s="25">
        <v>931</v>
      </c>
      <c r="C930" s="33">
        <v>4936</v>
      </c>
      <c r="D930" s="33" t="s">
        <v>556</v>
      </c>
      <c r="E930" s="35">
        <v>44482</v>
      </c>
      <c r="F930" s="33">
        <v>4</v>
      </c>
      <c r="G930" s="33" t="s">
        <v>124</v>
      </c>
      <c r="H930" s="33" t="s">
        <v>201</v>
      </c>
      <c r="I930" s="33" t="s">
        <v>197</v>
      </c>
      <c r="J930" s="34">
        <v>1912.91</v>
      </c>
      <c r="K930" s="34"/>
      <c r="L930" s="34">
        <v>1912.91</v>
      </c>
    </row>
    <row r="931" spans="2:12" x14ac:dyDescent="0.3">
      <c r="B931" s="25">
        <v>932</v>
      </c>
      <c r="C931" s="33">
        <v>4939</v>
      </c>
      <c r="D931" s="33" t="s">
        <v>571</v>
      </c>
      <c r="E931" s="35">
        <v>44482</v>
      </c>
      <c r="F931" s="33">
        <v>4</v>
      </c>
      <c r="G931" s="33" t="s">
        <v>124</v>
      </c>
      <c r="H931" s="33" t="s">
        <v>201</v>
      </c>
      <c r="I931" s="33" t="s">
        <v>197</v>
      </c>
      <c r="J931" s="34">
        <v>1500.4</v>
      </c>
      <c r="K931" s="34"/>
      <c r="L931" s="34">
        <v>1500.4</v>
      </c>
    </row>
    <row r="932" spans="2:12" x14ac:dyDescent="0.3">
      <c r="B932" s="25">
        <v>933</v>
      </c>
      <c r="C932" s="33">
        <v>4940</v>
      </c>
      <c r="D932" s="33" t="s">
        <v>403</v>
      </c>
      <c r="E932" s="35">
        <v>44482</v>
      </c>
      <c r="F932" s="33">
        <v>4</v>
      </c>
      <c r="G932" s="33" t="s">
        <v>122</v>
      </c>
      <c r="H932" s="33" t="s">
        <v>201</v>
      </c>
      <c r="I932" s="33" t="s">
        <v>196</v>
      </c>
      <c r="J932" s="34">
        <v>1226.72</v>
      </c>
      <c r="K932" s="34"/>
      <c r="L932" s="34">
        <v>1226.72</v>
      </c>
    </row>
    <row r="933" spans="2:12" x14ac:dyDescent="0.3">
      <c r="B933" s="25">
        <v>934</v>
      </c>
      <c r="C933" s="33">
        <v>15972</v>
      </c>
      <c r="D933" s="33" t="s">
        <v>410</v>
      </c>
      <c r="E933" s="35">
        <v>44469</v>
      </c>
      <c r="F933" s="33">
        <v>3</v>
      </c>
      <c r="G933" s="33" t="s">
        <v>231</v>
      </c>
      <c r="H933" s="33" t="s">
        <v>69</v>
      </c>
      <c r="I933" s="33" t="s">
        <v>198</v>
      </c>
      <c r="J933" s="34">
        <v>708</v>
      </c>
      <c r="K933" s="34"/>
      <c r="L933" s="34">
        <v>708</v>
      </c>
    </row>
    <row r="934" spans="2:12" x14ac:dyDescent="0.3">
      <c r="B934" s="25">
        <v>935</v>
      </c>
      <c r="C934" s="33">
        <v>54616</v>
      </c>
      <c r="D934" s="33" t="s">
        <v>484</v>
      </c>
      <c r="E934" s="35">
        <v>44483</v>
      </c>
      <c r="F934" s="33">
        <v>4</v>
      </c>
      <c r="G934" s="33" t="s">
        <v>122</v>
      </c>
      <c r="H934" s="33" t="s">
        <v>69</v>
      </c>
      <c r="I934" s="33" t="s">
        <v>196</v>
      </c>
      <c r="J934" s="34">
        <v>243</v>
      </c>
      <c r="K934" s="34"/>
      <c r="L934" s="34">
        <v>243</v>
      </c>
    </row>
    <row r="935" spans="2:12" x14ac:dyDescent="0.3">
      <c r="B935" s="25">
        <v>936</v>
      </c>
      <c r="C935" s="33">
        <v>54353</v>
      </c>
      <c r="D935" s="33" t="s">
        <v>414</v>
      </c>
      <c r="E935" s="35">
        <v>44469</v>
      </c>
      <c r="F935" s="33">
        <v>3</v>
      </c>
      <c r="G935" s="33" t="s">
        <v>122</v>
      </c>
      <c r="H935" s="33" t="s">
        <v>69</v>
      </c>
      <c r="I935" s="33" t="s">
        <v>196</v>
      </c>
      <c r="J935" s="34">
        <v>2528.5</v>
      </c>
      <c r="K935" s="34"/>
      <c r="L935" s="34">
        <v>2528.5</v>
      </c>
    </row>
    <row r="936" spans="2:12" x14ac:dyDescent="0.3">
      <c r="B936" s="25">
        <v>937</v>
      </c>
      <c r="C936" s="33">
        <v>54358</v>
      </c>
      <c r="D936" s="33" t="s">
        <v>275</v>
      </c>
      <c r="E936" s="35">
        <v>44469</v>
      </c>
      <c r="F936" s="33">
        <v>3</v>
      </c>
      <c r="G936" s="33" t="s">
        <v>124</v>
      </c>
      <c r="H936" s="33" t="s">
        <v>69</v>
      </c>
      <c r="I936" s="33" t="s">
        <v>197</v>
      </c>
      <c r="J936" s="34">
        <v>2735.5</v>
      </c>
      <c r="K936" s="34"/>
      <c r="L936" s="34">
        <v>2735.5</v>
      </c>
    </row>
    <row r="937" spans="2:12" x14ac:dyDescent="0.3">
      <c r="B937" s="25">
        <v>938</v>
      </c>
      <c r="C937" s="33">
        <v>54432</v>
      </c>
      <c r="D937" s="33" t="s">
        <v>400</v>
      </c>
      <c r="E937" s="35">
        <v>44470</v>
      </c>
      <c r="F937" s="33">
        <v>4</v>
      </c>
      <c r="G937" s="33" t="s">
        <v>231</v>
      </c>
      <c r="H937" s="33" t="s">
        <v>69</v>
      </c>
      <c r="I937" s="33" t="s">
        <v>198</v>
      </c>
      <c r="J937" s="34">
        <v>2527.3200000000002</v>
      </c>
      <c r="K937" s="34"/>
      <c r="L937" s="34">
        <v>2527.3200000000002</v>
      </c>
    </row>
    <row r="938" spans="2:12" x14ac:dyDescent="0.3">
      <c r="B938" s="25">
        <v>939</v>
      </c>
      <c r="C938" s="33">
        <v>54433</v>
      </c>
      <c r="D938" s="33" t="s">
        <v>400</v>
      </c>
      <c r="E938" s="35">
        <v>44470</v>
      </c>
      <c r="F938" s="33">
        <v>4</v>
      </c>
      <c r="G938" s="33" t="s">
        <v>231</v>
      </c>
      <c r="H938" s="33" t="s">
        <v>69</v>
      </c>
      <c r="I938" s="33" t="s">
        <v>198</v>
      </c>
      <c r="J938" s="34">
        <v>1538.4</v>
      </c>
      <c r="K938" s="34"/>
      <c r="L938" s="34">
        <v>1538.4</v>
      </c>
    </row>
    <row r="939" spans="2:12" x14ac:dyDescent="0.3">
      <c r="B939" s="25">
        <v>940</v>
      </c>
      <c r="C939" s="33">
        <v>54436</v>
      </c>
      <c r="D939" s="33" t="s">
        <v>416</v>
      </c>
      <c r="E939" s="35">
        <v>44470</v>
      </c>
      <c r="F939" s="33">
        <v>4</v>
      </c>
      <c r="G939" s="33" t="s">
        <v>231</v>
      </c>
      <c r="H939" s="33" t="s">
        <v>69</v>
      </c>
      <c r="I939" s="33" t="s">
        <v>198</v>
      </c>
      <c r="J939" s="34">
        <v>2289.9</v>
      </c>
      <c r="K939" s="34"/>
      <c r="L939" s="34">
        <v>2289.9</v>
      </c>
    </row>
    <row r="940" spans="2:12" x14ac:dyDescent="0.3">
      <c r="B940" s="25">
        <v>941</v>
      </c>
      <c r="C940" s="33">
        <v>16107</v>
      </c>
      <c r="D940" s="33" t="s">
        <v>410</v>
      </c>
      <c r="E940" s="35">
        <v>44475</v>
      </c>
      <c r="F940" s="33">
        <v>4</v>
      </c>
      <c r="G940" s="33" t="s">
        <v>231</v>
      </c>
      <c r="H940" s="33" t="s">
        <v>69</v>
      </c>
      <c r="I940" s="33" t="s">
        <v>198</v>
      </c>
      <c r="J940" s="34">
        <v>250</v>
      </c>
      <c r="K940" s="34"/>
      <c r="L940" s="34">
        <v>250</v>
      </c>
    </row>
    <row r="941" spans="2:12" x14ac:dyDescent="0.3">
      <c r="B941" s="25">
        <v>942</v>
      </c>
      <c r="C941" s="33">
        <v>54476</v>
      </c>
      <c r="D941" s="33" t="s">
        <v>416</v>
      </c>
      <c r="E941" s="35">
        <v>44477</v>
      </c>
      <c r="F941" s="33">
        <v>4</v>
      </c>
      <c r="G941" s="33" t="s">
        <v>231</v>
      </c>
      <c r="H941" s="33" t="s">
        <v>69</v>
      </c>
      <c r="I941" s="33" t="s">
        <v>198</v>
      </c>
      <c r="J941" s="34">
        <v>1396.5</v>
      </c>
      <c r="K941" s="34"/>
      <c r="L941" s="34">
        <v>1396.5</v>
      </c>
    </row>
    <row r="942" spans="2:12" x14ac:dyDescent="0.3">
      <c r="B942" s="25">
        <v>943</v>
      </c>
      <c r="C942" s="33">
        <v>54482</v>
      </c>
      <c r="D942" s="33" t="s">
        <v>411</v>
      </c>
      <c r="E942" s="35">
        <v>44477</v>
      </c>
      <c r="F942" s="33">
        <v>4</v>
      </c>
      <c r="G942" s="33" t="s">
        <v>122</v>
      </c>
      <c r="H942" s="33" t="s">
        <v>69</v>
      </c>
      <c r="I942" s="33" t="s">
        <v>196</v>
      </c>
      <c r="J942" s="34">
        <v>2655.5</v>
      </c>
      <c r="K942" s="34"/>
      <c r="L942" s="34">
        <v>2655.5</v>
      </c>
    </row>
    <row r="943" spans="2:12" x14ac:dyDescent="0.3">
      <c r="B943" s="25">
        <v>944</v>
      </c>
      <c r="C943" s="33">
        <v>54502</v>
      </c>
      <c r="D943" s="33" t="s">
        <v>400</v>
      </c>
      <c r="E943" s="35">
        <v>44477</v>
      </c>
      <c r="F943" s="33">
        <v>4</v>
      </c>
      <c r="G943" s="33" t="s">
        <v>231</v>
      </c>
      <c r="H943" s="33" t="s">
        <v>69</v>
      </c>
      <c r="I943" s="33" t="s">
        <v>198</v>
      </c>
      <c r="J943" s="34">
        <v>961.27</v>
      </c>
      <c r="K943" s="34"/>
      <c r="L943" s="34">
        <v>961.27</v>
      </c>
    </row>
    <row r="944" spans="2:12" x14ac:dyDescent="0.3">
      <c r="B944" s="25">
        <v>945</v>
      </c>
      <c r="C944" s="33">
        <v>54503</v>
      </c>
      <c r="D944" s="33" t="s">
        <v>400</v>
      </c>
      <c r="E944" s="35">
        <v>44477</v>
      </c>
      <c r="F944" s="33">
        <v>4</v>
      </c>
      <c r="G944" s="33" t="s">
        <v>231</v>
      </c>
      <c r="H944" s="33" t="s">
        <v>69</v>
      </c>
      <c r="I944" s="33" t="s">
        <v>198</v>
      </c>
      <c r="J944" s="34">
        <v>4767.0200000000004</v>
      </c>
      <c r="K944" s="34"/>
      <c r="L944" s="34">
        <v>4767.0200000000004</v>
      </c>
    </row>
    <row r="945" spans="2:12" x14ac:dyDescent="0.3">
      <c r="B945" s="25">
        <v>946</v>
      </c>
      <c r="C945" s="33">
        <v>54504</v>
      </c>
      <c r="D945" s="33" t="s">
        <v>400</v>
      </c>
      <c r="E945" s="35">
        <v>44477</v>
      </c>
      <c r="F945" s="33">
        <v>4</v>
      </c>
      <c r="G945" s="33" t="s">
        <v>231</v>
      </c>
      <c r="H945" s="33" t="s">
        <v>69</v>
      </c>
      <c r="I945" s="33" t="s">
        <v>198</v>
      </c>
      <c r="J945" s="34">
        <v>447.64</v>
      </c>
      <c r="K945" s="34"/>
      <c r="L945" s="34">
        <v>447.64</v>
      </c>
    </row>
    <row r="946" spans="2:12" x14ac:dyDescent="0.3">
      <c r="B946" s="25">
        <v>947</v>
      </c>
      <c r="C946" s="33">
        <v>54505</v>
      </c>
      <c r="D946" s="33" t="s">
        <v>400</v>
      </c>
      <c r="E946" s="35">
        <v>44477</v>
      </c>
      <c r="F946" s="33">
        <v>4</v>
      </c>
      <c r="G946" s="33" t="s">
        <v>231</v>
      </c>
      <c r="H946" s="33" t="s">
        <v>69</v>
      </c>
      <c r="I946" s="33" t="s">
        <v>198</v>
      </c>
      <c r="J946" s="34">
        <v>494.68</v>
      </c>
      <c r="K946" s="34"/>
      <c r="L946" s="34">
        <v>494.68</v>
      </c>
    </row>
    <row r="947" spans="2:12" x14ac:dyDescent="0.3">
      <c r="B947" s="25">
        <v>948</v>
      </c>
      <c r="C947" s="33">
        <v>54506</v>
      </c>
      <c r="D947" s="33" t="s">
        <v>400</v>
      </c>
      <c r="E947" s="35">
        <v>44477</v>
      </c>
      <c r="F947" s="33">
        <v>4</v>
      </c>
      <c r="G947" s="33" t="s">
        <v>231</v>
      </c>
      <c r="H947" s="33" t="s">
        <v>69</v>
      </c>
      <c r="I947" s="33" t="s">
        <v>198</v>
      </c>
      <c r="J947" s="34">
        <v>14.55</v>
      </c>
      <c r="K947" s="34"/>
      <c r="L947" s="34">
        <v>14.55</v>
      </c>
    </row>
    <row r="948" spans="2:12" x14ac:dyDescent="0.3">
      <c r="B948" s="25">
        <v>949</v>
      </c>
      <c r="C948" s="33">
        <v>54507</v>
      </c>
      <c r="D948" s="33" t="s">
        <v>400</v>
      </c>
      <c r="E948" s="35">
        <v>44477</v>
      </c>
      <c r="F948" s="33">
        <v>4</v>
      </c>
      <c r="G948" s="33" t="s">
        <v>231</v>
      </c>
      <c r="H948" s="33" t="s">
        <v>69</v>
      </c>
      <c r="I948" s="33" t="s">
        <v>198</v>
      </c>
      <c r="J948" s="34">
        <v>115.42</v>
      </c>
      <c r="K948" s="34"/>
      <c r="L948" s="34">
        <v>115.42</v>
      </c>
    </row>
    <row r="949" spans="2:12" x14ac:dyDescent="0.3">
      <c r="B949" s="25">
        <v>950</v>
      </c>
      <c r="C949" s="33">
        <v>54508</v>
      </c>
      <c r="D949" s="33" t="s">
        <v>400</v>
      </c>
      <c r="E949" s="35">
        <v>44477</v>
      </c>
      <c r="F949" s="33">
        <v>4</v>
      </c>
      <c r="G949" s="33" t="s">
        <v>231</v>
      </c>
      <c r="H949" s="33" t="s">
        <v>69</v>
      </c>
      <c r="I949" s="33" t="s">
        <v>198</v>
      </c>
      <c r="J949" s="34">
        <v>255.11</v>
      </c>
      <c r="K949" s="34"/>
      <c r="L949" s="34">
        <v>255.11</v>
      </c>
    </row>
    <row r="950" spans="2:12" x14ac:dyDescent="0.3">
      <c r="B950" s="25">
        <v>951</v>
      </c>
      <c r="C950" s="33">
        <v>54622</v>
      </c>
      <c r="D950" s="33" t="s">
        <v>369</v>
      </c>
      <c r="E950" s="35">
        <v>44483</v>
      </c>
      <c r="F950" s="33">
        <v>4</v>
      </c>
      <c r="G950" s="33" t="s">
        <v>124</v>
      </c>
      <c r="H950" s="33" t="s">
        <v>69</v>
      </c>
      <c r="I950" s="33" t="s">
        <v>197</v>
      </c>
      <c r="J950" s="34">
        <v>6268.69</v>
      </c>
      <c r="K950" s="34"/>
      <c r="L950" s="34">
        <v>6268.69</v>
      </c>
    </row>
    <row r="951" spans="2:12" x14ac:dyDescent="0.3">
      <c r="B951" s="25">
        <v>952</v>
      </c>
      <c r="C951" s="33">
        <v>54623</v>
      </c>
      <c r="D951" s="33" t="s">
        <v>404</v>
      </c>
      <c r="E951" s="35">
        <v>44483</v>
      </c>
      <c r="F951" s="33">
        <v>4</v>
      </c>
      <c r="G951" s="33" t="s">
        <v>122</v>
      </c>
      <c r="H951" s="33" t="s">
        <v>69</v>
      </c>
      <c r="I951" s="33" t="s">
        <v>196</v>
      </c>
      <c r="J951" s="34">
        <v>2085</v>
      </c>
      <c r="K951" s="34"/>
      <c r="L951" s="34">
        <v>2085</v>
      </c>
    </row>
    <row r="952" spans="2:12" x14ac:dyDescent="0.3">
      <c r="B952" s="25">
        <v>953</v>
      </c>
      <c r="C952" s="33">
        <v>54624</v>
      </c>
      <c r="D952" s="33" t="s">
        <v>438</v>
      </c>
      <c r="E952" s="35">
        <v>44483</v>
      </c>
      <c r="F952" s="33">
        <v>4</v>
      </c>
      <c r="G952" s="33" t="s">
        <v>122</v>
      </c>
      <c r="H952" s="33" t="s">
        <v>69</v>
      </c>
      <c r="I952" s="33" t="s">
        <v>196</v>
      </c>
      <c r="J952" s="34">
        <v>6239.89</v>
      </c>
      <c r="K952" s="34"/>
      <c r="L952" s="34">
        <v>6239.89</v>
      </c>
    </row>
    <row r="953" spans="2:12" x14ac:dyDescent="0.3">
      <c r="B953" s="25">
        <v>954</v>
      </c>
      <c r="C953" s="33">
        <v>54625</v>
      </c>
      <c r="D953" s="33" t="s">
        <v>414</v>
      </c>
      <c r="E953" s="35">
        <v>44483</v>
      </c>
      <c r="F953" s="33">
        <v>4</v>
      </c>
      <c r="G953" s="33" t="s">
        <v>122</v>
      </c>
      <c r="H953" s="33" t="s">
        <v>69</v>
      </c>
      <c r="I953" s="33" t="s">
        <v>196</v>
      </c>
      <c r="J953" s="34">
        <v>669</v>
      </c>
      <c r="K953" s="34"/>
      <c r="L953" s="34">
        <v>669</v>
      </c>
    </row>
    <row r="954" spans="2:12" x14ac:dyDescent="0.3">
      <c r="B954" s="25">
        <v>955</v>
      </c>
      <c r="C954" s="33">
        <v>54626</v>
      </c>
      <c r="D954" s="33" t="s">
        <v>442</v>
      </c>
      <c r="E954" s="35">
        <v>44483</v>
      </c>
      <c r="F954" s="33">
        <v>4</v>
      </c>
      <c r="G954" s="33" t="s">
        <v>122</v>
      </c>
      <c r="H954" s="33" t="s">
        <v>69</v>
      </c>
      <c r="I954" s="33" t="s">
        <v>196</v>
      </c>
      <c r="J954" s="34">
        <v>768.5</v>
      </c>
      <c r="K954" s="34"/>
      <c r="L954" s="34">
        <v>768.5</v>
      </c>
    </row>
    <row r="955" spans="2:12" x14ac:dyDescent="0.3">
      <c r="B955" s="25">
        <v>956</v>
      </c>
      <c r="C955" s="33">
        <v>54634</v>
      </c>
      <c r="D955" s="33" t="s">
        <v>400</v>
      </c>
      <c r="E955" s="35">
        <v>44483</v>
      </c>
      <c r="F955" s="33">
        <v>4</v>
      </c>
      <c r="G955" s="33" t="s">
        <v>231</v>
      </c>
      <c r="H955" s="33" t="s">
        <v>69</v>
      </c>
      <c r="I955" s="33" t="s">
        <v>198</v>
      </c>
      <c r="J955" s="34">
        <v>1221.72</v>
      </c>
      <c r="K955" s="34"/>
      <c r="L955" s="34">
        <v>1221.72</v>
      </c>
    </row>
    <row r="956" spans="2:12" x14ac:dyDescent="0.3">
      <c r="B956" s="25">
        <v>957</v>
      </c>
      <c r="C956" s="33">
        <v>54635</v>
      </c>
      <c r="D956" s="33" t="s">
        <v>400</v>
      </c>
      <c r="E956" s="35">
        <v>44483</v>
      </c>
      <c r="F956" s="33">
        <v>4</v>
      </c>
      <c r="G956" s="33" t="s">
        <v>231</v>
      </c>
      <c r="H956" s="33" t="s">
        <v>69</v>
      </c>
      <c r="I956" s="33" t="s">
        <v>198</v>
      </c>
      <c r="J956" s="34">
        <v>942.36</v>
      </c>
      <c r="K956" s="34"/>
      <c r="L956" s="34">
        <v>942.36</v>
      </c>
    </row>
    <row r="957" spans="2:12" x14ac:dyDescent="0.3">
      <c r="B957" s="25">
        <v>958</v>
      </c>
      <c r="C957" s="33">
        <v>54636</v>
      </c>
      <c r="D957" s="33" t="s">
        <v>400</v>
      </c>
      <c r="E957" s="35">
        <v>44483</v>
      </c>
      <c r="F957" s="33">
        <v>4</v>
      </c>
      <c r="G957" s="33" t="s">
        <v>231</v>
      </c>
      <c r="H957" s="33" t="s">
        <v>69</v>
      </c>
      <c r="I957" s="33" t="s">
        <v>198</v>
      </c>
      <c r="J957" s="34">
        <v>652.30999999999995</v>
      </c>
      <c r="K957" s="34"/>
      <c r="L957" s="34">
        <v>652.30999999999995</v>
      </c>
    </row>
    <row r="958" spans="2:12" x14ac:dyDescent="0.3">
      <c r="B958" s="25">
        <v>959</v>
      </c>
      <c r="C958" s="33">
        <v>53144</v>
      </c>
      <c r="D958" s="33" t="s">
        <v>411</v>
      </c>
      <c r="E958" s="35">
        <v>44455</v>
      </c>
      <c r="F958" s="33">
        <v>3</v>
      </c>
      <c r="G958" s="33" t="s">
        <v>122</v>
      </c>
      <c r="H958" s="33">
        <v>53</v>
      </c>
      <c r="I958" s="33" t="s">
        <v>196</v>
      </c>
      <c r="J958" s="34">
        <v>1580.5</v>
      </c>
      <c r="K958" s="34"/>
      <c r="L958" s="34">
        <v>1580.5</v>
      </c>
    </row>
    <row r="959" spans="2:12" x14ac:dyDescent="0.3">
      <c r="B959" s="25">
        <v>960</v>
      </c>
      <c r="C959" s="33">
        <v>53146</v>
      </c>
      <c r="D959" s="33" t="s">
        <v>275</v>
      </c>
      <c r="E959" s="35">
        <v>44455</v>
      </c>
      <c r="F959" s="33">
        <v>3</v>
      </c>
      <c r="G959" s="33" t="s">
        <v>124</v>
      </c>
      <c r="H959" s="33">
        <v>53</v>
      </c>
      <c r="I959" s="33" t="s">
        <v>197</v>
      </c>
      <c r="J959" s="34">
        <v>2776.48</v>
      </c>
      <c r="K959" s="34"/>
      <c r="L959" s="34">
        <v>2776.48</v>
      </c>
    </row>
    <row r="960" spans="2:12" x14ac:dyDescent="0.3">
      <c r="B960" s="25">
        <v>961</v>
      </c>
      <c r="C960" s="33">
        <v>53283</v>
      </c>
      <c r="D960" s="33" t="s">
        <v>400</v>
      </c>
      <c r="E960" s="35">
        <v>44462</v>
      </c>
      <c r="F960" s="33">
        <v>3</v>
      </c>
      <c r="G960" s="33" t="s">
        <v>231</v>
      </c>
      <c r="H960" s="33" t="s">
        <v>73</v>
      </c>
      <c r="I960" s="33" t="s">
        <v>198</v>
      </c>
      <c r="J960" s="34">
        <v>489.81</v>
      </c>
      <c r="K960" s="34"/>
      <c r="L960" s="34">
        <v>489.81</v>
      </c>
    </row>
    <row r="961" spans="2:12" x14ac:dyDescent="0.3">
      <c r="B961" s="25">
        <v>962</v>
      </c>
      <c r="C961" s="33">
        <v>24804</v>
      </c>
      <c r="D961" s="33" t="s">
        <v>664</v>
      </c>
      <c r="E961" s="35">
        <v>44488</v>
      </c>
      <c r="F961" s="33">
        <v>4</v>
      </c>
      <c r="G961" s="33" t="s">
        <v>124</v>
      </c>
      <c r="H961" s="33">
        <v>53</v>
      </c>
      <c r="I961" s="33" t="s">
        <v>197</v>
      </c>
      <c r="J961" s="34">
        <v>87.3</v>
      </c>
      <c r="K961" s="34"/>
      <c r="L961" s="34">
        <v>87.3</v>
      </c>
    </row>
    <row r="962" spans="2:12" x14ac:dyDescent="0.3">
      <c r="B962" s="25">
        <v>963</v>
      </c>
      <c r="C962" s="33">
        <v>53275</v>
      </c>
      <c r="D962" s="33" t="s">
        <v>412</v>
      </c>
      <c r="E962" s="35">
        <v>44462</v>
      </c>
      <c r="F962" s="33">
        <v>3</v>
      </c>
      <c r="G962" s="33" t="s">
        <v>231</v>
      </c>
      <c r="H962" s="33">
        <v>53</v>
      </c>
      <c r="I962" s="33" t="s">
        <v>198</v>
      </c>
      <c r="J962" s="34">
        <v>666</v>
      </c>
      <c r="K962" s="34"/>
      <c r="L962" s="34">
        <v>666</v>
      </c>
    </row>
    <row r="963" spans="2:12" x14ac:dyDescent="0.3">
      <c r="B963" s="25">
        <v>964</v>
      </c>
      <c r="C963" s="33">
        <v>53282</v>
      </c>
      <c r="D963" s="33" t="s">
        <v>400</v>
      </c>
      <c r="E963" s="35">
        <v>44462</v>
      </c>
      <c r="F963" s="33">
        <v>3</v>
      </c>
      <c r="G963" s="33" t="s">
        <v>231</v>
      </c>
      <c r="H963" s="33" t="s">
        <v>73</v>
      </c>
      <c r="I963" s="33" t="s">
        <v>198</v>
      </c>
      <c r="J963" s="34">
        <v>624.66</v>
      </c>
      <c r="K963" s="34"/>
      <c r="L963" s="34">
        <v>624.66</v>
      </c>
    </row>
    <row r="964" spans="2:12" x14ac:dyDescent="0.3">
      <c r="B964" s="25">
        <v>965</v>
      </c>
      <c r="C964" s="33">
        <v>53284</v>
      </c>
      <c r="D964" s="33" t="s">
        <v>400</v>
      </c>
      <c r="E964" s="35">
        <v>44462</v>
      </c>
      <c r="F964" s="33">
        <v>3</v>
      </c>
      <c r="G964" s="33" t="s">
        <v>231</v>
      </c>
      <c r="H964" s="33" t="s">
        <v>73</v>
      </c>
      <c r="I964" s="33" t="s">
        <v>198</v>
      </c>
      <c r="J964" s="34">
        <v>239.09</v>
      </c>
      <c r="K964" s="34"/>
      <c r="L964" s="34">
        <v>239.09</v>
      </c>
    </row>
    <row r="965" spans="2:12" x14ac:dyDescent="0.3">
      <c r="B965" s="25">
        <v>966</v>
      </c>
      <c r="C965" s="33">
        <v>53285</v>
      </c>
      <c r="D965" s="33" t="s">
        <v>400</v>
      </c>
      <c r="E965" s="35">
        <v>44462</v>
      </c>
      <c r="F965" s="33">
        <v>3</v>
      </c>
      <c r="G965" s="33" t="s">
        <v>231</v>
      </c>
      <c r="H965" s="33">
        <v>53</v>
      </c>
      <c r="I965" s="33" t="s">
        <v>198</v>
      </c>
      <c r="J965" s="34">
        <v>462.07</v>
      </c>
      <c r="K965" s="34"/>
      <c r="L965" s="34">
        <v>462.07</v>
      </c>
    </row>
    <row r="966" spans="2:12" x14ac:dyDescent="0.3">
      <c r="B966" s="25">
        <v>967</v>
      </c>
      <c r="C966" s="33">
        <v>53286</v>
      </c>
      <c r="D966" s="33" t="s">
        <v>400</v>
      </c>
      <c r="E966" s="35">
        <v>44462</v>
      </c>
      <c r="F966" s="33">
        <v>3</v>
      </c>
      <c r="G966" s="33" t="s">
        <v>231</v>
      </c>
      <c r="H966" s="33" t="s">
        <v>73</v>
      </c>
      <c r="I966" s="33" t="s">
        <v>198</v>
      </c>
      <c r="J966" s="34">
        <v>48.5</v>
      </c>
      <c r="K966" s="34"/>
      <c r="L966" s="34">
        <v>48.5</v>
      </c>
    </row>
    <row r="967" spans="2:12" x14ac:dyDescent="0.3">
      <c r="B967" s="25">
        <v>968</v>
      </c>
      <c r="C967" s="33">
        <v>53287</v>
      </c>
      <c r="D967" s="33" t="s">
        <v>400</v>
      </c>
      <c r="E967" s="35">
        <v>44462</v>
      </c>
      <c r="F967" s="33">
        <v>3</v>
      </c>
      <c r="G967" s="33" t="s">
        <v>231</v>
      </c>
      <c r="H967" s="33">
        <v>53</v>
      </c>
      <c r="I967" s="33" t="s">
        <v>198</v>
      </c>
      <c r="J967" s="34">
        <v>4.3600000000000003</v>
      </c>
      <c r="K967" s="34"/>
      <c r="L967" s="34">
        <v>4.3600000000000003</v>
      </c>
    </row>
    <row r="968" spans="2:12" x14ac:dyDescent="0.3">
      <c r="B968" s="25">
        <v>969</v>
      </c>
      <c r="C968" s="33">
        <v>53359</v>
      </c>
      <c r="D968" s="33" t="s">
        <v>371</v>
      </c>
      <c r="E968" s="35">
        <v>44469</v>
      </c>
      <c r="F968" s="33">
        <v>3</v>
      </c>
      <c r="G968" s="33" t="s">
        <v>124</v>
      </c>
      <c r="H968" s="33" t="s">
        <v>73</v>
      </c>
      <c r="I968" s="33" t="s">
        <v>197</v>
      </c>
      <c r="J968" s="34">
        <v>3650</v>
      </c>
      <c r="K968" s="34"/>
      <c r="L968" s="34">
        <v>3650</v>
      </c>
    </row>
    <row r="969" spans="2:12" x14ac:dyDescent="0.3">
      <c r="B969" s="25">
        <v>970</v>
      </c>
      <c r="C969" s="33">
        <v>53360</v>
      </c>
      <c r="D969" s="33" t="s">
        <v>438</v>
      </c>
      <c r="E969" s="35">
        <v>44469</v>
      </c>
      <c r="F969" s="33">
        <v>3</v>
      </c>
      <c r="G969" s="33" t="s">
        <v>122</v>
      </c>
      <c r="H969" s="33" t="s">
        <v>73</v>
      </c>
      <c r="I969" s="33" t="s">
        <v>196</v>
      </c>
      <c r="J969" s="34">
        <v>376.5</v>
      </c>
      <c r="K969" s="34"/>
      <c r="L969" s="34">
        <v>376.5</v>
      </c>
    </row>
    <row r="970" spans="2:12" x14ac:dyDescent="0.3">
      <c r="B970" s="25">
        <v>971</v>
      </c>
      <c r="C970" s="33">
        <v>53363</v>
      </c>
      <c r="D970" s="33" t="s">
        <v>442</v>
      </c>
      <c r="E970" s="35">
        <v>44469</v>
      </c>
      <c r="F970" s="33">
        <v>3</v>
      </c>
      <c r="G970" s="33" t="s">
        <v>122</v>
      </c>
      <c r="H970" s="33" t="s">
        <v>73</v>
      </c>
      <c r="I970" s="33" t="s">
        <v>196</v>
      </c>
      <c r="J970" s="34">
        <v>782.5</v>
      </c>
      <c r="K970" s="34"/>
      <c r="L970" s="34">
        <v>782.5</v>
      </c>
    </row>
    <row r="971" spans="2:12" x14ac:dyDescent="0.3">
      <c r="B971" s="25">
        <v>972</v>
      </c>
      <c r="C971" s="33">
        <v>53364</v>
      </c>
      <c r="D971" s="33" t="s">
        <v>400</v>
      </c>
      <c r="E971" s="35">
        <v>44469</v>
      </c>
      <c r="F971" s="33">
        <v>3</v>
      </c>
      <c r="G971" s="33" t="s">
        <v>231</v>
      </c>
      <c r="H971" s="33" t="s">
        <v>73</v>
      </c>
      <c r="I971" s="33" t="s">
        <v>198</v>
      </c>
      <c r="J971" s="34">
        <v>1912.81</v>
      </c>
      <c r="K971" s="34"/>
      <c r="L971" s="34">
        <v>1912.81</v>
      </c>
    </row>
    <row r="972" spans="2:12" x14ac:dyDescent="0.3">
      <c r="B972" s="25">
        <v>973</v>
      </c>
      <c r="C972" s="33">
        <v>53465</v>
      </c>
      <c r="D972" s="33" t="s">
        <v>394</v>
      </c>
      <c r="E972" s="35">
        <v>44476</v>
      </c>
      <c r="F972" s="33">
        <v>4</v>
      </c>
      <c r="G972" s="33" t="s">
        <v>122</v>
      </c>
      <c r="H972" s="33" t="s">
        <v>73</v>
      </c>
      <c r="I972" s="33" t="s">
        <v>196</v>
      </c>
      <c r="J972" s="34">
        <v>535</v>
      </c>
      <c r="K972" s="34"/>
      <c r="L972" s="34">
        <v>535</v>
      </c>
    </row>
    <row r="973" spans="2:12" x14ac:dyDescent="0.3">
      <c r="B973" s="25">
        <v>974</v>
      </c>
      <c r="C973" s="33">
        <v>53467</v>
      </c>
      <c r="D973" s="33" t="s">
        <v>414</v>
      </c>
      <c r="E973" s="35">
        <v>44476</v>
      </c>
      <c r="F973" s="33">
        <v>4</v>
      </c>
      <c r="G973" s="33" t="s">
        <v>122</v>
      </c>
      <c r="H973" s="33">
        <v>53</v>
      </c>
      <c r="I973" s="33" t="s">
        <v>196</v>
      </c>
      <c r="J973" s="34">
        <v>2109.9899999999998</v>
      </c>
      <c r="K973" s="34"/>
      <c r="L973" s="34">
        <v>2109.9899999999998</v>
      </c>
    </row>
    <row r="974" spans="2:12" x14ac:dyDescent="0.3">
      <c r="B974" s="25">
        <v>975</v>
      </c>
      <c r="C974" s="33">
        <v>53468</v>
      </c>
      <c r="D974" s="33" t="s">
        <v>665</v>
      </c>
      <c r="E974" s="35">
        <v>44476</v>
      </c>
      <c r="F974" s="33">
        <v>4</v>
      </c>
      <c r="G974" s="33" t="s">
        <v>122</v>
      </c>
      <c r="H974" s="33" t="s">
        <v>73</v>
      </c>
      <c r="I974" s="33" t="s">
        <v>196</v>
      </c>
      <c r="J974" s="34">
        <v>272.39999999999998</v>
      </c>
      <c r="K974" s="34"/>
      <c r="L974" s="34">
        <v>272.39999999999998</v>
      </c>
    </row>
    <row r="975" spans="2:12" x14ac:dyDescent="0.3">
      <c r="B975" s="25">
        <v>976</v>
      </c>
      <c r="C975" s="33">
        <v>53469</v>
      </c>
      <c r="D975" s="33" t="s">
        <v>665</v>
      </c>
      <c r="E975" s="35">
        <v>44476</v>
      </c>
      <c r="F975" s="33">
        <v>4</v>
      </c>
      <c r="G975" s="33" t="s">
        <v>122</v>
      </c>
      <c r="H975" s="33" t="s">
        <v>73</v>
      </c>
      <c r="I975" s="33" t="s">
        <v>196</v>
      </c>
      <c r="J975" s="34">
        <v>2101.5</v>
      </c>
      <c r="K975" s="34"/>
      <c r="L975" s="34">
        <v>2101.5</v>
      </c>
    </row>
    <row r="976" spans="2:12" x14ac:dyDescent="0.3">
      <c r="B976" s="25">
        <v>977</v>
      </c>
      <c r="C976" s="33">
        <v>53472</v>
      </c>
      <c r="D976" s="33" t="s">
        <v>400</v>
      </c>
      <c r="E976" s="35">
        <v>44476</v>
      </c>
      <c r="F976" s="33">
        <v>4</v>
      </c>
      <c r="G976" s="33" t="s">
        <v>231</v>
      </c>
      <c r="H976" s="33">
        <v>53</v>
      </c>
      <c r="I976" s="33" t="s">
        <v>198</v>
      </c>
      <c r="J976" s="34">
        <v>472.85</v>
      </c>
      <c r="K976" s="34"/>
      <c r="L976" s="34">
        <v>472.85</v>
      </c>
    </row>
    <row r="977" spans="2:12" x14ac:dyDescent="0.3">
      <c r="B977" s="25">
        <v>978</v>
      </c>
      <c r="C977" s="33">
        <v>53473</v>
      </c>
      <c r="D977" s="33" t="s">
        <v>400</v>
      </c>
      <c r="E977" s="35">
        <v>44476</v>
      </c>
      <c r="F977" s="33">
        <v>4</v>
      </c>
      <c r="G977" s="33" t="s">
        <v>231</v>
      </c>
      <c r="H977" s="33">
        <v>53</v>
      </c>
      <c r="I977" s="33" t="s">
        <v>198</v>
      </c>
      <c r="J977" s="34">
        <v>784.74</v>
      </c>
      <c r="K977" s="34"/>
      <c r="L977" s="34">
        <v>784.74</v>
      </c>
    </row>
    <row r="978" spans="2:12" x14ac:dyDescent="0.3">
      <c r="B978" s="25">
        <v>979</v>
      </c>
      <c r="C978" s="33" t="s">
        <v>666</v>
      </c>
      <c r="D978" s="33" t="s">
        <v>400</v>
      </c>
      <c r="E978" s="35">
        <v>44476</v>
      </c>
      <c r="F978" s="33">
        <v>4</v>
      </c>
      <c r="G978" s="33" t="s">
        <v>231</v>
      </c>
      <c r="H978" s="33">
        <v>53</v>
      </c>
      <c r="I978" s="33" t="s">
        <v>198</v>
      </c>
      <c r="J978" s="34">
        <v>634.22</v>
      </c>
      <c r="K978" s="34"/>
      <c r="L978" s="34">
        <v>634.22</v>
      </c>
    </row>
    <row r="979" spans="2:12" x14ac:dyDescent="0.3">
      <c r="B979" s="25">
        <v>980</v>
      </c>
      <c r="C979" s="33">
        <v>53475</v>
      </c>
      <c r="D979" s="33" t="s">
        <v>400</v>
      </c>
      <c r="E979" s="35">
        <v>44476</v>
      </c>
      <c r="F979" s="33">
        <v>4</v>
      </c>
      <c r="G979" s="33" t="s">
        <v>231</v>
      </c>
      <c r="H979" s="33">
        <v>53</v>
      </c>
      <c r="I979" s="33" t="s">
        <v>198</v>
      </c>
      <c r="J979" s="34">
        <v>1020.91</v>
      </c>
      <c r="K979" s="34"/>
      <c r="L979" s="34">
        <v>1020.91</v>
      </c>
    </row>
    <row r="980" spans="2:12" x14ac:dyDescent="0.3">
      <c r="B980" s="25">
        <v>981</v>
      </c>
      <c r="C980" s="33">
        <v>53476</v>
      </c>
      <c r="D980" s="33" t="s">
        <v>400</v>
      </c>
      <c r="E980" s="35">
        <v>44476</v>
      </c>
      <c r="F980" s="33">
        <v>4</v>
      </c>
      <c r="G980" s="33" t="s">
        <v>231</v>
      </c>
      <c r="H980" s="33">
        <v>53</v>
      </c>
      <c r="I980" s="33" t="s">
        <v>198</v>
      </c>
      <c r="J980" s="34">
        <v>422.51</v>
      </c>
      <c r="K980" s="34"/>
      <c r="L980" s="34">
        <v>422.51</v>
      </c>
    </row>
    <row r="981" spans="2:12" x14ac:dyDescent="0.3">
      <c r="B981" s="25">
        <v>982</v>
      </c>
      <c r="C981" s="33">
        <v>53477</v>
      </c>
      <c r="D981" s="33" t="s">
        <v>400</v>
      </c>
      <c r="E981" s="35">
        <v>44476</v>
      </c>
      <c r="F981" s="33">
        <v>4</v>
      </c>
      <c r="G981" s="33" t="s">
        <v>231</v>
      </c>
      <c r="H981" s="33">
        <v>53</v>
      </c>
      <c r="I981" s="33" t="s">
        <v>198</v>
      </c>
      <c r="J981" s="34">
        <v>855.97</v>
      </c>
      <c r="K981" s="34"/>
      <c r="L981" s="34">
        <v>855.97</v>
      </c>
    </row>
    <row r="982" spans="2:12" x14ac:dyDescent="0.3">
      <c r="B982" s="25">
        <v>983</v>
      </c>
      <c r="C982" s="33">
        <v>53603</v>
      </c>
      <c r="D982" s="33" t="s">
        <v>369</v>
      </c>
      <c r="E982" s="35">
        <v>44483</v>
      </c>
      <c r="F982" s="33">
        <v>4</v>
      </c>
      <c r="G982" s="33" t="s">
        <v>124</v>
      </c>
      <c r="H982" s="33" t="s">
        <v>73</v>
      </c>
      <c r="I982" s="33" t="s">
        <v>197</v>
      </c>
      <c r="J982" s="34">
        <v>3015.9</v>
      </c>
      <c r="K982" s="34"/>
      <c r="L982" s="34">
        <v>3015.9</v>
      </c>
    </row>
    <row r="983" spans="2:12" x14ac:dyDescent="0.3">
      <c r="B983" s="25">
        <v>984</v>
      </c>
      <c r="C983" s="33">
        <v>53605</v>
      </c>
      <c r="D983" s="33" t="s">
        <v>442</v>
      </c>
      <c r="E983" s="35">
        <v>44483</v>
      </c>
      <c r="F983" s="33">
        <v>4</v>
      </c>
      <c r="G983" s="33" t="s">
        <v>122</v>
      </c>
      <c r="H983" s="33" t="s">
        <v>73</v>
      </c>
      <c r="I983" s="33" t="s">
        <v>196</v>
      </c>
      <c r="J983" s="34">
        <v>49.35</v>
      </c>
      <c r="K983" s="34"/>
      <c r="L983" s="34">
        <v>49.35</v>
      </c>
    </row>
    <row r="984" spans="2:12" x14ac:dyDescent="0.3">
      <c r="B984" s="25">
        <v>985</v>
      </c>
      <c r="C984" s="33">
        <v>53612</v>
      </c>
      <c r="D984" s="33" t="s">
        <v>667</v>
      </c>
      <c r="E984" s="35">
        <v>44483</v>
      </c>
      <c r="F984" s="33">
        <v>4</v>
      </c>
      <c r="G984" s="33" t="s">
        <v>122</v>
      </c>
      <c r="H984" s="33">
        <v>53</v>
      </c>
      <c r="I984" s="33" t="s">
        <v>196</v>
      </c>
      <c r="J984" s="34">
        <v>396</v>
      </c>
      <c r="K984" s="34"/>
      <c r="L984" s="34">
        <v>396</v>
      </c>
    </row>
    <row r="985" spans="2:12" x14ac:dyDescent="0.3">
      <c r="B985" s="25">
        <v>986</v>
      </c>
      <c r="C985" s="33" t="s">
        <v>668</v>
      </c>
      <c r="D985" s="33" t="s">
        <v>477</v>
      </c>
      <c r="E985" s="35">
        <v>44377</v>
      </c>
      <c r="F985" s="33">
        <v>2</v>
      </c>
      <c r="G985" s="33" t="s">
        <v>231</v>
      </c>
      <c r="H985" s="33" t="s">
        <v>70</v>
      </c>
      <c r="I985" s="33" t="s">
        <v>198</v>
      </c>
      <c r="J985" s="34">
        <v>8879</v>
      </c>
      <c r="K985" s="34"/>
      <c r="L985" s="34">
        <v>8879</v>
      </c>
    </row>
    <row r="986" spans="2:12" x14ac:dyDescent="0.3">
      <c r="B986" s="25">
        <v>987</v>
      </c>
      <c r="C986" s="33" t="s">
        <v>669</v>
      </c>
      <c r="D986" s="33" t="s">
        <v>474</v>
      </c>
      <c r="E986" s="35">
        <v>44407</v>
      </c>
      <c r="F986" s="33">
        <v>3</v>
      </c>
      <c r="G986" s="33" t="s">
        <v>231</v>
      </c>
      <c r="H986" s="33" t="s">
        <v>70</v>
      </c>
      <c r="I986" s="33" t="s">
        <v>198</v>
      </c>
      <c r="J986" s="34">
        <v>971</v>
      </c>
      <c r="K986" s="34"/>
      <c r="L986" s="34">
        <v>971</v>
      </c>
    </row>
    <row r="987" spans="2:12" x14ac:dyDescent="0.3">
      <c r="B987" s="25">
        <v>988</v>
      </c>
      <c r="C987" s="33" t="s">
        <v>670</v>
      </c>
      <c r="D987" s="33" t="s">
        <v>477</v>
      </c>
      <c r="E987" s="35">
        <v>44407</v>
      </c>
      <c r="F987" s="33">
        <v>3</v>
      </c>
      <c r="G987" s="33" t="s">
        <v>231</v>
      </c>
      <c r="H987" s="33" t="s">
        <v>70</v>
      </c>
      <c r="I987" s="33" t="s">
        <v>198</v>
      </c>
      <c r="J987" s="34">
        <v>150.80000000000001</v>
      </c>
      <c r="K987" s="34"/>
      <c r="L987" s="34">
        <v>150.80000000000001</v>
      </c>
    </row>
    <row r="988" spans="2:12" x14ac:dyDescent="0.3">
      <c r="B988" s="25">
        <v>989</v>
      </c>
      <c r="C988" s="33">
        <v>4690</v>
      </c>
      <c r="D988" s="33" t="s">
        <v>616</v>
      </c>
      <c r="E988" s="35">
        <v>44494</v>
      </c>
      <c r="F988" s="33">
        <v>4</v>
      </c>
      <c r="G988" s="33" t="s">
        <v>122</v>
      </c>
      <c r="H988" s="33" t="s">
        <v>71</v>
      </c>
      <c r="I988" s="33" t="s">
        <v>196</v>
      </c>
      <c r="J988" s="34">
        <v>654.75</v>
      </c>
      <c r="K988" s="34"/>
      <c r="L988" s="34">
        <v>654.75</v>
      </c>
    </row>
    <row r="989" spans="2:12" x14ac:dyDescent="0.3">
      <c r="B989" s="25">
        <v>990</v>
      </c>
      <c r="C989" s="33">
        <v>32110</v>
      </c>
      <c r="D989" s="33" t="s">
        <v>446</v>
      </c>
      <c r="E989" s="35">
        <v>44484</v>
      </c>
      <c r="F989" s="33">
        <v>4</v>
      </c>
      <c r="G989" s="33" t="s">
        <v>231</v>
      </c>
      <c r="H989" s="33" t="s">
        <v>72</v>
      </c>
      <c r="I989" s="33" t="s">
        <v>198</v>
      </c>
      <c r="J989" s="34">
        <v>20980.400000000001</v>
      </c>
      <c r="K989" s="34"/>
      <c r="L989" s="34">
        <v>20980.400000000001</v>
      </c>
    </row>
    <row r="990" spans="2:12" x14ac:dyDescent="0.3">
      <c r="B990" s="25">
        <v>991</v>
      </c>
      <c r="C990" s="33">
        <v>32111</v>
      </c>
      <c r="D990" s="33" t="s">
        <v>446</v>
      </c>
      <c r="E990" s="35">
        <v>44484</v>
      </c>
      <c r="F990" s="33">
        <v>4</v>
      </c>
      <c r="G990" s="33" t="s">
        <v>231</v>
      </c>
      <c r="H990" s="33" t="s">
        <v>72</v>
      </c>
      <c r="I990" s="33" t="s">
        <v>198</v>
      </c>
      <c r="J990" s="34">
        <v>20980.400000000001</v>
      </c>
      <c r="K990" s="34"/>
      <c r="L990" s="34">
        <v>20980.400000000001</v>
      </c>
    </row>
    <row r="991" spans="2:12" x14ac:dyDescent="0.3">
      <c r="B991" s="25">
        <v>992</v>
      </c>
      <c r="C991" s="33">
        <v>4649</v>
      </c>
      <c r="D991" s="33" t="s">
        <v>671</v>
      </c>
      <c r="E991" s="35">
        <v>44490</v>
      </c>
      <c r="F991" s="33">
        <v>4</v>
      </c>
      <c r="G991" s="33" t="s">
        <v>122</v>
      </c>
      <c r="H991" s="33" t="s">
        <v>71</v>
      </c>
      <c r="I991" s="33" t="s">
        <v>196</v>
      </c>
      <c r="J991" s="34">
        <v>504.64</v>
      </c>
      <c r="K991" s="34">
        <v>80</v>
      </c>
      <c r="L991" s="34">
        <v>424.64</v>
      </c>
    </row>
    <row r="992" spans="2:12" x14ac:dyDescent="0.3">
      <c r="B992" s="25">
        <v>993</v>
      </c>
      <c r="C992" s="33">
        <v>5127</v>
      </c>
      <c r="D992" s="33" t="s">
        <v>362</v>
      </c>
      <c r="E992" s="35">
        <v>44489</v>
      </c>
      <c r="F992" s="33">
        <v>4</v>
      </c>
      <c r="G992" s="33" t="s">
        <v>124</v>
      </c>
      <c r="H992" s="33" t="s">
        <v>201</v>
      </c>
      <c r="I992" s="33" t="s">
        <v>197</v>
      </c>
      <c r="J992" s="34">
        <v>2152.6999999999998</v>
      </c>
      <c r="K992" s="34"/>
      <c r="L992" s="34">
        <v>2152.6999999999998</v>
      </c>
    </row>
    <row r="993" spans="2:12" x14ac:dyDescent="0.3">
      <c r="B993" s="25">
        <v>994</v>
      </c>
      <c r="C993" s="33">
        <v>5128</v>
      </c>
      <c r="D993" s="33" t="s">
        <v>411</v>
      </c>
      <c r="E993" s="35">
        <v>44489</v>
      </c>
      <c r="F993" s="33">
        <v>4</v>
      </c>
      <c r="G993" s="33" t="s">
        <v>122</v>
      </c>
      <c r="H993" s="33" t="s">
        <v>201</v>
      </c>
      <c r="I993" s="33" t="s">
        <v>196</v>
      </c>
      <c r="J993" s="34">
        <v>3131.37</v>
      </c>
      <c r="K993" s="34"/>
      <c r="L993" s="34">
        <v>3131.37</v>
      </c>
    </row>
    <row r="994" spans="2:12" x14ac:dyDescent="0.3">
      <c r="B994" s="25">
        <v>995</v>
      </c>
      <c r="C994" s="33">
        <v>5129</v>
      </c>
      <c r="D994" s="33" t="s">
        <v>602</v>
      </c>
      <c r="E994" s="35">
        <v>44489</v>
      </c>
      <c r="F994" s="33">
        <v>4</v>
      </c>
      <c r="G994" s="33" t="s">
        <v>231</v>
      </c>
      <c r="H994" s="33" t="s">
        <v>201</v>
      </c>
      <c r="I994" s="33" t="s">
        <v>198</v>
      </c>
      <c r="J994" s="34">
        <v>3798</v>
      </c>
      <c r="K994" s="34"/>
      <c r="L994" s="34">
        <v>3798</v>
      </c>
    </row>
    <row r="995" spans="2:12" x14ac:dyDescent="0.3">
      <c r="B995" s="25">
        <v>996</v>
      </c>
      <c r="C995" s="33">
        <v>5179</v>
      </c>
      <c r="D995" s="33" t="s">
        <v>473</v>
      </c>
      <c r="E995" s="35">
        <v>44490</v>
      </c>
      <c r="F995" s="33">
        <v>4</v>
      </c>
      <c r="G995" s="33" t="s">
        <v>122</v>
      </c>
      <c r="H995" s="33" t="s">
        <v>201</v>
      </c>
      <c r="I995" s="33" t="s">
        <v>196</v>
      </c>
      <c r="J995" s="34">
        <v>1289.53</v>
      </c>
      <c r="K995" s="34"/>
      <c r="L995" s="34">
        <v>1289.53</v>
      </c>
    </row>
    <row r="996" spans="2:12" x14ac:dyDescent="0.3">
      <c r="B996" s="25">
        <v>997</v>
      </c>
      <c r="C996" s="33">
        <v>32155</v>
      </c>
      <c r="D996" s="33" t="s">
        <v>394</v>
      </c>
      <c r="E996" s="35">
        <v>44491</v>
      </c>
      <c r="F996" s="33">
        <v>4</v>
      </c>
      <c r="G996" s="33" t="s">
        <v>122</v>
      </c>
      <c r="H996" s="33" t="s">
        <v>72</v>
      </c>
      <c r="I996" s="33" t="s">
        <v>196</v>
      </c>
      <c r="J996" s="34">
        <v>3614.5</v>
      </c>
      <c r="K996" s="34"/>
      <c r="L996" s="34">
        <v>3614.5</v>
      </c>
    </row>
    <row r="997" spans="2:12" x14ac:dyDescent="0.3">
      <c r="B997" s="25">
        <v>998</v>
      </c>
      <c r="C997" s="33">
        <v>32156</v>
      </c>
      <c r="D997" s="33" t="s">
        <v>394</v>
      </c>
      <c r="E997" s="35">
        <v>44491</v>
      </c>
      <c r="F997" s="33">
        <v>4</v>
      </c>
      <c r="G997" s="33" t="s">
        <v>122</v>
      </c>
      <c r="H997" s="33" t="s">
        <v>72</v>
      </c>
      <c r="I997" s="33" t="s">
        <v>196</v>
      </c>
      <c r="J997" s="34">
        <v>6696</v>
      </c>
      <c r="K997" s="34"/>
      <c r="L997" s="34">
        <v>6696</v>
      </c>
    </row>
    <row r="998" spans="2:12" x14ac:dyDescent="0.3">
      <c r="B998" s="25">
        <v>999</v>
      </c>
      <c r="C998" s="33">
        <v>32171</v>
      </c>
      <c r="D998" s="33" t="s">
        <v>659</v>
      </c>
      <c r="E998" s="35">
        <v>44495</v>
      </c>
      <c r="F998" s="33">
        <v>4</v>
      </c>
      <c r="G998" s="33" t="s">
        <v>122</v>
      </c>
      <c r="H998" s="33" t="s">
        <v>72</v>
      </c>
      <c r="I998" s="33" t="s">
        <v>196</v>
      </c>
      <c r="J998" s="34">
        <v>6887.7</v>
      </c>
      <c r="K998" s="34"/>
      <c r="L998" s="34">
        <v>6887.7</v>
      </c>
    </row>
    <row r="999" spans="2:12" x14ac:dyDescent="0.3">
      <c r="B999" s="25">
        <v>1000</v>
      </c>
      <c r="C999" s="33" t="s">
        <v>672</v>
      </c>
      <c r="D999" s="33" t="s">
        <v>613</v>
      </c>
      <c r="E999" s="35">
        <v>44498</v>
      </c>
      <c r="F999" s="33">
        <v>4</v>
      </c>
      <c r="G999" s="33" t="s">
        <v>124</v>
      </c>
      <c r="H999" s="33" t="s">
        <v>70</v>
      </c>
      <c r="I999" s="33" t="s">
        <v>197</v>
      </c>
      <c r="J999" s="34">
        <v>2546</v>
      </c>
      <c r="K999" s="34">
        <v>80</v>
      </c>
      <c r="L999" s="34">
        <v>2466</v>
      </c>
    </row>
    <row r="1000" spans="2:12" x14ac:dyDescent="0.3">
      <c r="B1000" s="25">
        <v>1001</v>
      </c>
      <c r="C1000" s="33" t="s">
        <v>673</v>
      </c>
      <c r="D1000" s="33" t="s">
        <v>420</v>
      </c>
      <c r="E1000" s="35">
        <v>44498</v>
      </c>
      <c r="F1000" s="33">
        <v>4</v>
      </c>
      <c r="G1000" s="33" t="s">
        <v>231</v>
      </c>
      <c r="H1000" s="33" t="s">
        <v>70</v>
      </c>
      <c r="I1000" s="33" t="s">
        <v>198</v>
      </c>
      <c r="J1000" s="34">
        <v>1018</v>
      </c>
      <c r="K1000" s="34">
        <v>85</v>
      </c>
      <c r="L1000" s="34">
        <v>933</v>
      </c>
    </row>
    <row r="1001" spans="2:12" x14ac:dyDescent="0.3">
      <c r="B1001" s="25">
        <v>1002</v>
      </c>
      <c r="C1001" s="33" t="s">
        <v>674</v>
      </c>
      <c r="D1001" s="33" t="s">
        <v>675</v>
      </c>
      <c r="E1001" s="35">
        <v>44498</v>
      </c>
      <c r="F1001" s="33">
        <v>4</v>
      </c>
      <c r="G1001" s="33" t="s">
        <v>231</v>
      </c>
      <c r="H1001" s="33" t="s">
        <v>70</v>
      </c>
      <c r="I1001" s="33" t="s">
        <v>198</v>
      </c>
      <c r="J1001" s="34">
        <v>1805</v>
      </c>
      <c r="K1001" s="34">
        <v>95</v>
      </c>
      <c r="L1001" s="34">
        <v>1710</v>
      </c>
    </row>
    <row r="1002" spans="2:12" x14ac:dyDescent="0.3">
      <c r="B1002" s="25">
        <v>1003</v>
      </c>
      <c r="C1002" s="33">
        <v>32232</v>
      </c>
      <c r="D1002" s="33" t="s">
        <v>233</v>
      </c>
      <c r="E1002" s="35">
        <v>44503</v>
      </c>
      <c r="F1002" s="33">
        <v>4</v>
      </c>
      <c r="G1002" s="33" t="s">
        <v>122</v>
      </c>
      <c r="H1002" s="33" t="s">
        <v>72</v>
      </c>
      <c r="I1002" s="33" t="s">
        <v>196</v>
      </c>
      <c r="J1002" s="34">
        <v>3944.4</v>
      </c>
      <c r="K1002" s="34"/>
      <c r="L1002" s="34">
        <v>3944.4</v>
      </c>
    </row>
    <row r="1003" spans="2:12" x14ac:dyDescent="0.3">
      <c r="B1003" s="25">
        <v>1004</v>
      </c>
      <c r="C1003" s="33">
        <v>5251</v>
      </c>
      <c r="D1003" s="33" t="s">
        <v>676</v>
      </c>
      <c r="E1003" s="35">
        <v>44495</v>
      </c>
      <c r="F1003" s="33">
        <v>4</v>
      </c>
      <c r="G1003" s="33" t="s">
        <v>124</v>
      </c>
      <c r="H1003" s="33" t="s">
        <v>201</v>
      </c>
      <c r="I1003" s="33" t="s">
        <v>197</v>
      </c>
      <c r="J1003" s="34">
        <v>390</v>
      </c>
      <c r="K1003" s="34">
        <v>80</v>
      </c>
      <c r="L1003" s="34">
        <v>310</v>
      </c>
    </row>
    <row r="1004" spans="2:12" x14ac:dyDescent="0.3">
      <c r="B1004" s="25">
        <v>1005</v>
      </c>
      <c r="C1004" s="33">
        <v>5370</v>
      </c>
      <c r="D1004" s="33" t="s">
        <v>473</v>
      </c>
      <c r="E1004" s="35">
        <v>44497</v>
      </c>
      <c r="F1004" s="33">
        <v>4</v>
      </c>
      <c r="G1004" s="33" t="s">
        <v>122</v>
      </c>
      <c r="H1004" s="33" t="s">
        <v>201</v>
      </c>
      <c r="I1004" s="33" t="s">
        <v>196</v>
      </c>
      <c r="J1004" s="34">
        <v>3386.18</v>
      </c>
      <c r="K1004" s="34"/>
      <c r="L1004" s="34">
        <v>3386.18</v>
      </c>
    </row>
    <row r="1005" spans="2:12" x14ac:dyDescent="0.3">
      <c r="B1005" s="25">
        <v>1006</v>
      </c>
      <c r="C1005" s="33">
        <v>5373</v>
      </c>
      <c r="D1005" s="33" t="s">
        <v>403</v>
      </c>
      <c r="E1005" s="35">
        <v>44497</v>
      </c>
      <c r="F1005" s="33">
        <v>4</v>
      </c>
      <c r="G1005" s="33" t="s">
        <v>122</v>
      </c>
      <c r="H1005" s="33" t="s">
        <v>201</v>
      </c>
      <c r="I1005" s="33" t="s">
        <v>196</v>
      </c>
      <c r="J1005" s="34">
        <v>2201.3200000000002</v>
      </c>
      <c r="K1005" s="34"/>
      <c r="L1005" s="34">
        <v>2201.3200000000002</v>
      </c>
    </row>
    <row r="1006" spans="2:12" x14ac:dyDescent="0.3">
      <c r="B1006" s="25">
        <v>1007</v>
      </c>
      <c r="C1006" s="33">
        <v>5374</v>
      </c>
      <c r="D1006" s="33" t="s">
        <v>411</v>
      </c>
      <c r="E1006" s="35">
        <v>44497</v>
      </c>
      <c r="F1006" s="33">
        <v>4</v>
      </c>
      <c r="G1006" s="33" t="s">
        <v>122</v>
      </c>
      <c r="H1006" s="33" t="s">
        <v>201</v>
      </c>
      <c r="I1006" s="33" t="s">
        <v>196</v>
      </c>
      <c r="J1006" s="34">
        <v>1239.48</v>
      </c>
      <c r="K1006" s="34"/>
      <c r="L1006" s="34">
        <v>1239.48</v>
      </c>
    </row>
    <row r="1007" spans="2:12" x14ac:dyDescent="0.3">
      <c r="B1007" s="25">
        <v>1008</v>
      </c>
      <c r="C1007" s="33">
        <v>5377</v>
      </c>
      <c r="D1007" s="33" t="s">
        <v>677</v>
      </c>
      <c r="E1007" s="35">
        <v>44497</v>
      </c>
      <c r="F1007" s="33">
        <v>4</v>
      </c>
      <c r="G1007" s="33" t="s">
        <v>124</v>
      </c>
      <c r="H1007" s="33" t="s">
        <v>201</v>
      </c>
      <c r="I1007" s="33" t="s">
        <v>197</v>
      </c>
      <c r="J1007" s="34">
        <v>4671.8100000000004</v>
      </c>
      <c r="K1007" s="34"/>
      <c r="L1007" s="34">
        <v>4671.8100000000004</v>
      </c>
    </row>
    <row r="1008" spans="2:12" x14ac:dyDescent="0.3">
      <c r="B1008" s="25">
        <v>1009</v>
      </c>
      <c r="C1008" s="33">
        <v>4451</v>
      </c>
      <c r="D1008" s="33" t="s">
        <v>518</v>
      </c>
      <c r="E1008" s="35">
        <v>44481</v>
      </c>
      <c r="F1008" s="33">
        <v>4</v>
      </c>
      <c r="G1008" s="33" t="s">
        <v>231</v>
      </c>
      <c r="H1008" s="33" t="s">
        <v>71</v>
      </c>
      <c r="I1008" s="33" t="s">
        <v>198</v>
      </c>
      <c r="J1008" s="34">
        <v>158.49</v>
      </c>
      <c r="K1008" s="34">
        <v>80</v>
      </c>
      <c r="L1008" s="34">
        <v>78.489999999999995</v>
      </c>
    </row>
    <row r="1009" spans="2:12" x14ac:dyDescent="0.3">
      <c r="B1009" s="25">
        <v>1010</v>
      </c>
      <c r="C1009" s="33">
        <v>4481</v>
      </c>
      <c r="D1009" s="33" t="s">
        <v>377</v>
      </c>
      <c r="E1009" s="35">
        <v>44483</v>
      </c>
      <c r="F1009" s="33">
        <v>4</v>
      </c>
      <c r="G1009" s="33" t="s">
        <v>124</v>
      </c>
      <c r="H1009" s="33" t="s">
        <v>71</v>
      </c>
      <c r="I1009" s="33" t="s">
        <v>197</v>
      </c>
      <c r="J1009" s="34">
        <v>691.33</v>
      </c>
      <c r="K1009" s="34">
        <v>80</v>
      </c>
      <c r="L1009" s="34">
        <v>611.33000000000004</v>
      </c>
    </row>
    <row r="1010" spans="2:12" x14ac:dyDescent="0.3">
      <c r="B1010" s="25">
        <v>1011</v>
      </c>
      <c r="C1010" s="33">
        <v>4484</v>
      </c>
      <c r="D1010" s="33" t="s">
        <v>277</v>
      </c>
      <c r="E1010" s="35">
        <v>44484</v>
      </c>
      <c r="F1010" s="33">
        <v>4</v>
      </c>
      <c r="G1010" s="33" t="s">
        <v>124</v>
      </c>
      <c r="H1010" s="33" t="s">
        <v>71</v>
      </c>
      <c r="I1010" s="33" t="s">
        <v>197</v>
      </c>
      <c r="J1010" s="34">
        <v>550.19000000000005</v>
      </c>
      <c r="K1010" s="34"/>
      <c r="L1010" s="34">
        <v>550.19000000000005</v>
      </c>
    </row>
    <row r="1011" spans="2:12" x14ac:dyDescent="0.3">
      <c r="B1011" s="25">
        <v>1012</v>
      </c>
      <c r="C1011" s="33">
        <v>4485</v>
      </c>
      <c r="D1011" s="33" t="s">
        <v>277</v>
      </c>
      <c r="E1011" s="35">
        <v>44484</v>
      </c>
      <c r="F1011" s="33">
        <v>4</v>
      </c>
      <c r="G1011" s="33" t="s">
        <v>124</v>
      </c>
      <c r="H1011" s="33" t="s">
        <v>71</v>
      </c>
      <c r="I1011" s="33" t="s">
        <v>197</v>
      </c>
      <c r="J1011" s="34">
        <v>1283.82</v>
      </c>
      <c r="K1011" s="34"/>
      <c r="L1011" s="34">
        <v>1283.82</v>
      </c>
    </row>
    <row r="1012" spans="2:12" x14ac:dyDescent="0.3">
      <c r="B1012" s="25">
        <v>1013</v>
      </c>
      <c r="C1012" s="33">
        <v>4493</v>
      </c>
      <c r="D1012" s="33" t="s">
        <v>678</v>
      </c>
      <c r="E1012" s="35">
        <v>44484</v>
      </c>
      <c r="F1012" s="33">
        <v>4</v>
      </c>
      <c r="G1012" s="33" t="s">
        <v>231</v>
      </c>
      <c r="H1012" s="33" t="s">
        <v>71</v>
      </c>
      <c r="I1012" s="33" t="s">
        <v>198</v>
      </c>
      <c r="J1012" s="34">
        <v>512.54</v>
      </c>
      <c r="K1012" s="34">
        <v>80</v>
      </c>
      <c r="L1012" s="34">
        <v>432.54</v>
      </c>
    </row>
    <row r="1013" spans="2:12" x14ac:dyDescent="0.3">
      <c r="B1013" s="25">
        <v>1014</v>
      </c>
      <c r="C1013" s="33">
        <v>4505</v>
      </c>
      <c r="D1013" s="33" t="s">
        <v>426</v>
      </c>
      <c r="E1013" s="35">
        <v>44487</v>
      </c>
      <c r="F1013" s="33">
        <v>4</v>
      </c>
      <c r="G1013" s="33" t="s">
        <v>232</v>
      </c>
      <c r="H1013" s="33" t="s">
        <v>71</v>
      </c>
      <c r="I1013" s="33" t="s">
        <v>75</v>
      </c>
      <c r="J1013" s="34">
        <v>1272.5</v>
      </c>
      <c r="K1013" s="34"/>
      <c r="L1013" s="34">
        <v>1272.5</v>
      </c>
    </row>
    <row r="1014" spans="2:12" x14ac:dyDescent="0.3">
      <c r="B1014" s="25">
        <v>1015</v>
      </c>
      <c r="C1014" s="33">
        <v>4506</v>
      </c>
      <c r="D1014" s="33" t="s">
        <v>426</v>
      </c>
      <c r="E1014" s="35">
        <v>44487</v>
      </c>
      <c r="F1014" s="33">
        <v>4</v>
      </c>
      <c r="G1014" s="33" t="s">
        <v>232</v>
      </c>
      <c r="H1014" s="33" t="s">
        <v>71</v>
      </c>
      <c r="I1014" s="33" t="s">
        <v>75</v>
      </c>
      <c r="J1014" s="34">
        <v>1473.76</v>
      </c>
      <c r="K1014" s="34"/>
      <c r="L1014" s="34">
        <v>1473.76</v>
      </c>
    </row>
    <row r="1015" spans="2:12" x14ac:dyDescent="0.3">
      <c r="B1015" s="25">
        <v>1016</v>
      </c>
      <c r="C1015" s="33">
        <v>4540</v>
      </c>
      <c r="D1015" s="33" t="s">
        <v>365</v>
      </c>
      <c r="E1015" s="35">
        <v>44488</v>
      </c>
      <c r="F1015" s="33">
        <v>4</v>
      </c>
      <c r="G1015" s="33" t="s">
        <v>124</v>
      </c>
      <c r="H1015" s="33" t="s">
        <v>71</v>
      </c>
      <c r="I1015" s="33" t="s">
        <v>197</v>
      </c>
      <c r="J1015" s="34">
        <v>501.14</v>
      </c>
      <c r="K1015" s="34">
        <v>80</v>
      </c>
      <c r="L1015" s="34">
        <v>421.14</v>
      </c>
    </row>
    <row r="1016" spans="2:12" x14ac:dyDescent="0.3">
      <c r="B1016" s="25">
        <v>1017</v>
      </c>
      <c r="C1016" s="33">
        <v>4546</v>
      </c>
      <c r="D1016" s="33" t="s">
        <v>278</v>
      </c>
      <c r="E1016" s="35">
        <v>44488</v>
      </c>
      <c r="F1016" s="33">
        <v>4</v>
      </c>
      <c r="G1016" s="33" t="s">
        <v>124</v>
      </c>
      <c r="H1016" s="33" t="s">
        <v>71</v>
      </c>
      <c r="I1016" s="33" t="s">
        <v>197</v>
      </c>
      <c r="J1016" s="34">
        <v>1138</v>
      </c>
      <c r="K1016" s="34"/>
      <c r="L1016" s="34">
        <v>1138</v>
      </c>
    </row>
    <row r="1017" spans="2:12" x14ac:dyDescent="0.3">
      <c r="B1017" s="25">
        <v>1018</v>
      </c>
      <c r="C1017" s="33">
        <v>4633</v>
      </c>
      <c r="D1017" s="33" t="s">
        <v>393</v>
      </c>
      <c r="E1017" s="35">
        <v>44490</v>
      </c>
      <c r="F1017" s="33">
        <v>4</v>
      </c>
      <c r="G1017" s="33" t="s">
        <v>122</v>
      </c>
      <c r="H1017" s="33" t="s">
        <v>71</v>
      </c>
      <c r="I1017" s="33" t="s">
        <v>196</v>
      </c>
      <c r="J1017" s="34">
        <v>221.08</v>
      </c>
      <c r="K1017" s="34">
        <v>80</v>
      </c>
      <c r="L1017" s="34">
        <v>141.08000000000001</v>
      </c>
    </row>
    <row r="1018" spans="2:12" x14ac:dyDescent="0.3">
      <c r="B1018" s="25">
        <v>1019</v>
      </c>
      <c r="C1018" s="33">
        <v>4636</v>
      </c>
      <c r="D1018" s="33" t="s">
        <v>675</v>
      </c>
      <c r="E1018" s="35">
        <v>44490</v>
      </c>
      <c r="F1018" s="33">
        <v>4</v>
      </c>
      <c r="G1018" s="33" t="s">
        <v>232</v>
      </c>
      <c r="H1018" s="33" t="s">
        <v>71</v>
      </c>
      <c r="I1018" s="33" t="s">
        <v>75</v>
      </c>
      <c r="J1018" s="34">
        <v>611.38</v>
      </c>
      <c r="K1018" s="34">
        <v>80</v>
      </c>
      <c r="L1018" s="34">
        <v>531.38</v>
      </c>
    </row>
    <row r="1019" spans="2:12" x14ac:dyDescent="0.3">
      <c r="B1019" s="25">
        <v>1020</v>
      </c>
      <c r="C1019" s="33">
        <v>4651</v>
      </c>
      <c r="D1019" s="33" t="s">
        <v>420</v>
      </c>
      <c r="E1019" s="35">
        <v>44490</v>
      </c>
      <c r="F1019" s="33">
        <v>4</v>
      </c>
      <c r="G1019" s="33" t="s">
        <v>232</v>
      </c>
      <c r="H1019" s="33" t="s">
        <v>71</v>
      </c>
      <c r="I1019" s="33" t="s">
        <v>75</v>
      </c>
      <c r="J1019" s="34">
        <v>489.12</v>
      </c>
      <c r="K1019" s="34">
        <v>80</v>
      </c>
      <c r="L1019" s="34">
        <v>409.12</v>
      </c>
    </row>
    <row r="1020" spans="2:12" x14ac:dyDescent="0.3">
      <c r="B1020" s="25">
        <v>1021</v>
      </c>
      <c r="C1020" s="33">
        <v>4658</v>
      </c>
      <c r="D1020" s="33" t="s">
        <v>277</v>
      </c>
      <c r="E1020" s="35">
        <v>44491</v>
      </c>
      <c r="F1020" s="33">
        <v>4</v>
      </c>
      <c r="G1020" s="33" t="s">
        <v>124</v>
      </c>
      <c r="H1020" s="33" t="s">
        <v>71</v>
      </c>
      <c r="I1020" s="33" t="s">
        <v>197</v>
      </c>
      <c r="J1020" s="34">
        <v>767.1</v>
      </c>
      <c r="K1020" s="34"/>
      <c r="L1020" s="34">
        <v>767.1</v>
      </c>
    </row>
    <row r="1021" spans="2:12" x14ac:dyDescent="0.3">
      <c r="B1021" s="25">
        <v>1022</v>
      </c>
      <c r="C1021" s="33">
        <v>4659</v>
      </c>
      <c r="D1021" s="33" t="s">
        <v>277</v>
      </c>
      <c r="E1021" s="35">
        <v>44491</v>
      </c>
      <c r="F1021" s="33">
        <v>4</v>
      </c>
      <c r="G1021" s="33" t="s">
        <v>124</v>
      </c>
      <c r="H1021" s="33" t="s">
        <v>71</v>
      </c>
      <c r="I1021" s="33" t="s">
        <v>197</v>
      </c>
      <c r="J1021" s="34">
        <v>363.97</v>
      </c>
      <c r="K1021" s="34"/>
      <c r="L1021" s="34">
        <v>363.97</v>
      </c>
    </row>
    <row r="1022" spans="2:12" x14ac:dyDescent="0.3">
      <c r="B1022" s="25">
        <v>1023</v>
      </c>
      <c r="C1022" s="33">
        <v>4684</v>
      </c>
      <c r="D1022" s="33" t="s">
        <v>384</v>
      </c>
      <c r="E1022" s="35">
        <v>44491</v>
      </c>
      <c r="F1022" s="33">
        <v>4</v>
      </c>
      <c r="G1022" s="33" t="s">
        <v>124</v>
      </c>
      <c r="H1022" s="33" t="s">
        <v>71</v>
      </c>
      <c r="I1022" s="33" t="s">
        <v>197</v>
      </c>
      <c r="J1022" s="34">
        <v>742.41</v>
      </c>
      <c r="K1022" s="34"/>
      <c r="L1022" s="34">
        <v>742.41</v>
      </c>
    </row>
    <row r="1023" spans="2:12" x14ac:dyDescent="0.3">
      <c r="B1023" s="25">
        <v>1024</v>
      </c>
      <c r="C1023" s="33">
        <v>4691</v>
      </c>
      <c r="D1023" s="33" t="s">
        <v>678</v>
      </c>
      <c r="E1023" s="35">
        <v>44494</v>
      </c>
      <c r="F1023" s="33">
        <v>4</v>
      </c>
      <c r="G1023" s="33" t="s">
        <v>231</v>
      </c>
      <c r="H1023" s="33" t="s">
        <v>71</v>
      </c>
      <c r="I1023" s="33" t="s">
        <v>198</v>
      </c>
      <c r="J1023" s="34">
        <v>502.9</v>
      </c>
      <c r="K1023" s="34">
        <v>80</v>
      </c>
      <c r="L1023" s="34">
        <v>422.9</v>
      </c>
    </row>
    <row r="1024" spans="2:12" x14ac:dyDescent="0.3">
      <c r="B1024" s="25">
        <v>1025</v>
      </c>
      <c r="C1024" s="33">
        <v>4695</v>
      </c>
      <c r="D1024" s="33" t="s">
        <v>386</v>
      </c>
      <c r="E1024" s="35">
        <v>44494</v>
      </c>
      <c r="F1024" s="33">
        <v>4</v>
      </c>
      <c r="G1024" s="33" t="s">
        <v>124</v>
      </c>
      <c r="H1024" s="33" t="s">
        <v>71</v>
      </c>
      <c r="I1024" s="33" t="s">
        <v>197</v>
      </c>
      <c r="J1024" s="34">
        <v>813.59</v>
      </c>
      <c r="K1024" s="34">
        <v>80</v>
      </c>
      <c r="L1024" s="34">
        <v>733.59</v>
      </c>
    </row>
    <row r="1025" spans="2:12" x14ac:dyDescent="0.3">
      <c r="B1025" s="25">
        <v>1026</v>
      </c>
      <c r="C1025" s="33">
        <v>4730</v>
      </c>
      <c r="D1025" s="33" t="s">
        <v>654</v>
      </c>
      <c r="E1025" s="35">
        <v>44495</v>
      </c>
      <c r="F1025" s="33">
        <v>4</v>
      </c>
      <c r="G1025" s="33" t="s">
        <v>232</v>
      </c>
      <c r="H1025" s="33" t="s">
        <v>71</v>
      </c>
      <c r="I1025" s="33" t="s">
        <v>75</v>
      </c>
      <c r="J1025" s="34">
        <v>262.68</v>
      </c>
      <c r="K1025" s="34">
        <v>80</v>
      </c>
      <c r="L1025" s="34">
        <v>182.68</v>
      </c>
    </row>
    <row r="1026" spans="2:12" x14ac:dyDescent="0.3">
      <c r="B1026" s="25">
        <v>1027</v>
      </c>
      <c r="C1026" s="33">
        <v>4745</v>
      </c>
      <c r="D1026" s="33" t="s">
        <v>679</v>
      </c>
      <c r="E1026" s="35">
        <v>44496</v>
      </c>
      <c r="F1026" s="33">
        <v>4</v>
      </c>
      <c r="G1026" s="33" t="s">
        <v>124</v>
      </c>
      <c r="H1026" s="33" t="s">
        <v>71</v>
      </c>
      <c r="I1026" s="33" t="s">
        <v>197</v>
      </c>
      <c r="J1026" s="34">
        <v>1388</v>
      </c>
      <c r="K1026" s="34"/>
      <c r="L1026" s="34">
        <v>1388</v>
      </c>
    </row>
    <row r="1027" spans="2:12" x14ac:dyDescent="0.3">
      <c r="B1027" s="25">
        <v>1029</v>
      </c>
      <c r="C1027" s="33">
        <v>958</v>
      </c>
      <c r="D1027" s="33" t="s">
        <v>275</v>
      </c>
      <c r="E1027" s="35">
        <v>44515</v>
      </c>
      <c r="F1027" s="33">
        <v>4</v>
      </c>
      <c r="G1027" s="33" t="s">
        <v>124</v>
      </c>
      <c r="H1027" s="33" t="s">
        <v>71</v>
      </c>
      <c r="I1027" s="33" t="s">
        <v>197</v>
      </c>
      <c r="J1027" s="34">
        <v>1005.39</v>
      </c>
      <c r="K1027" s="34"/>
      <c r="L1027" s="34">
        <v>1005.39</v>
      </c>
    </row>
    <row r="1028" spans="2:12" x14ac:dyDescent="0.3">
      <c r="B1028" s="25">
        <v>1030</v>
      </c>
      <c r="C1028" s="33">
        <v>32247</v>
      </c>
      <c r="D1028" s="33" t="s">
        <v>394</v>
      </c>
      <c r="E1028" s="35">
        <v>44508</v>
      </c>
      <c r="F1028" s="33">
        <v>4</v>
      </c>
      <c r="G1028" s="33" t="s">
        <v>122</v>
      </c>
      <c r="H1028" s="33" t="s">
        <v>72</v>
      </c>
      <c r="I1028" s="33" t="s">
        <v>196</v>
      </c>
      <c r="J1028" s="34">
        <v>2423</v>
      </c>
      <c r="K1028" s="34"/>
      <c r="L1028" s="34">
        <v>2423</v>
      </c>
    </row>
    <row r="1029" spans="2:12" x14ac:dyDescent="0.3">
      <c r="B1029" s="25">
        <v>1032</v>
      </c>
      <c r="C1029" s="33">
        <v>32269</v>
      </c>
      <c r="D1029" s="33" t="s">
        <v>394</v>
      </c>
      <c r="E1029" s="35">
        <v>44512</v>
      </c>
      <c r="F1029" s="33">
        <v>4</v>
      </c>
      <c r="G1029" s="33" t="s">
        <v>122</v>
      </c>
      <c r="H1029" s="33" t="s">
        <v>72</v>
      </c>
      <c r="I1029" s="33" t="s">
        <v>196</v>
      </c>
      <c r="J1029" s="34">
        <v>855.4</v>
      </c>
      <c r="K1029" s="34"/>
      <c r="L1029" s="34">
        <v>855.4</v>
      </c>
    </row>
    <row r="1030" spans="2:12" x14ac:dyDescent="0.3">
      <c r="B1030" s="25">
        <v>1033</v>
      </c>
      <c r="C1030" s="33">
        <v>32270</v>
      </c>
      <c r="D1030" s="33" t="s">
        <v>596</v>
      </c>
      <c r="E1030" s="35">
        <v>44512</v>
      </c>
      <c r="F1030" s="33">
        <v>4</v>
      </c>
      <c r="G1030" s="33" t="s">
        <v>122</v>
      </c>
      <c r="H1030" s="33" t="s">
        <v>72</v>
      </c>
      <c r="I1030" s="33" t="s">
        <v>196</v>
      </c>
      <c r="J1030" s="34">
        <v>2883.9</v>
      </c>
      <c r="K1030" s="34"/>
      <c r="L1030" s="34">
        <v>2883.9</v>
      </c>
    </row>
    <row r="1031" spans="2:12" x14ac:dyDescent="0.3">
      <c r="B1031" s="25">
        <v>1034</v>
      </c>
      <c r="C1031" s="33">
        <v>5471</v>
      </c>
      <c r="D1031" s="33" t="s">
        <v>756</v>
      </c>
      <c r="E1031" s="35">
        <v>44502</v>
      </c>
      <c r="F1031" s="33">
        <v>4</v>
      </c>
      <c r="G1031" s="33" t="s">
        <v>122</v>
      </c>
      <c r="H1031" s="33" t="s">
        <v>201</v>
      </c>
      <c r="I1031" s="33" t="s">
        <v>196</v>
      </c>
      <c r="J1031" s="34">
        <v>-101.2</v>
      </c>
      <c r="K1031" s="34"/>
      <c r="L1031" s="34">
        <v>-101.2</v>
      </c>
    </row>
    <row r="1032" spans="2:12" x14ac:dyDescent="0.3">
      <c r="B1032" s="25">
        <v>1035</v>
      </c>
      <c r="C1032" s="33">
        <v>5560</v>
      </c>
      <c r="D1032" s="33" t="s">
        <v>635</v>
      </c>
      <c r="E1032" s="35">
        <v>44504</v>
      </c>
      <c r="F1032" s="33">
        <v>4</v>
      </c>
      <c r="G1032" s="33" t="s">
        <v>231</v>
      </c>
      <c r="H1032" s="33" t="s">
        <v>201</v>
      </c>
      <c r="I1032" s="33" t="s">
        <v>198</v>
      </c>
      <c r="J1032" s="34">
        <v>781.8</v>
      </c>
      <c r="K1032" s="34">
        <v>80</v>
      </c>
      <c r="L1032" s="34">
        <v>701.8</v>
      </c>
    </row>
    <row r="1033" spans="2:12" x14ac:dyDescent="0.3">
      <c r="B1033" s="25">
        <v>1036</v>
      </c>
      <c r="C1033" s="33">
        <v>5564</v>
      </c>
      <c r="D1033" s="33" t="s">
        <v>574</v>
      </c>
      <c r="E1033" s="35">
        <v>44504</v>
      </c>
      <c r="F1033" s="33">
        <v>4</v>
      </c>
      <c r="G1033" s="33" t="s">
        <v>124</v>
      </c>
      <c r="H1033" s="33" t="s">
        <v>201</v>
      </c>
      <c r="I1033" s="33" t="s">
        <v>197</v>
      </c>
      <c r="J1033" s="34">
        <v>3407.8</v>
      </c>
      <c r="K1033" s="34"/>
      <c r="L1033" s="34">
        <v>3407.8</v>
      </c>
    </row>
    <row r="1034" spans="2:12" x14ac:dyDescent="0.3">
      <c r="B1034" s="25">
        <v>1037</v>
      </c>
      <c r="C1034" s="33">
        <v>5567</v>
      </c>
      <c r="D1034" s="33" t="s">
        <v>473</v>
      </c>
      <c r="E1034" s="35">
        <v>44504</v>
      </c>
      <c r="F1034" s="33">
        <v>4</v>
      </c>
      <c r="G1034" s="33" t="s">
        <v>122</v>
      </c>
      <c r="H1034" s="33" t="s">
        <v>201</v>
      </c>
      <c r="I1034" s="33" t="s">
        <v>196</v>
      </c>
      <c r="J1034" s="34">
        <v>2199.77</v>
      </c>
      <c r="K1034" s="34"/>
      <c r="L1034" s="34">
        <v>2199.77</v>
      </c>
    </row>
    <row r="1035" spans="2:12" x14ac:dyDescent="0.3">
      <c r="B1035" s="25">
        <v>1038</v>
      </c>
      <c r="C1035" s="33">
        <v>5568</v>
      </c>
      <c r="D1035" s="33" t="s">
        <v>581</v>
      </c>
      <c r="E1035" s="35">
        <v>44504</v>
      </c>
      <c r="F1035" s="33">
        <v>4</v>
      </c>
      <c r="G1035" s="33" t="s">
        <v>124</v>
      </c>
      <c r="H1035" s="33" t="s">
        <v>201</v>
      </c>
      <c r="I1035" s="33" t="s">
        <v>197</v>
      </c>
      <c r="J1035" s="34">
        <v>1880.45</v>
      </c>
      <c r="K1035" s="34"/>
      <c r="L1035" s="34">
        <v>1880.45</v>
      </c>
    </row>
    <row r="1036" spans="2:12" x14ac:dyDescent="0.3">
      <c r="B1036" s="25">
        <v>1039</v>
      </c>
      <c r="C1036" s="33">
        <v>5569</v>
      </c>
      <c r="D1036" s="33" t="s">
        <v>633</v>
      </c>
      <c r="E1036" s="35">
        <v>44504</v>
      </c>
      <c r="F1036" s="33">
        <v>4</v>
      </c>
      <c r="G1036" s="33" t="s">
        <v>231</v>
      </c>
      <c r="H1036" s="33" t="s">
        <v>201</v>
      </c>
      <c r="I1036" s="33" t="s">
        <v>198</v>
      </c>
      <c r="J1036" s="34">
        <v>2378.4</v>
      </c>
      <c r="K1036" s="34"/>
      <c r="L1036" s="34">
        <v>2378.4</v>
      </c>
    </row>
    <row r="1037" spans="2:12" x14ac:dyDescent="0.3">
      <c r="B1037" s="25">
        <v>1040</v>
      </c>
      <c r="C1037" s="33">
        <v>5579</v>
      </c>
      <c r="D1037" s="33" t="s">
        <v>362</v>
      </c>
      <c r="E1037" s="35">
        <v>44504</v>
      </c>
      <c r="F1037" s="33">
        <v>4</v>
      </c>
      <c r="G1037" s="33" t="s">
        <v>124</v>
      </c>
      <c r="H1037" s="33" t="s">
        <v>201</v>
      </c>
      <c r="I1037" s="33" t="s">
        <v>197</v>
      </c>
      <c r="J1037" s="34">
        <v>942.16</v>
      </c>
      <c r="K1037" s="34"/>
      <c r="L1037" s="34">
        <v>942.16</v>
      </c>
    </row>
    <row r="1038" spans="2:12" x14ac:dyDescent="0.3">
      <c r="B1038" s="25">
        <v>1041</v>
      </c>
      <c r="C1038" s="33">
        <v>5586</v>
      </c>
      <c r="D1038" s="33" t="s">
        <v>362</v>
      </c>
      <c r="E1038" s="35">
        <v>44504</v>
      </c>
      <c r="F1038" s="33">
        <v>4</v>
      </c>
      <c r="G1038" s="33" t="s">
        <v>124</v>
      </c>
      <c r="H1038" s="33" t="s">
        <v>201</v>
      </c>
      <c r="I1038" s="33" t="s">
        <v>197</v>
      </c>
      <c r="J1038" s="34">
        <v>1820.44</v>
      </c>
      <c r="K1038" s="34"/>
      <c r="L1038" s="34">
        <v>1820.44</v>
      </c>
    </row>
    <row r="1039" spans="2:12" x14ac:dyDescent="0.3">
      <c r="B1039" s="25">
        <v>1042</v>
      </c>
      <c r="C1039" s="33">
        <v>32295</v>
      </c>
      <c r="D1039" s="33" t="s">
        <v>395</v>
      </c>
      <c r="E1039" s="35">
        <v>44518</v>
      </c>
      <c r="F1039" s="33">
        <v>4</v>
      </c>
      <c r="G1039" s="33" t="s">
        <v>122</v>
      </c>
      <c r="H1039" s="33" t="s">
        <v>72</v>
      </c>
      <c r="I1039" s="33" t="s">
        <v>196</v>
      </c>
      <c r="J1039" s="34">
        <v>6885</v>
      </c>
      <c r="K1039" s="34"/>
      <c r="L1039" s="34">
        <v>6885</v>
      </c>
    </row>
    <row r="1040" spans="2:12" x14ac:dyDescent="0.3">
      <c r="B1040" s="25">
        <v>1043</v>
      </c>
      <c r="C1040" s="33">
        <v>27470</v>
      </c>
      <c r="D1040" s="33" t="s">
        <v>390</v>
      </c>
      <c r="E1040" s="35">
        <v>44516</v>
      </c>
      <c r="F1040" s="33">
        <v>4</v>
      </c>
      <c r="G1040" s="33" t="s">
        <v>122</v>
      </c>
      <c r="H1040" s="33" t="s">
        <v>73</v>
      </c>
      <c r="I1040" s="33" t="s">
        <v>196</v>
      </c>
      <c r="J1040" s="34">
        <v>234.97</v>
      </c>
      <c r="K1040" s="34"/>
      <c r="L1040" s="34">
        <v>234.97</v>
      </c>
    </row>
    <row r="1041" spans="2:12" x14ac:dyDescent="0.3">
      <c r="B1041" s="25">
        <v>1044</v>
      </c>
      <c r="C1041" s="33">
        <v>32310</v>
      </c>
      <c r="D1041" s="33" t="s">
        <v>680</v>
      </c>
      <c r="E1041" s="35">
        <v>44518</v>
      </c>
      <c r="F1041" s="33">
        <v>4</v>
      </c>
      <c r="G1041" s="33" t="s">
        <v>122</v>
      </c>
      <c r="H1041" s="33" t="s">
        <v>72</v>
      </c>
      <c r="I1041" s="33" t="s">
        <v>196</v>
      </c>
      <c r="J1041" s="34">
        <v>7758.5</v>
      </c>
      <c r="K1041" s="34"/>
      <c r="L1041" s="34">
        <v>7758.5</v>
      </c>
    </row>
    <row r="1042" spans="2:12" x14ac:dyDescent="0.3">
      <c r="B1042" s="25">
        <v>1045</v>
      </c>
      <c r="C1042" s="33">
        <v>4992</v>
      </c>
      <c r="D1042" s="33" t="s">
        <v>681</v>
      </c>
      <c r="E1042" s="35">
        <v>44515</v>
      </c>
      <c r="F1042" s="33">
        <v>4</v>
      </c>
      <c r="G1042" s="33" t="s">
        <v>122</v>
      </c>
      <c r="H1042" s="33" t="s">
        <v>71</v>
      </c>
      <c r="I1042" s="33" t="s">
        <v>196</v>
      </c>
      <c r="J1042" s="34">
        <v>459.07</v>
      </c>
      <c r="K1042" s="34"/>
      <c r="L1042" s="34">
        <v>459.07</v>
      </c>
    </row>
    <row r="1043" spans="2:12" x14ac:dyDescent="0.3">
      <c r="B1043" s="25">
        <v>1046</v>
      </c>
      <c r="C1043" s="33">
        <v>32347</v>
      </c>
      <c r="D1043" s="33" t="s">
        <v>682</v>
      </c>
      <c r="E1043" s="35">
        <v>44523</v>
      </c>
      <c r="F1043" s="33">
        <v>4</v>
      </c>
      <c r="G1043" s="33" t="s">
        <v>122</v>
      </c>
      <c r="H1043" s="33" t="s">
        <v>72</v>
      </c>
      <c r="I1043" s="33" t="s">
        <v>196</v>
      </c>
      <c r="J1043" s="34">
        <v>3245.8</v>
      </c>
      <c r="K1043" s="34"/>
      <c r="L1043" s="34">
        <v>3245.8</v>
      </c>
    </row>
    <row r="1044" spans="2:12" x14ac:dyDescent="0.3">
      <c r="B1044" s="25">
        <v>1047</v>
      </c>
      <c r="C1044" s="33">
        <v>5700</v>
      </c>
      <c r="D1044" s="33" t="s">
        <v>683</v>
      </c>
      <c r="E1044" s="35">
        <v>44510</v>
      </c>
      <c r="F1044" s="33">
        <v>4</v>
      </c>
      <c r="G1044" s="33" t="s">
        <v>231</v>
      </c>
      <c r="H1044" s="33" t="s">
        <v>201</v>
      </c>
      <c r="I1044" s="33" t="s">
        <v>198</v>
      </c>
      <c r="J1044" s="34">
        <v>19.600000000000001</v>
      </c>
      <c r="K1044" s="34">
        <v>10</v>
      </c>
      <c r="L1044" s="34">
        <v>9.6</v>
      </c>
    </row>
    <row r="1045" spans="2:12" x14ac:dyDescent="0.3">
      <c r="B1045" s="25">
        <v>1048</v>
      </c>
      <c r="C1045" s="33">
        <v>5799</v>
      </c>
      <c r="D1045" s="33" t="s">
        <v>473</v>
      </c>
      <c r="E1045" s="35">
        <v>44511</v>
      </c>
      <c r="F1045" s="33">
        <v>4</v>
      </c>
      <c r="G1045" s="33" t="s">
        <v>122</v>
      </c>
      <c r="H1045" s="33" t="s">
        <v>201</v>
      </c>
      <c r="I1045" s="33" t="s">
        <v>196</v>
      </c>
      <c r="J1045" s="34">
        <v>781.38</v>
      </c>
      <c r="K1045" s="34"/>
      <c r="L1045" s="34">
        <v>781.38</v>
      </c>
    </row>
    <row r="1046" spans="2:12" x14ac:dyDescent="0.3">
      <c r="B1046" s="25">
        <v>1049</v>
      </c>
      <c r="C1046" s="33">
        <v>5801</v>
      </c>
      <c r="D1046" s="33" t="s">
        <v>633</v>
      </c>
      <c r="E1046" s="35">
        <v>44511</v>
      </c>
      <c r="F1046" s="33">
        <v>4</v>
      </c>
      <c r="G1046" s="33" t="s">
        <v>231</v>
      </c>
      <c r="H1046" s="33" t="s">
        <v>201</v>
      </c>
      <c r="I1046" s="33" t="s">
        <v>198</v>
      </c>
      <c r="J1046" s="34">
        <v>4457.3999999999996</v>
      </c>
      <c r="K1046" s="34"/>
      <c r="L1046" s="34">
        <v>4457.3999999999996</v>
      </c>
    </row>
    <row r="1047" spans="2:12" x14ac:dyDescent="0.3">
      <c r="B1047" s="25">
        <v>1050</v>
      </c>
      <c r="C1047" s="33">
        <v>5803</v>
      </c>
      <c r="D1047" s="33" t="s">
        <v>609</v>
      </c>
      <c r="E1047" s="35">
        <v>44511</v>
      </c>
      <c r="F1047" s="33">
        <v>4</v>
      </c>
      <c r="G1047" s="33" t="s">
        <v>124</v>
      </c>
      <c r="H1047" s="33" t="s">
        <v>201</v>
      </c>
      <c r="I1047" s="33" t="s">
        <v>197</v>
      </c>
      <c r="J1047" s="34">
        <v>1435.5</v>
      </c>
      <c r="K1047" s="34"/>
      <c r="L1047" s="34">
        <v>1435.5</v>
      </c>
    </row>
    <row r="1048" spans="2:12" x14ac:dyDescent="0.3">
      <c r="B1048" s="25">
        <v>1051</v>
      </c>
      <c r="C1048" s="33">
        <v>5805</v>
      </c>
      <c r="D1048" s="33" t="s">
        <v>584</v>
      </c>
      <c r="E1048" s="35">
        <v>44511</v>
      </c>
      <c r="F1048" s="33">
        <v>4</v>
      </c>
      <c r="G1048" s="33" t="s">
        <v>122</v>
      </c>
      <c r="H1048" s="33" t="s">
        <v>201</v>
      </c>
      <c r="I1048" s="33" t="s">
        <v>196</v>
      </c>
      <c r="J1048" s="34">
        <v>5023.67</v>
      </c>
      <c r="K1048" s="34"/>
      <c r="L1048" s="34">
        <v>5023.67</v>
      </c>
    </row>
    <row r="1049" spans="2:12" x14ac:dyDescent="0.3">
      <c r="B1049" s="25">
        <v>1052</v>
      </c>
      <c r="C1049" s="33">
        <v>5811</v>
      </c>
      <c r="D1049" s="33" t="s">
        <v>660</v>
      </c>
      <c r="E1049" s="35">
        <v>44511</v>
      </c>
      <c r="F1049" s="33">
        <v>4</v>
      </c>
      <c r="G1049" s="33" t="s">
        <v>124</v>
      </c>
      <c r="H1049" s="33" t="s">
        <v>201</v>
      </c>
      <c r="I1049" s="33" t="s">
        <v>197</v>
      </c>
      <c r="J1049" s="34">
        <v>2042.75</v>
      </c>
      <c r="K1049" s="34"/>
      <c r="L1049" s="34">
        <v>2042.75</v>
      </c>
    </row>
    <row r="1050" spans="2:12" x14ac:dyDescent="0.3">
      <c r="B1050" s="25">
        <v>1053</v>
      </c>
      <c r="C1050" s="33">
        <v>5812</v>
      </c>
      <c r="D1050" s="33" t="s">
        <v>362</v>
      </c>
      <c r="E1050" s="35">
        <v>44511</v>
      </c>
      <c r="F1050" s="33">
        <v>4</v>
      </c>
      <c r="G1050" s="33" t="s">
        <v>124</v>
      </c>
      <c r="H1050" s="33" t="s">
        <v>201</v>
      </c>
      <c r="I1050" s="33" t="s">
        <v>197</v>
      </c>
      <c r="J1050" s="34">
        <v>756.8</v>
      </c>
      <c r="K1050" s="34"/>
      <c r="L1050" s="34">
        <v>756.8</v>
      </c>
    </row>
    <row r="1051" spans="2:12" x14ac:dyDescent="0.3">
      <c r="B1051" s="25">
        <v>1054</v>
      </c>
      <c r="C1051" s="33">
        <v>5816</v>
      </c>
      <c r="D1051" s="33" t="s">
        <v>400</v>
      </c>
      <c r="E1051" s="35">
        <v>44511</v>
      </c>
      <c r="F1051" s="33">
        <v>4</v>
      </c>
      <c r="G1051" s="33" t="s">
        <v>231</v>
      </c>
      <c r="H1051" s="33" t="s">
        <v>201</v>
      </c>
      <c r="I1051" s="33" t="s">
        <v>198</v>
      </c>
      <c r="J1051" s="34">
        <v>1392.38</v>
      </c>
      <c r="K1051" s="34"/>
      <c r="L1051" s="34">
        <v>1392.38</v>
      </c>
    </row>
    <row r="1052" spans="2:12" x14ac:dyDescent="0.3">
      <c r="B1052" s="25">
        <v>1055</v>
      </c>
      <c r="C1052" s="33">
        <v>5959</v>
      </c>
      <c r="D1052" s="33" t="s">
        <v>608</v>
      </c>
      <c r="E1052" s="35">
        <v>44518</v>
      </c>
      <c r="F1052" s="33">
        <v>4</v>
      </c>
      <c r="G1052" s="33" t="s">
        <v>124</v>
      </c>
      <c r="H1052" s="33" t="s">
        <v>201</v>
      </c>
      <c r="I1052" s="33" t="s">
        <v>197</v>
      </c>
      <c r="J1052" s="34">
        <v>1278.51</v>
      </c>
      <c r="K1052" s="34"/>
      <c r="L1052" s="34">
        <v>1278.51</v>
      </c>
    </row>
    <row r="1053" spans="2:12" x14ac:dyDescent="0.3">
      <c r="B1053" s="25">
        <v>1056</v>
      </c>
      <c r="C1053" s="33">
        <v>5960</v>
      </c>
      <c r="D1053" s="33" t="s">
        <v>684</v>
      </c>
      <c r="E1053" s="35">
        <v>44518</v>
      </c>
      <c r="F1053" s="33">
        <v>4</v>
      </c>
      <c r="G1053" s="33" t="s">
        <v>231</v>
      </c>
      <c r="H1053" s="33" t="s">
        <v>201</v>
      </c>
      <c r="I1053" s="33" t="s">
        <v>198</v>
      </c>
      <c r="J1053" s="34">
        <v>640.55999999999995</v>
      </c>
      <c r="K1053" s="34">
        <v>80</v>
      </c>
      <c r="L1053" s="34">
        <v>560.55999999999995</v>
      </c>
    </row>
    <row r="1054" spans="2:12" x14ac:dyDescent="0.3">
      <c r="B1054" s="25">
        <v>1057</v>
      </c>
      <c r="C1054" s="33">
        <v>5963</v>
      </c>
      <c r="D1054" s="33" t="s">
        <v>685</v>
      </c>
      <c r="E1054" s="35">
        <v>44518</v>
      </c>
      <c r="F1054" s="33">
        <v>4</v>
      </c>
      <c r="G1054" s="33" t="s">
        <v>124</v>
      </c>
      <c r="H1054" s="33" t="s">
        <v>201</v>
      </c>
      <c r="I1054" s="33" t="s">
        <v>197</v>
      </c>
      <c r="J1054" s="34">
        <v>3960</v>
      </c>
      <c r="K1054" s="34"/>
      <c r="L1054" s="34">
        <v>3960</v>
      </c>
    </row>
    <row r="1055" spans="2:12" x14ac:dyDescent="0.3">
      <c r="B1055" s="25">
        <v>1058</v>
      </c>
      <c r="C1055" s="33">
        <v>5965</v>
      </c>
      <c r="D1055" s="33" t="s">
        <v>556</v>
      </c>
      <c r="E1055" s="35">
        <v>44518</v>
      </c>
      <c r="F1055" s="33">
        <v>4</v>
      </c>
      <c r="G1055" s="33" t="s">
        <v>124</v>
      </c>
      <c r="H1055" s="33" t="s">
        <v>201</v>
      </c>
      <c r="I1055" s="33" t="s">
        <v>197</v>
      </c>
      <c r="J1055" s="34">
        <v>3178.85</v>
      </c>
      <c r="K1055" s="34"/>
      <c r="L1055" s="34">
        <v>3178.85</v>
      </c>
    </row>
    <row r="1056" spans="2:12" x14ac:dyDescent="0.3">
      <c r="B1056" s="25">
        <v>1059</v>
      </c>
      <c r="C1056" s="33">
        <v>5974</v>
      </c>
      <c r="D1056" s="33" t="s">
        <v>572</v>
      </c>
      <c r="E1056" s="35">
        <v>44518</v>
      </c>
      <c r="F1056" s="33">
        <v>4</v>
      </c>
      <c r="G1056" s="33" t="s">
        <v>231</v>
      </c>
      <c r="H1056" s="33" t="s">
        <v>201</v>
      </c>
      <c r="I1056" s="33" t="s">
        <v>198</v>
      </c>
      <c r="J1056" s="34">
        <v>2842.4</v>
      </c>
      <c r="K1056" s="34"/>
      <c r="L1056" s="34">
        <v>2842.4</v>
      </c>
    </row>
    <row r="1057" spans="2:12" x14ac:dyDescent="0.3">
      <c r="B1057" s="25">
        <v>1060</v>
      </c>
      <c r="C1057" s="33">
        <v>5979</v>
      </c>
      <c r="D1057" s="33" t="s">
        <v>538</v>
      </c>
      <c r="E1057" s="35">
        <v>44518</v>
      </c>
      <c r="F1057" s="33">
        <v>4</v>
      </c>
      <c r="G1057" s="33" t="s">
        <v>231</v>
      </c>
      <c r="H1057" s="33" t="s">
        <v>201</v>
      </c>
      <c r="I1057" s="33" t="s">
        <v>198</v>
      </c>
      <c r="J1057" s="34">
        <v>370.47</v>
      </c>
      <c r="K1057" s="34">
        <v>80</v>
      </c>
      <c r="L1057" s="34">
        <v>290.47000000000003</v>
      </c>
    </row>
    <row r="1058" spans="2:12" x14ac:dyDescent="0.3">
      <c r="B1058" s="25">
        <v>1061</v>
      </c>
      <c r="C1058" s="33">
        <v>18747</v>
      </c>
      <c r="D1058" s="33" t="s">
        <v>686</v>
      </c>
      <c r="E1058" s="35">
        <v>44523</v>
      </c>
      <c r="F1058" s="33">
        <v>4</v>
      </c>
      <c r="G1058" s="33" t="s">
        <v>122</v>
      </c>
      <c r="H1058" s="33" t="s">
        <v>69</v>
      </c>
      <c r="I1058" s="33" t="s">
        <v>196</v>
      </c>
      <c r="J1058" s="34">
        <v>2206.85</v>
      </c>
      <c r="K1058" s="34"/>
      <c r="L1058" s="34">
        <v>2206.85</v>
      </c>
    </row>
    <row r="1059" spans="2:12" x14ac:dyDescent="0.3">
      <c r="B1059" s="25">
        <v>1062</v>
      </c>
      <c r="C1059" s="33">
        <v>32289</v>
      </c>
      <c r="D1059" s="33" t="s">
        <v>449</v>
      </c>
      <c r="E1059" s="35">
        <v>44512</v>
      </c>
      <c r="F1059" s="33">
        <v>4</v>
      </c>
      <c r="G1059" s="33" t="s">
        <v>231</v>
      </c>
      <c r="H1059" s="33" t="s">
        <v>72</v>
      </c>
      <c r="I1059" s="33" t="s">
        <v>198</v>
      </c>
      <c r="J1059" s="34">
        <v>1235.2</v>
      </c>
      <c r="K1059" s="34">
        <v>100</v>
      </c>
      <c r="L1059" s="34">
        <v>1135.2</v>
      </c>
    </row>
    <row r="1060" spans="2:12" x14ac:dyDescent="0.3">
      <c r="B1060" s="25">
        <v>1063</v>
      </c>
      <c r="C1060" s="33">
        <v>32293</v>
      </c>
      <c r="D1060" s="33" t="s">
        <v>394</v>
      </c>
      <c r="E1060" s="35">
        <v>44516</v>
      </c>
      <c r="F1060" s="33">
        <v>4</v>
      </c>
      <c r="G1060" s="33" t="s">
        <v>122</v>
      </c>
      <c r="H1060" s="33" t="s">
        <v>72</v>
      </c>
      <c r="I1060" s="33" t="s">
        <v>196</v>
      </c>
      <c r="J1060" s="34">
        <v>855</v>
      </c>
      <c r="K1060" s="34"/>
      <c r="L1060" s="34">
        <v>855</v>
      </c>
    </row>
    <row r="1061" spans="2:12" x14ac:dyDescent="0.3">
      <c r="B1061" s="25">
        <v>1064</v>
      </c>
      <c r="C1061" s="33">
        <v>32348</v>
      </c>
      <c r="D1061" s="33" t="s">
        <v>449</v>
      </c>
      <c r="E1061" s="35">
        <v>44523</v>
      </c>
      <c r="F1061" s="33">
        <v>4</v>
      </c>
      <c r="G1061" s="33" t="s">
        <v>231</v>
      </c>
      <c r="H1061" s="33" t="s">
        <v>72</v>
      </c>
      <c r="I1061" s="33" t="s">
        <v>198</v>
      </c>
      <c r="J1061" s="34">
        <v>5710.2</v>
      </c>
      <c r="K1061" s="34"/>
      <c r="L1061" s="34">
        <v>5710.2</v>
      </c>
    </row>
    <row r="1062" spans="2:12" x14ac:dyDescent="0.3">
      <c r="B1062" s="25">
        <v>1065</v>
      </c>
      <c r="C1062" s="33">
        <v>32349</v>
      </c>
      <c r="D1062" s="33" t="s">
        <v>632</v>
      </c>
      <c r="E1062" s="35">
        <v>44523</v>
      </c>
      <c r="F1062" s="33">
        <v>4</v>
      </c>
      <c r="G1062" s="33" t="s">
        <v>122</v>
      </c>
      <c r="H1062" s="33" t="s">
        <v>72</v>
      </c>
      <c r="I1062" s="33" t="s">
        <v>196</v>
      </c>
      <c r="J1062" s="34">
        <v>723.2</v>
      </c>
      <c r="K1062" s="34">
        <v>100</v>
      </c>
      <c r="L1062" s="34">
        <v>623.20000000000005</v>
      </c>
    </row>
    <row r="1063" spans="2:12" x14ac:dyDescent="0.3">
      <c r="B1063" s="25">
        <v>1066</v>
      </c>
      <c r="C1063" s="33">
        <v>32397</v>
      </c>
      <c r="D1063" s="33" t="s">
        <v>394</v>
      </c>
      <c r="E1063" s="35">
        <v>44524</v>
      </c>
      <c r="F1063" s="33">
        <v>4</v>
      </c>
      <c r="G1063" s="33" t="s">
        <v>122</v>
      </c>
      <c r="H1063" s="33" t="s">
        <v>72</v>
      </c>
      <c r="I1063" s="33" t="s">
        <v>196</v>
      </c>
      <c r="J1063" s="34">
        <v>1125</v>
      </c>
      <c r="K1063" s="34"/>
      <c r="L1063" s="34">
        <v>1125</v>
      </c>
    </row>
    <row r="1064" spans="2:12" x14ac:dyDescent="0.3">
      <c r="B1064" s="25">
        <v>1067</v>
      </c>
      <c r="C1064" s="33">
        <v>32398</v>
      </c>
      <c r="D1064" s="33" t="s">
        <v>394</v>
      </c>
      <c r="E1064" s="35">
        <v>44524</v>
      </c>
      <c r="F1064" s="33">
        <v>4</v>
      </c>
      <c r="G1064" s="33" t="s">
        <v>122</v>
      </c>
      <c r="H1064" s="33" t="s">
        <v>72</v>
      </c>
      <c r="I1064" s="33" t="s">
        <v>196</v>
      </c>
      <c r="J1064" s="34">
        <v>847</v>
      </c>
      <c r="K1064" s="34"/>
      <c r="L1064" s="34">
        <v>847</v>
      </c>
    </row>
    <row r="1065" spans="2:12" x14ac:dyDescent="0.3">
      <c r="B1065" s="25">
        <v>1068</v>
      </c>
      <c r="C1065" s="33">
        <v>32399</v>
      </c>
      <c r="D1065" s="33" t="s">
        <v>394</v>
      </c>
      <c r="E1065" s="35">
        <v>44524</v>
      </c>
      <c r="F1065" s="33">
        <v>4</v>
      </c>
      <c r="G1065" s="33" t="s">
        <v>122</v>
      </c>
      <c r="H1065" s="33" t="s">
        <v>72</v>
      </c>
      <c r="I1065" s="33" t="s">
        <v>196</v>
      </c>
      <c r="J1065" s="34">
        <v>570</v>
      </c>
      <c r="K1065" s="34"/>
      <c r="L1065" s="34">
        <v>570</v>
      </c>
    </row>
    <row r="1066" spans="2:12" x14ac:dyDescent="0.3">
      <c r="B1066" s="25">
        <v>1069</v>
      </c>
      <c r="C1066" s="33">
        <v>32400</v>
      </c>
      <c r="D1066" s="33" t="s">
        <v>394</v>
      </c>
      <c r="E1066" s="35">
        <v>44524</v>
      </c>
      <c r="F1066" s="33">
        <v>4</v>
      </c>
      <c r="G1066" s="33" t="s">
        <v>122</v>
      </c>
      <c r="H1066" s="33" t="s">
        <v>72</v>
      </c>
      <c r="I1066" s="33" t="s">
        <v>196</v>
      </c>
      <c r="J1066" s="34">
        <v>855</v>
      </c>
      <c r="K1066" s="34"/>
      <c r="L1066" s="34">
        <v>855</v>
      </c>
    </row>
    <row r="1067" spans="2:12" x14ac:dyDescent="0.3">
      <c r="B1067" s="25">
        <v>1070</v>
      </c>
      <c r="C1067" s="33">
        <v>32401</v>
      </c>
      <c r="D1067" s="33" t="s">
        <v>394</v>
      </c>
      <c r="E1067" s="35">
        <v>44524</v>
      </c>
      <c r="F1067" s="33">
        <v>4</v>
      </c>
      <c r="G1067" s="33" t="s">
        <v>122</v>
      </c>
      <c r="H1067" s="33" t="s">
        <v>72</v>
      </c>
      <c r="I1067" s="33" t="s">
        <v>196</v>
      </c>
      <c r="J1067" s="34">
        <v>1140</v>
      </c>
      <c r="K1067" s="34"/>
      <c r="L1067" s="34">
        <v>1140</v>
      </c>
    </row>
    <row r="1068" spans="2:12" x14ac:dyDescent="0.3">
      <c r="B1068" s="25">
        <v>1071</v>
      </c>
      <c r="C1068" s="33">
        <v>32402</v>
      </c>
      <c r="D1068" s="33" t="s">
        <v>394</v>
      </c>
      <c r="E1068" s="35">
        <v>44524</v>
      </c>
      <c r="F1068" s="33">
        <v>4</v>
      </c>
      <c r="G1068" s="33" t="s">
        <v>122</v>
      </c>
      <c r="H1068" s="33" t="s">
        <v>72</v>
      </c>
      <c r="I1068" s="33" t="s">
        <v>196</v>
      </c>
      <c r="J1068" s="34">
        <v>855</v>
      </c>
      <c r="K1068" s="34"/>
      <c r="L1068" s="34">
        <v>855</v>
      </c>
    </row>
    <row r="1069" spans="2:12" x14ac:dyDescent="0.3">
      <c r="B1069" s="25">
        <v>1072</v>
      </c>
      <c r="C1069" s="33">
        <v>32403</v>
      </c>
      <c r="D1069" s="33" t="s">
        <v>394</v>
      </c>
      <c r="E1069" s="35">
        <v>44524</v>
      </c>
      <c r="F1069" s="33">
        <v>4</v>
      </c>
      <c r="G1069" s="33" t="s">
        <v>122</v>
      </c>
      <c r="H1069" s="33" t="s">
        <v>72</v>
      </c>
      <c r="I1069" s="33" t="s">
        <v>196</v>
      </c>
      <c r="J1069" s="34">
        <v>570</v>
      </c>
      <c r="K1069" s="34"/>
      <c r="L1069" s="34">
        <v>570</v>
      </c>
    </row>
    <row r="1070" spans="2:12" x14ac:dyDescent="0.3">
      <c r="B1070" s="25">
        <v>1073</v>
      </c>
      <c r="C1070" s="33">
        <v>32404</v>
      </c>
      <c r="D1070" s="33" t="s">
        <v>394</v>
      </c>
      <c r="E1070" s="35">
        <v>44524</v>
      </c>
      <c r="F1070" s="33">
        <v>4</v>
      </c>
      <c r="G1070" s="33" t="s">
        <v>122</v>
      </c>
      <c r="H1070" s="33" t="s">
        <v>72</v>
      </c>
      <c r="I1070" s="33" t="s">
        <v>196</v>
      </c>
      <c r="J1070" s="34">
        <v>1140</v>
      </c>
      <c r="K1070" s="34"/>
      <c r="L1070" s="34">
        <v>1140</v>
      </c>
    </row>
    <row r="1071" spans="2:12" x14ac:dyDescent="0.3">
      <c r="B1071" s="25">
        <v>1074</v>
      </c>
      <c r="C1071" s="33">
        <v>32405</v>
      </c>
      <c r="D1071" s="33" t="s">
        <v>394</v>
      </c>
      <c r="E1071" s="35">
        <v>44524</v>
      </c>
      <c r="F1071" s="33">
        <v>4</v>
      </c>
      <c r="G1071" s="33" t="s">
        <v>122</v>
      </c>
      <c r="H1071" s="33" t="s">
        <v>72</v>
      </c>
      <c r="I1071" s="33" t="s">
        <v>196</v>
      </c>
      <c r="J1071" s="34">
        <v>1140</v>
      </c>
      <c r="K1071" s="34"/>
      <c r="L1071" s="34">
        <v>1140</v>
      </c>
    </row>
    <row r="1072" spans="2:12" x14ac:dyDescent="0.3">
      <c r="B1072" s="25">
        <v>1075</v>
      </c>
      <c r="C1072" s="33">
        <v>32419</v>
      </c>
      <c r="D1072" s="33" t="s">
        <v>687</v>
      </c>
      <c r="E1072" s="35">
        <v>44526</v>
      </c>
      <c r="F1072" s="33">
        <v>4</v>
      </c>
      <c r="G1072" s="33" t="s">
        <v>122</v>
      </c>
      <c r="H1072" s="33" t="s">
        <v>72</v>
      </c>
      <c r="I1072" s="33" t="s">
        <v>196</v>
      </c>
      <c r="J1072" s="34">
        <v>1444.2</v>
      </c>
      <c r="K1072" s="34">
        <v>100</v>
      </c>
      <c r="L1072" s="34">
        <v>1344.2</v>
      </c>
    </row>
    <row r="1073" spans="2:12" x14ac:dyDescent="0.3">
      <c r="B1073" s="25">
        <v>1076</v>
      </c>
      <c r="C1073" s="33">
        <v>6149</v>
      </c>
      <c r="D1073" s="33" t="s">
        <v>394</v>
      </c>
      <c r="E1073" s="35">
        <v>44525</v>
      </c>
      <c r="F1073" s="33">
        <v>4</v>
      </c>
      <c r="G1073" s="33" t="s">
        <v>122</v>
      </c>
      <c r="H1073" s="33" t="s">
        <v>201</v>
      </c>
      <c r="I1073" s="33" t="s">
        <v>196</v>
      </c>
      <c r="J1073" s="34">
        <v>3124</v>
      </c>
      <c r="K1073" s="34"/>
      <c r="L1073" s="34">
        <v>3124</v>
      </c>
    </row>
    <row r="1074" spans="2:12" x14ac:dyDescent="0.3">
      <c r="B1074" s="25">
        <v>1077</v>
      </c>
      <c r="C1074" s="33">
        <v>6150</v>
      </c>
      <c r="D1074" s="33" t="s">
        <v>394</v>
      </c>
      <c r="E1074" s="35">
        <v>44525</v>
      </c>
      <c r="F1074" s="33">
        <v>4</v>
      </c>
      <c r="G1074" s="33" t="s">
        <v>122</v>
      </c>
      <c r="H1074" s="33" t="s">
        <v>201</v>
      </c>
      <c r="I1074" s="33" t="s">
        <v>196</v>
      </c>
      <c r="J1074" s="34">
        <v>3898.4</v>
      </c>
      <c r="K1074" s="34"/>
      <c r="L1074" s="34">
        <v>3898.4</v>
      </c>
    </row>
    <row r="1075" spans="2:12" x14ac:dyDescent="0.3">
      <c r="B1075" s="25">
        <v>1078</v>
      </c>
      <c r="C1075" s="33">
        <v>6151</v>
      </c>
      <c r="D1075" s="33" t="s">
        <v>394</v>
      </c>
      <c r="E1075" s="35">
        <v>44525</v>
      </c>
      <c r="F1075" s="33">
        <v>4</v>
      </c>
      <c r="G1075" s="33" t="s">
        <v>122</v>
      </c>
      <c r="H1075" s="33" t="s">
        <v>201</v>
      </c>
      <c r="I1075" s="33" t="s">
        <v>196</v>
      </c>
      <c r="J1075" s="34">
        <v>1448</v>
      </c>
      <c r="K1075" s="34"/>
      <c r="L1075" s="34">
        <v>1448</v>
      </c>
    </row>
    <row r="1076" spans="2:12" x14ac:dyDescent="0.3">
      <c r="B1076" s="25">
        <v>1079</v>
      </c>
      <c r="C1076" s="33">
        <v>6152</v>
      </c>
      <c r="D1076" s="33" t="s">
        <v>688</v>
      </c>
      <c r="E1076" s="35">
        <v>44525</v>
      </c>
      <c r="F1076" s="33">
        <v>4</v>
      </c>
      <c r="G1076" s="33" t="s">
        <v>231</v>
      </c>
      <c r="H1076" s="33" t="s">
        <v>201</v>
      </c>
      <c r="I1076" s="33" t="s">
        <v>198</v>
      </c>
      <c r="J1076" s="34">
        <v>687.99</v>
      </c>
      <c r="K1076" s="34">
        <v>80</v>
      </c>
      <c r="L1076" s="34">
        <v>607.99</v>
      </c>
    </row>
    <row r="1077" spans="2:12" x14ac:dyDescent="0.3">
      <c r="B1077" s="25">
        <v>1080</v>
      </c>
      <c r="C1077" s="33">
        <v>6155</v>
      </c>
      <c r="D1077" s="33" t="s">
        <v>473</v>
      </c>
      <c r="E1077" s="35">
        <v>44525</v>
      </c>
      <c r="F1077" s="33">
        <v>4</v>
      </c>
      <c r="G1077" s="33" t="s">
        <v>122</v>
      </c>
      <c r="H1077" s="33" t="s">
        <v>201</v>
      </c>
      <c r="I1077" s="33" t="s">
        <v>196</v>
      </c>
      <c r="J1077" s="34">
        <v>2906.91</v>
      </c>
      <c r="K1077" s="34"/>
      <c r="L1077" s="34">
        <v>2906.91</v>
      </c>
    </row>
    <row r="1078" spans="2:12" x14ac:dyDescent="0.3">
      <c r="B1078" s="25">
        <v>1081</v>
      </c>
      <c r="C1078" s="33">
        <v>6156</v>
      </c>
      <c r="D1078" s="33" t="s">
        <v>565</v>
      </c>
      <c r="E1078" s="35">
        <v>44525</v>
      </c>
      <c r="F1078" s="33">
        <v>4</v>
      </c>
      <c r="G1078" s="33" t="s">
        <v>124</v>
      </c>
      <c r="H1078" s="33" t="s">
        <v>201</v>
      </c>
      <c r="I1078" s="33" t="s">
        <v>197</v>
      </c>
      <c r="J1078" s="34">
        <v>2318.8000000000002</v>
      </c>
      <c r="K1078" s="34"/>
      <c r="L1078" s="34">
        <v>2318.8000000000002</v>
      </c>
    </row>
    <row r="1079" spans="2:12" x14ac:dyDescent="0.3">
      <c r="B1079" s="25">
        <v>1082</v>
      </c>
      <c r="C1079" s="33">
        <v>6158</v>
      </c>
      <c r="D1079" s="33" t="s">
        <v>566</v>
      </c>
      <c r="E1079" s="35">
        <v>44525</v>
      </c>
      <c r="F1079" s="33">
        <v>4</v>
      </c>
      <c r="G1079" s="33" t="s">
        <v>122</v>
      </c>
      <c r="H1079" s="33" t="s">
        <v>201</v>
      </c>
      <c r="I1079" s="33" t="s">
        <v>196</v>
      </c>
      <c r="J1079" s="34">
        <v>6607.5</v>
      </c>
      <c r="K1079" s="34"/>
      <c r="L1079" s="34">
        <v>6607.5</v>
      </c>
    </row>
    <row r="1080" spans="2:12" x14ac:dyDescent="0.3">
      <c r="B1080" s="25">
        <v>1083</v>
      </c>
      <c r="C1080" s="33">
        <v>6159</v>
      </c>
      <c r="D1080" s="33" t="s">
        <v>689</v>
      </c>
      <c r="E1080" s="35">
        <v>44525</v>
      </c>
      <c r="F1080" s="33">
        <v>4</v>
      </c>
      <c r="G1080" s="33" t="s">
        <v>124</v>
      </c>
      <c r="H1080" s="33" t="s">
        <v>201</v>
      </c>
      <c r="I1080" s="33" t="s">
        <v>197</v>
      </c>
      <c r="J1080" s="34">
        <v>413</v>
      </c>
      <c r="K1080" s="34">
        <v>80</v>
      </c>
      <c r="L1080" s="34">
        <v>333</v>
      </c>
    </row>
    <row r="1081" spans="2:12" x14ac:dyDescent="0.3">
      <c r="B1081" s="25">
        <v>1084</v>
      </c>
      <c r="C1081" s="33">
        <v>6164</v>
      </c>
      <c r="D1081" s="33" t="s">
        <v>562</v>
      </c>
      <c r="E1081" s="35">
        <v>44525</v>
      </c>
      <c r="F1081" s="33">
        <v>4</v>
      </c>
      <c r="G1081" s="33" t="s">
        <v>122</v>
      </c>
      <c r="H1081" s="33" t="s">
        <v>201</v>
      </c>
      <c r="I1081" s="33" t="s">
        <v>196</v>
      </c>
      <c r="J1081" s="34">
        <v>3022.8</v>
      </c>
      <c r="K1081" s="34"/>
      <c r="L1081" s="34">
        <v>3022.8</v>
      </c>
    </row>
    <row r="1082" spans="2:12" x14ac:dyDescent="0.3">
      <c r="B1082" s="25">
        <v>1085</v>
      </c>
      <c r="C1082" s="33">
        <v>6167</v>
      </c>
      <c r="D1082" s="33" t="s">
        <v>660</v>
      </c>
      <c r="E1082" s="35">
        <v>44525</v>
      </c>
      <c r="F1082" s="33">
        <v>4</v>
      </c>
      <c r="G1082" s="33" t="s">
        <v>124</v>
      </c>
      <c r="H1082" s="33" t="s">
        <v>201</v>
      </c>
      <c r="I1082" s="33" t="s">
        <v>197</v>
      </c>
      <c r="J1082" s="34">
        <v>140.68</v>
      </c>
      <c r="K1082" s="34"/>
      <c r="L1082" s="34">
        <v>140.68</v>
      </c>
    </row>
    <row r="1083" spans="2:12" x14ac:dyDescent="0.3">
      <c r="B1083" s="25">
        <v>1086</v>
      </c>
      <c r="C1083" s="33">
        <v>6173</v>
      </c>
      <c r="D1083" s="33" t="s">
        <v>690</v>
      </c>
      <c r="E1083" s="35">
        <v>44525</v>
      </c>
      <c r="F1083" s="33">
        <v>4</v>
      </c>
      <c r="G1083" s="33" t="s">
        <v>122</v>
      </c>
      <c r="H1083" s="33" t="s">
        <v>201</v>
      </c>
      <c r="I1083" s="33" t="s">
        <v>196</v>
      </c>
      <c r="J1083" s="34">
        <v>1927.75</v>
      </c>
      <c r="K1083" s="34"/>
      <c r="L1083" s="34">
        <v>1927.75</v>
      </c>
    </row>
    <row r="1084" spans="2:12" x14ac:dyDescent="0.3">
      <c r="B1084" s="25">
        <v>1087</v>
      </c>
      <c r="C1084" s="33">
        <v>6179</v>
      </c>
      <c r="D1084" s="33" t="s">
        <v>584</v>
      </c>
      <c r="E1084" s="35">
        <v>44525</v>
      </c>
      <c r="F1084" s="33">
        <v>4</v>
      </c>
      <c r="G1084" s="33" t="s">
        <v>122</v>
      </c>
      <c r="H1084" s="33" t="s">
        <v>201</v>
      </c>
      <c r="I1084" s="33" t="s">
        <v>196</v>
      </c>
      <c r="J1084" s="34">
        <v>1960.94</v>
      </c>
      <c r="K1084" s="34"/>
      <c r="L1084" s="34">
        <v>1960.94</v>
      </c>
    </row>
    <row r="1085" spans="2:12" x14ac:dyDescent="0.3">
      <c r="B1085" s="25">
        <v>1088</v>
      </c>
      <c r="C1085" s="33">
        <v>4561</v>
      </c>
      <c r="D1085" s="33" t="s">
        <v>277</v>
      </c>
      <c r="E1085" s="35">
        <v>44489</v>
      </c>
      <c r="F1085" s="33">
        <v>4</v>
      </c>
      <c r="G1085" s="33" t="s">
        <v>124</v>
      </c>
      <c r="H1085" s="33" t="s">
        <v>71</v>
      </c>
      <c r="I1085" s="33" t="s">
        <v>197</v>
      </c>
      <c r="J1085" s="34">
        <v>1403.82</v>
      </c>
      <c r="K1085" s="34"/>
      <c r="L1085" s="34">
        <v>1403.82</v>
      </c>
    </row>
    <row r="1086" spans="2:12" x14ac:dyDescent="0.3">
      <c r="B1086" s="25">
        <v>1089</v>
      </c>
      <c r="C1086" s="33" t="s">
        <v>691</v>
      </c>
      <c r="D1086" s="33" t="s">
        <v>692</v>
      </c>
      <c r="E1086" s="35">
        <v>44491</v>
      </c>
      <c r="F1086" s="33">
        <v>4</v>
      </c>
      <c r="G1086" s="33" t="s">
        <v>231</v>
      </c>
      <c r="H1086" s="33" t="s">
        <v>71</v>
      </c>
      <c r="I1086" s="33" t="s">
        <v>198</v>
      </c>
      <c r="J1086" s="34">
        <v>1369.89</v>
      </c>
      <c r="K1086" s="34"/>
      <c r="L1086" s="34">
        <v>1369.89</v>
      </c>
    </row>
    <row r="1087" spans="2:12" x14ac:dyDescent="0.3">
      <c r="B1087" s="25">
        <v>1090</v>
      </c>
      <c r="C1087" s="33">
        <v>53707</v>
      </c>
      <c r="D1087" s="33" t="s">
        <v>693</v>
      </c>
      <c r="E1087" s="35">
        <v>44490</v>
      </c>
      <c r="F1087" s="33">
        <v>4</v>
      </c>
      <c r="G1087" s="33" t="s">
        <v>124</v>
      </c>
      <c r="H1087" s="33" t="s">
        <v>73</v>
      </c>
      <c r="I1087" s="33" t="s">
        <v>197</v>
      </c>
      <c r="J1087" s="34">
        <v>1619.4</v>
      </c>
      <c r="K1087" s="34"/>
      <c r="L1087" s="34">
        <v>1619.4</v>
      </c>
    </row>
    <row r="1088" spans="2:12" x14ac:dyDescent="0.3">
      <c r="B1088" s="25">
        <v>1091</v>
      </c>
      <c r="C1088" s="33">
        <v>25446</v>
      </c>
      <c r="D1088" s="33" t="s">
        <v>402</v>
      </c>
      <c r="E1088" s="35">
        <v>44495</v>
      </c>
      <c r="F1088" s="33">
        <v>4</v>
      </c>
      <c r="G1088" s="33" t="s">
        <v>122</v>
      </c>
      <c r="H1088" s="33" t="s">
        <v>73</v>
      </c>
      <c r="I1088" s="33" t="s">
        <v>196</v>
      </c>
      <c r="J1088" s="34">
        <v>282.24</v>
      </c>
      <c r="K1088" s="34"/>
      <c r="L1088" s="34">
        <v>282.24</v>
      </c>
    </row>
    <row r="1089" spans="2:12" x14ac:dyDescent="0.3">
      <c r="B1089" s="25">
        <v>1092</v>
      </c>
      <c r="C1089" s="33" t="s">
        <v>694</v>
      </c>
      <c r="D1089" s="33" t="s">
        <v>473</v>
      </c>
      <c r="E1089" s="35">
        <v>44497</v>
      </c>
      <c r="F1089" s="33">
        <v>4</v>
      </c>
      <c r="G1089" s="33" t="s">
        <v>122</v>
      </c>
      <c r="H1089" s="33" t="s">
        <v>73</v>
      </c>
      <c r="I1089" s="33" t="s">
        <v>196</v>
      </c>
      <c r="J1089" s="34">
        <v>1123.5</v>
      </c>
      <c r="K1089" s="34"/>
      <c r="L1089" s="34">
        <v>1123.5</v>
      </c>
    </row>
    <row r="1090" spans="2:12" x14ac:dyDescent="0.3">
      <c r="B1090" s="25">
        <v>1093</v>
      </c>
      <c r="C1090" s="33">
        <v>54774</v>
      </c>
      <c r="D1090" s="33" t="s">
        <v>695</v>
      </c>
      <c r="E1090" s="35">
        <v>44491</v>
      </c>
      <c r="F1090" s="33">
        <v>4</v>
      </c>
      <c r="G1090" s="33" t="s">
        <v>122</v>
      </c>
      <c r="H1090" s="33" t="s">
        <v>69</v>
      </c>
      <c r="I1090" s="33" t="s">
        <v>196</v>
      </c>
      <c r="J1090" s="34">
        <v>3291.2</v>
      </c>
      <c r="K1090" s="34"/>
      <c r="L1090" s="34">
        <v>3291.2</v>
      </c>
    </row>
    <row r="1091" spans="2:12" x14ac:dyDescent="0.3">
      <c r="B1091" s="25">
        <v>1094</v>
      </c>
      <c r="C1091" s="33" t="s">
        <v>696</v>
      </c>
      <c r="D1091" s="33" t="s">
        <v>385</v>
      </c>
      <c r="E1091" s="35">
        <v>44497</v>
      </c>
      <c r="F1091" s="33">
        <v>4</v>
      </c>
      <c r="G1091" s="33" t="s">
        <v>124</v>
      </c>
      <c r="H1091" s="33" t="s">
        <v>71</v>
      </c>
      <c r="I1091" s="33" t="s">
        <v>197</v>
      </c>
      <c r="J1091" s="34">
        <v>285.2</v>
      </c>
      <c r="K1091" s="34">
        <v>80</v>
      </c>
      <c r="L1091" s="34">
        <v>205.2</v>
      </c>
    </row>
    <row r="1092" spans="2:12" x14ac:dyDescent="0.3">
      <c r="B1092" s="25">
        <v>1095</v>
      </c>
      <c r="C1092" s="33" t="s">
        <v>697</v>
      </c>
      <c r="D1092" s="33" t="s">
        <v>698</v>
      </c>
      <c r="E1092" s="35">
        <v>44522</v>
      </c>
      <c r="F1092" s="33">
        <v>4</v>
      </c>
      <c r="G1092" s="33" t="s">
        <v>124</v>
      </c>
      <c r="H1092" s="33" t="s">
        <v>71</v>
      </c>
      <c r="I1092" s="33" t="s">
        <v>197</v>
      </c>
      <c r="J1092" s="34">
        <v>6999.38</v>
      </c>
      <c r="K1092" s="34"/>
      <c r="L1092" s="34">
        <v>6999.38</v>
      </c>
    </row>
    <row r="1093" spans="2:12" x14ac:dyDescent="0.3">
      <c r="B1093" s="25">
        <v>1096</v>
      </c>
      <c r="C1093" s="33">
        <v>5424</v>
      </c>
      <c r="D1093" s="33" t="s">
        <v>698</v>
      </c>
      <c r="E1093" s="35">
        <v>44539</v>
      </c>
      <c r="F1093" s="33">
        <v>4</v>
      </c>
      <c r="G1093" s="33" t="s">
        <v>122</v>
      </c>
      <c r="H1093" s="33" t="s">
        <v>71</v>
      </c>
      <c r="I1093" s="33" t="s">
        <v>196</v>
      </c>
      <c r="J1093" s="34">
        <v>4063.53</v>
      </c>
      <c r="K1093" s="34"/>
      <c r="L1093" s="34">
        <v>4063.53</v>
      </c>
    </row>
    <row r="1094" spans="2:12" x14ac:dyDescent="0.3">
      <c r="B1094" s="25">
        <v>1097</v>
      </c>
      <c r="C1094" s="33" t="s">
        <v>699</v>
      </c>
      <c r="D1094" s="33" t="s">
        <v>390</v>
      </c>
      <c r="E1094" s="35">
        <v>44543</v>
      </c>
      <c r="F1094" s="33">
        <v>4</v>
      </c>
      <c r="G1094" s="33" t="s">
        <v>122</v>
      </c>
      <c r="H1094" s="33" t="s">
        <v>71</v>
      </c>
      <c r="I1094" s="33" t="s">
        <v>196</v>
      </c>
      <c r="J1094" s="34">
        <v>500</v>
      </c>
      <c r="K1094" s="34">
        <v>80</v>
      </c>
      <c r="L1094" s="34">
        <v>420</v>
      </c>
    </row>
    <row r="1095" spans="2:12" x14ac:dyDescent="0.3">
      <c r="B1095" s="25">
        <v>1098</v>
      </c>
      <c r="C1095" s="33">
        <v>4826</v>
      </c>
      <c r="D1095" s="33" t="s">
        <v>407</v>
      </c>
      <c r="E1095" s="35">
        <v>44502</v>
      </c>
      <c r="F1095" s="33">
        <v>4</v>
      </c>
      <c r="G1095" s="33" t="s">
        <v>231</v>
      </c>
      <c r="H1095" s="33" t="s">
        <v>71</v>
      </c>
      <c r="I1095" s="33" t="s">
        <v>198</v>
      </c>
      <c r="J1095" s="34">
        <v>277.51</v>
      </c>
      <c r="K1095" s="34">
        <v>80</v>
      </c>
      <c r="L1095" s="34">
        <v>197.51</v>
      </c>
    </row>
    <row r="1096" spans="2:12" x14ac:dyDescent="0.3">
      <c r="B1096" s="25">
        <v>1099</v>
      </c>
      <c r="C1096" s="33">
        <v>4845</v>
      </c>
      <c r="D1096" s="33" t="s">
        <v>426</v>
      </c>
      <c r="E1096" s="35">
        <v>44503</v>
      </c>
      <c r="F1096" s="33">
        <v>4</v>
      </c>
      <c r="G1096" s="33" t="s">
        <v>232</v>
      </c>
      <c r="H1096" s="33" t="s">
        <v>71</v>
      </c>
      <c r="I1096" s="33" t="s">
        <v>75</v>
      </c>
      <c r="J1096" s="34">
        <v>385.66</v>
      </c>
      <c r="K1096" s="34">
        <v>80</v>
      </c>
      <c r="L1096" s="34">
        <v>305.66000000000003</v>
      </c>
    </row>
    <row r="1097" spans="2:12" x14ac:dyDescent="0.3">
      <c r="B1097" s="25">
        <v>1100</v>
      </c>
      <c r="C1097" s="33">
        <v>4846</v>
      </c>
      <c r="D1097" s="33" t="s">
        <v>426</v>
      </c>
      <c r="E1097" s="35">
        <v>44503</v>
      </c>
      <c r="F1097" s="33">
        <v>4</v>
      </c>
      <c r="G1097" s="33" t="s">
        <v>232</v>
      </c>
      <c r="H1097" s="33" t="s">
        <v>71</v>
      </c>
      <c r="I1097" s="33" t="s">
        <v>75</v>
      </c>
      <c r="J1097" s="34">
        <v>406.82</v>
      </c>
      <c r="K1097" s="34">
        <v>80</v>
      </c>
      <c r="L1097" s="34">
        <v>326.82</v>
      </c>
    </row>
    <row r="1098" spans="2:12" x14ac:dyDescent="0.3">
      <c r="B1098" s="25">
        <v>1101</v>
      </c>
      <c r="C1098" s="33">
        <v>4847</v>
      </c>
      <c r="D1098" s="33" t="s">
        <v>426</v>
      </c>
      <c r="E1098" s="35">
        <v>44503</v>
      </c>
      <c r="F1098" s="33">
        <v>4</v>
      </c>
      <c r="G1098" s="33" t="s">
        <v>232</v>
      </c>
      <c r="H1098" s="33" t="s">
        <v>71</v>
      </c>
      <c r="I1098" s="33" t="s">
        <v>75</v>
      </c>
      <c r="J1098" s="34">
        <v>2918.84</v>
      </c>
      <c r="K1098" s="34"/>
      <c r="L1098" s="34">
        <v>2918.84</v>
      </c>
    </row>
    <row r="1099" spans="2:12" x14ac:dyDescent="0.3">
      <c r="B1099" s="25">
        <v>1102</v>
      </c>
      <c r="C1099" s="33">
        <v>4849</v>
      </c>
      <c r="D1099" s="33" t="s">
        <v>384</v>
      </c>
      <c r="E1099" s="35">
        <v>44503</v>
      </c>
      <c r="F1099" s="33">
        <v>4</v>
      </c>
      <c r="G1099" s="33" t="s">
        <v>124</v>
      </c>
      <c r="H1099" s="33" t="s">
        <v>71</v>
      </c>
      <c r="I1099" s="33" t="s">
        <v>197</v>
      </c>
      <c r="J1099" s="34">
        <v>1169.6400000000001</v>
      </c>
      <c r="K1099" s="34"/>
      <c r="L1099" s="34">
        <v>1169.6400000000001</v>
      </c>
    </row>
    <row r="1100" spans="2:12" x14ac:dyDescent="0.3">
      <c r="B1100" s="25">
        <v>1103</v>
      </c>
      <c r="C1100" s="33">
        <v>4850</v>
      </c>
      <c r="D1100" s="33" t="s">
        <v>518</v>
      </c>
      <c r="E1100" s="35">
        <v>44503</v>
      </c>
      <c r="F1100" s="33">
        <v>4</v>
      </c>
      <c r="G1100" s="33" t="s">
        <v>231</v>
      </c>
      <c r="H1100" s="33" t="s">
        <v>71</v>
      </c>
      <c r="I1100" s="33" t="s">
        <v>198</v>
      </c>
      <c r="J1100" s="34">
        <v>961.88</v>
      </c>
      <c r="K1100" s="34"/>
      <c r="L1100" s="34">
        <v>961.88</v>
      </c>
    </row>
    <row r="1101" spans="2:12" x14ac:dyDescent="0.3">
      <c r="B1101" s="25">
        <v>1104</v>
      </c>
      <c r="C1101" s="33">
        <v>4854</v>
      </c>
      <c r="D1101" s="33" t="s">
        <v>418</v>
      </c>
      <c r="E1101" s="35">
        <v>44503</v>
      </c>
      <c r="F1101" s="33">
        <v>4</v>
      </c>
      <c r="G1101" s="33" t="s">
        <v>232</v>
      </c>
      <c r="H1101" s="33" t="s">
        <v>71</v>
      </c>
      <c r="I1101" s="33" t="s">
        <v>75</v>
      </c>
      <c r="J1101" s="34">
        <v>263.39999999999998</v>
      </c>
      <c r="K1101" s="34">
        <v>80</v>
      </c>
      <c r="L1101" s="34">
        <v>183.4</v>
      </c>
    </row>
    <row r="1102" spans="2:12" x14ac:dyDescent="0.3">
      <c r="B1102" s="25">
        <v>1105</v>
      </c>
      <c r="C1102" s="33">
        <v>4917</v>
      </c>
      <c r="D1102" s="33" t="s">
        <v>430</v>
      </c>
      <c r="E1102" s="35">
        <v>44509</v>
      </c>
      <c r="F1102" s="33">
        <v>4</v>
      </c>
      <c r="G1102" s="33" t="s">
        <v>231</v>
      </c>
      <c r="H1102" s="33" t="s">
        <v>71</v>
      </c>
      <c r="I1102" s="33" t="s">
        <v>198</v>
      </c>
      <c r="J1102" s="34">
        <v>1139.42</v>
      </c>
      <c r="K1102" s="34"/>
      <c r="L1102" s="34">
        <v>1139.42</v>
      </c>
    </row>
    <row r="1103" spans="2:12" x14ac:dyDescent="0.3">
      <c r="B1103" s="25">
        <v>1106</v>
      </c>
      <c r="C1103" s="33">
        <v>4918</v>
      </c>
      <c r="D1103" s="33" t="s">
        <v>364</v>
      </c>
      <c r="E1103" s="35">
        <v>44509</v>
      </c>
      <c r="F1103" s="33">
        <v>4</v>
      </c>
      <c r="G1103" s="33" t="s">
        <v>124</v>
      </c>
      <c r="H1103" s="33" t="s">
        <v>71</v>
      </c>
      <c r="I1103" s="33" t="s">
        <v>197</v>
      </c>
      <c r="J1103" s="34">
        <v>502.2</v>
      </c>
      <c r="K1103" s="34">
        <v>80</v>
      </c>
      <c r="L1103" s="34">
        <v>422.2</v>
      </c>
    </row>
    <row r="1104" spans="2:12" x14ac:dyDescent="0.3">
      <c r="B1104" s="25">
        <v>1107</v>
      </c>
      <c r="C1104" s="33">
        <v>4920</v>
      </c>
      <c r="D1104" s="33" t="s">
        <v>740</v>
      </c>
      <c r="E1104" s="35">
        <v>44509</v>
      </c>
      <c r="F1104" s="33">
        <v>4</v>
      </c>
      <c r="G1104" s="33" t="s">
        <v>122</v>
      </c>
      <c r="H1104" s="33" t="s">
        <v>71</v>
      </c>
      <c r="I1104" s="33" t="s">
        <v>196</v>
      </c>
      <c r="J1104" s="34">
        <v>7602.51</v>
      </c>
      <c r="K1104" s="34"/>
      <c r="L1104" s="34">
        <v>7602.51</v>
      </c>
    </row>
    <row r="1105" spans="2:12" x14ac:dyDescent="0.3">
      <c r="B1105" s="25">
        <v>1108</v>
      </c>
      <c r="C1105" s="33" t="s">
        <v>741</v>
      </c>
      <c r="D1105" s="33" t="s">
        <v>403</v>
      </c>
      <c r="E1105" s="35">
        <v>44509</v>
      </c>
      <c r="F1105" s="33">
        <v>4</v>
      </c>
      <c r="G1105" s="33" t="s">
        <v>122</v>
      </c>
      <c r="H1105" s="33" t="s">
        <v>71</v>
      </c>
      <c r="I1105" s="33" t="s">
        <v>196</v>
      </c>
      <c r="J1105" s="34">
        <v>692.01</v>
      </c>
      <c r="K1105" s="34">
        <v>80</v>
      </c>
      <c r="L1105" s="34">
        <v>612.01</v>
      </c>
    </row>
    <row r="1106" spans="2:12" x14ac:dyDescent="0.3">
      <c r="B1106" s="25">
        <v>1109</v>
      </c>
      <c r="C1106" s="33" t="s">
        <v>742</v>
      </c>
      <c r="D1106" s="33" t="s">
        <v>461</v>
      </c>
      <c r="E1106" s="35">
        <v>44510</v>
      </c>
      <c r="F1106" s="33">
        <v>4</v>
      </c>
      <c r="G1106" s="33" t="s">
        <v>122</v>
      </c>
      <c r="H1106" s="33" t="s">
        <v>71</v>
      </c>
      <c r="I1106" s="33" t="s">
        <v>196</v>
      </c>
      <c r="J1106" s="34">
        <v>703.3</v>
      </c>
      <c r="K1106" s="34">
        <v>80</v>
      </c>
      <c r="L1106" s="34">
        <v>623.29999999999995</v>
      </c>
    </row>
    <row r="1107" spans="2:12" x14ac:dyDescent="0.3">
      <c r="B1107" s="25">
        <v>1110</v>
      </c>
      <c r="C1107" s="33">
        <v>4993</v>
      </c>
      <c r="D1107" s="33" t="s">
        <v>743</v>
      </c>
      <c r="E1107" s="35">
        <v>44515</v>
      </c>
      <c r="F1107" s="33">
        <v>4</v>
      </c>
      <c r="G1107" s="33" t="s">
        <v>124</v>
      </c>
      <c r="H1107" s="33" t="s">
        <v>71</v>
      </c>
      <c r="I1107" s="33" t="s">
        <v>197</v>
      </c>
      <c r="J1107" s="34">
        <v>880.28</v>
      </c>
      <c r="K1107" s="34">
        <v>80</v>
      </c>
      <c r="L1107" s="34">
        <v>800.28</v>
      </c>
    </row>
    <row r="1108" spans="2:12" x14ac:dyDescent="0.3">
      <c r="B1108" s="25">
        <v>1111</v>
      </c>
      <c r="C1108" s="33">
        <v>4998</v>
      </c>
      <c r="D1108" s="33" t="s">
        <v>518</v>
      </c>
      <c r="E1108" s="35">
        <v>44515</v>
      </c>
      <c r="F1108" s="33">
        <v>4</v>
      </c>
      <c r="G1108" s="33" t="s">
        <v>231</v>
      </c>
      <c r="H1108" s="33" t="s">
        <v>71</v>
      </c>
      <c r="I1108" s="33" t="s">
        <v>198</v>
      </c>
      <c r="J1108" s="34">
        <v>959.31</v>
      </c>
      <c r="K1108" s="34"/>
      <c r="L1108" s="34">
        <v>959.31</v>
      </c>
    </row>
    <row r="1109" spans="2:12" x14ac:dyDescent="0.3">
      <c r="B1109" s="25">
        <v>1112</v>
      </c>
      <c r="C1109" s="33">
        <v>5021</v>
      </c>
      <c r="D1109" s="33" t="s">
        <v>275</v>
      </c>
      <c r="E1109" s="35">
        <v>44516</v>
      </c>
      <c r="F1109" s="33">
        <v>4</v>
      </c>
      <c r="G1109" s="33" t="s">
        <v>124</v>
      </c>
      <c r="H1109" s="33" t="s">
        <v>71</v>
      </c>
      <c r="I1109" s="33" t="s">
        <v>197</v>
      </c>
      <c r="J1109" s="34">
        <v>1005.39</v>
      </c>
      <c r="K1109" s="34"/>
      <c r="L1109" s="34">
        <v>1005.39</v>
      </c>
    </row>
    <row r="1110" spans="2:12" x14ac:dyDescent="0.3">
      <c r="B1110" s="25">
        <v>1113</v>
      </c>
      <c r="C1110" s="33">
        <v>5081</v>
      </c>
      <c r="D1110" s="33" t="s">
        <v>744</v>
      </c>
      <c r="E1110" s="35">
        <v>44519</v>
      </c>
      <c r="F1110" s="33">
        <v>4</v>
      </c>
      <c r="G1110" s="33" t="s">
        <v>124</v>
      </c>
      <c r="H1110" s="33" t="s">
        <v>71</v>
      </c>
      <c r="I1110" s="33" t="s">
        <v>197</v>
      </c>
      <c r="J1110" s="34">
        <v>353</v>
      </c>
      <c r="K1110" s="34">
        <v>80</v>
      </c>
      <c r="L1110" s="34">
        <v>273</v>
      </c>
    </row>
    <row r="1111" spans="2:12" x14ac:dyDescent="0.3">
      <c r="B1111" s="25">
        <v>1114</v>
      </c>
      <c r="C1111" s="33" t="s">
        <v>745</v>
      </c>
      <c r="D1111" s="33" t="s">
        <v>746</v>
      </c>
      <c r="E1111" s="35">
        <v>44522</v>
      </c>
      <c r="F1111" s="33">
        <v>4</v>
      </c>
      <c r="G1111" s="33" t="s">
        <v>124</v>
      </c>
      <c r="H1111" s="33" t="s">
        <v>71</v>
      </c>
      <c r="I1111" s="33" t="s">
        <v>197</v>
      </c>
      <c r="J1111" s="34">
        <v>1384.07</v>
      </c>
      <c r="K1111" s="34"/>
      <c r="L1111" s="34">
        <v>1384.07</v>
      </c>
    </row>
    <row r="1112" spans="2:12" x14ac:dyDescent="0.3">
      <c r="B1112" s="25">
        <v>1115</v>
      </c>
      <c r="C1112" s="33">
        <v>5137</v>
      </c>
      <c r="D1112" s="33" t="s">
        <v>285</v>
      </c>
      <c r="E1112" s="35">
        <v>44522</v>
      </c>
      <c r="F1112" s="33">
        <v>4</v>
      </c>
      <c r="G1112" s="33" t="s">
        <v>124</v>
      </c>
      <c r="H1112" s="33" t="s">
        <v>71</v>
      </c>
      <c r="I1112" s="33" t="s">
        <v>197</v>
      </c>
      <c r="J1112" s="34">
        <v>202.27</v>
      </c>
      <c r="K1112" s="34">
        <v>80</v>
      </c>
      <c r="L1112" s="34">
        <v>122.27</v>
      </c>
    </row>
    <row r="1113" spans="2:12" x14ac:dyDescent="0.3">
      <c r="B1113" s="25">
        <v>1116</v>
      </c>
      <c r="C1113" s="33">
        <v>5141</v>
      </c>
      <c r="D1113" s="33" t="s">
        <v>747</v>
      </c>
      <c r="E1113" s="35">
        <v>44523</v>
      </c>
      <c r="F1113" s="33">
        <v>4</v>
      </c>
      <c r="G1113" s="33" t="s">
        <v>124</v>
      </c>
      <c r="H1113" s="33" t="s">
        <v>71</v>
      </c>
      <c r="I1113" s="33" t="s">
        <v>197</v>
      </c>
      <c r="J1113" s="34">
        <v>385.57</v>
      </c>
      <c r="K1113" s="34">
        <v>80</v>
      </c>
      <c r="L1113" s="34">
        <v>305.57</v>
      </c>
    </row>
    <row r="1114" spans="2:12" x14ac:dyDescent="0.3">
      <c r="B1114" s="25">
        <v>1117</v>
      </c>
      <c r="C1114" s="33">
        <v>5144</v>
      </c>
      <c r="D1114" s="33" t="s">
        <v>277</v>
      </c>
      <c r="E1114" s="35">
        <v>44523</v>
      </c>
      <c r="F1114" s="33">
        <v>4</v>
      </c>
      <c r="G1114" s="33" t="s">
        <v>124</v>
      </c>
      <c r="H1114" s="33" t="s">
        <v>71</v>
      </c>
      <c r="I1114" s="33" t="s">
        <v>197</v>
      </c>
      <c r="J1114" s="34">
        <v>1138.95</v>
      </c>
      <c r="K1114" s="34"/>
      <c r="L1114" s="34">
        <v>1138.95</v>
      </c>
    </row>
    <row r="1115" spans="2:12" x14ac:dyDescent="0.3">
      <c r="B1115" s="25">
        <v>1118</v>
      </c>
      <c r="C1115" s="33">
        <v>5146</v>
      </c>
      <c r="D1115" s="33" t="s">
        <v>748</v>
      </c>
      <c r="E1115" s="35">
        <v>44523</v>
      </c>
      <c r="F1115" s="33">
        <v>4</v>
      </c>
      <c r="G1115" s="33" t="s">
        <v>122</v>
      </c>
      <c r="H1115" s="33" t="s">
        <v>71</v>
      </c>
      <c r="I1115" s="33" t="s">
        <v>196</v>
      </c>
      <c r="J1115" s="34">
        <v>2823.55</v>
      </c>
      <c r="K1115" s="34"/>
      <c r="L1115" s="34">
        <v>2823.55</v>
      </c>
    </row>
    <row r="1116" spans="2:12" x14ac:dyDescent="0.3">
      <c r="B1116" s="25">
        <v>1119</v>
      </c>
      <c r="C1116" s="33">
        <v>5176</v>
      </c>
      <c r="D1116" s="33" t="s">
        <v>426</v>
      </c>
      <c r="E1116" s="35">
        <v>44524</v>
      </c>
      <c r="F1116" s="33">
        <v>4</v>
      </c>
      <c r="G1116" s="33" t="s">
        <v>232</v>
      </c>
      <c r="H1116" s="33" t="s">
        <v>71</v>
      </c>
      <c r="I1116" s="33" t="s">
        <v>75</v>
      </c>
      <c r="J1116" s="34">
        <v>1222.6500000000001</v>
      </c>
      <c r="K1116" s="34"/>
      <c r="L1116" s="34">
        <v>1222.6500000000001</v>
      </c>
    </row>
    <row r="1117" spans="2:12" x14ac:dyDescent="0.3">
      <c r="B1117" s="25">
        <v>1120</v>
      </c>
      <c r="C1117" s="33" t="s">
        <v>749</v>
      </c>
      <c r="D1117" s="33" t="s">
        <v>750</v>
      </c>
      <c r="E1117" s="35">
        <v>44525</v>
      </c>
      <c r="F1117" s="33">
        <v>4</v>
      </c>
      <c r="G1117" s="33" t="s">
        <v>124</v>
      </c>
      <c r="H1117" s="33" t="s">
        <v>71</v>
      </c>
      <c r="I1117" s="33" t="s">
        <v>197</v>
      </c>
      <c r="J1117" s="34">
        <v>958.29</v>
      </c>
      <c r="K1117" s="34"/>
      <c r="L1117" s="34">
        <v>958.29</v>
      </c>
    </row>
    <row r="1118" spans="2:12" x14ac:dyDescent="0.3">
      <c r="B1118" s="25">
        <v>1121</v>
      </c>
      <c r="C1118" s="33">
        <v>5253</v>
      </c>
      <c r="D1118" s="33" t="s">
        <v>420</v>
      </c>
      <c r="E1118" s="35">
        <v>44526</v>
      </c>
      <c r="F1118" s="33">
        <v>4</v>
      </c>
      <c r="G1118" s="33" t="s">
        <v>232</v>
      </c>
      <c r="H1118" s="33" t="s">
        <v>71</v>
      </c>
      <c r="I1118" s="33" t="s">
        <v>75</v>
      </c>
      <c r="J1118" s="34">
        <v>461.07</v>
      </c>
      <c r="K1118" s="34">
        <v>80</v>
      </c>
      <c r="L1118" s="34">
        <v>381.07</v>
      </c>
    </row>
    <row r="1119" spans="2:12" x14ac:dyDescent="0.3">
      <c r="B1119" s="25">
        <v>1122</v>
      </c>
      <c r="C1119" s="33">
        <v>5264</v>
      </c>
      <c r="D1119" s="33" t="s">
        <v>750</v>
      </c>
      <c r="E1119" s="35">
        <v>44526</v>
      </c>
      <c r="F1119" s="33">
        <v>4</v>
      </c>
      <c r="G1119" s="33" t="s">
        <v>124</v>
      </c>
      <c r="H1119" s="33" t="s">
        <v>71</v>
      </c>
      <c r="I1119" s="33" t="s">
        <v>197</v>
      </c>
      <c r="J1119" s="34">
        <v>56.94</v>
      </c>
      <c r="K1119" s="34"/>
      <c r="L1119" s="34">
        <v>56.94</v>
      </c>
    </row>
    <row r="1120" spans="2:12" x14ac:dyDescent="0.3">
      <c r="B1120" s="25">
        <v>1123</v>
      </c>
      <c r="C1120" s="33">
        <v>5331</v>
      </c>
      <c r="D1120" s="33" t="s">
        <v>277</v>
      </c>
      <c r="E1120" s="35">
        <v>44530</v>
      </c>
      <c r="F1120" s="33">
        <v>4</v>
      </c>
      <c r="G1120" s="33" t="s">
        <v>124</v>
      </c>
      <c r="H1120" s="33" t="s">
        <v>71</v>
      </c>
      <c r="I1120" s="33" t="s">
        <v>197</v>
      </c>
      <c r="J1120" s="34">
        <v>1571.11</v>
      </c>
      <c r="K1120" s="34"/>
      <c r="L1120" s="34">
        <v>1571.11</v>
      </c>
    </row>
    <row r="1121" spans="2:12" x14ac:dyDescent="0.3">
      <c r="B1121" s="25">
        <v>1124</v>
      </c>
      <c r="C1121" s="33">
        <v>6292</v>
      </c>
      <c r="D1121" s="33" t="s">
        <v>361</v>
      </c>
      <c r="E1121" s="35">
        <v>44503</v>
      </c>
      <c r="F1121" s="33">
        <v>4</v>
      </c>
      <c r="G1121" s="33" t="s">
        <v>124</v>
      </c>
      <c r="H1121" s="33" t="s">
        <v>71</v>
      </c>
      <c r="I1121" s="33" t="s">
        <v>197</v>
      </c>
      <c r="J1121" s="34">
        <v>744.88</v>
      </c>
      <c r="K1121" s="34"/>
      <c r="L1121" s="34">
        <v>744.88</v>
      </c>
    </row>
    <row r="1122" spans="2:12" x14ac:dyDescent="0.3">
      <c r="B1122" s="25">
        <v>1125</v>
      </c>
      <c r="C1122" s="33">
        <v>6909</v>
      </c>
      <c r="D1122" s="33" t="s">
        <v>751</v>
      </c>
      <c r="E1122" s="35">
        <v>44529</v>
      </c>
      <c r="F1122" s="33">
        <v>4</v>
      </c>
      <c r="G1122" s="33" t="s">
        <v>232</v>
      </c>
      <c r="H1122" s="33" t="s">
        <v>71</v>
      </c>
      <c r="I1122" s="33" t="s">
        <v>75</v>
      </c>
      <c r="J1122" s="34">
        <v>506.33</v>
      </c>
      <c r="K1122" s="34"/>
      <c r="L1122" s="34">
        <v>506.33</v>
      </c>
    </row>
    <row r="1123" spans="2:12" x14ac:dyDescent="0.3">
      <c r="B1123" s="25">
        <v>1126</v>
      </c>
      <c r="C1123" s="33">
        <v>17248</v>
      </c>
      <c r="D1123" s="33" t="s">
        <v>403</v>
      </c>
      <c r="E1123" s="35">
        <v>44496</v>
      </c>
      <c r="F1123" s="33">
        <v>4</v>
      </c>
      <c r="G1123" s="33" t="s">
        <v>122</v>
      </c>
      <c r="H1123" s="33" t="s">
        <v>69</v>
      </c>
      <c r="I1123" s="33" t="s">
        <v>196</v>
      </c>
      <c r="J1123" s="34">
        <v>1893</v>
      </c>
      <c r="K1123" s="34"/>
      <c r="L1123" s="34">
        <v>1893</v>
      </c>
    </row>
    <row r="1124" spans="2:12" x14ac:dyDescent="0.3">
      <c r="B1124" s="25">
        <v>1127</v>
      </c>
      <c r="C1124" s="33">
        <v>18745</v>
      </c>
      <c r="D1124" s="33" t="s">
        <v>410</v>
      </c>
      <c r="E1124" s="35">
        <v>44523</v>
      </c>
      <c r="F1124" s="33">
        <v>4</v>
      </c>
      <c r="G1124" s="33" t="s">
        <v>231</v>
      </c>
      <c r="H1124" s="33" t="s">
        <v>69</v>
      </c>
      <c r="I1124" s="33" t="s">
        <v>198</v>
      </c>
      <c r="J1124" s="34">
        <v>375</v>
      </c>
      <c r="K1124" s="34"/>
      <c r="L1124" s="34">
        <v>375</v>
      </c>
    </row>
    <row r="1125" spans="2:12" x14ac:dyDescent="0.3">
      <c r="B1125" s="25">
        <v>1128</v>
      </c>
      <c r="C1125" s="33">
        <v>19223</v>
      </c>
      <c r="D1125" s="33" t="s">
        <v>410</v>
      </c>
      <c r="E1125" s="35">
        <v>44530</v>
      </c>
      <c r="F1125" s="33">
        <v>4</v>
      </c>
      <c r="G1125" s="33" t="s">
        <v>231</v>
      </c>
      <c r="H1125" s="33" t="s">
        <v>69</v>
      </c>
      <c r="I1125" s="33" t="s">
        <v>198</v>
      </c>
      <c r="J1125" s="34">
        <v>3886.49</v>
      </c>
      <c r="K1125" s="34"/>
      <c r="L1125" s="34">
        <v>3886.49</v>
      </c>
    </row>
    <row r="1126" spans="2:12" x14ac:dyDescent="0.3">
      <c r="B1126" s="25">
        <v>1129</v>
      </c>
      <c r="C1126" s="33">
        <v>54764</v>
      </c>
      <c r="D1126" s="33" t="s">
        <v>404</v>
      </c>
      <c r="E1126" s="35">
        <v>44491</v>
      </c>
      <c r="F1126" s="33">
        <v>4</v>
      </c>
      <c r="G1126" s="33" t="s">
        <v>122</v>
      </c>
      <c r="H1126" s="33" t="s">
        <v>69</v>
      </c>
      <c r="I1126" s="33" t="s">
        <v>196</v>
      </c>
      <c r="J1126" s="34">
        <v>2032.2</v>
      </c>
      <c r="K1126" s="34"/>
      <c r="L1126" s="34">
        <v>2032.2</v>
      </c>
    </row>
    <row r="1127" spans="2:12" x14ac:dyDescent="0.3">
      <c r="B1127" s="25">
        <v>1130</v>
      </c>
      <c r="C1127" s="33">
        <v>54771</v>
      </c>
      <c r="D1127" s="33" t="s">
        <v>412</v>
      </c>
      <c r="E1127" s="35">
        <v>44491</v>
      </c>
      <c r="F1127" s="33">
        <v>4</v>
      </c>
      <c r="G1127" s="33" t="s">
        <v>231</v>
      </c>
      <c r="H1127" s="33" t="s">
        <v>69</v>
      </c>
      <c r="I1127" s="33" t="s">
        <v>198</v>
      </c>
      <c r="J1127" s="34">
        <v>2334.9899999999998</v>
      </c>
      <c r="K1127" s="34"/>
      <c r="L1127" s="34">
        <v>2334.9899999999998</v>
      </c>
    </row>
    <row r="1128" spans="2:12" x14ac:dyDescent="0.3">
      <c r="B1128" s="25">
        <v>1131</v>
      </c>
      <c r="C1128" s="33">
        <v>54773</v>
      </c>
      <c r="D1128" s="33" t="s">
        <v>275</v>
      </c>
      <c r="E1128" s="35">
        <v>44491</v>
      </c>
      <c r="F1128" s="33">
        <v>4</v>
      </c>
      <c r="G1128" s="33" t="s">
        <v>124</v>
      </c>
      <c r="H1128" s="33" t="s">
        <v>69</v>
      </c>
      <c r="I1128" s="33" t="s">
        <v>197</v>
      </c>
      <c r="J1128" s="34">
        <v>2834.49</v>
      </c>
      <c r="K1128" s="34"/>
      <c r="L1128" s="34">
        <v>2834.49</v>
      </c>
    </row>
    <row r="1129" spans="2:12" x14ac:dyDescent="0.3">
      <c r="B1129" s="25">
        <v>1132</v>
      </c>
      <c r="C1129" s="33">
        <v>54805</v>
      </c>
      <c r="D1129" s="33" t="s">
        <v>400</v>
      </c>
      <c r="E1129" s="35">
        <v>44491</v>
      </c>
      <c r="F1129" s="33">
        <v>4</v>
      </c>
      <c r="G1129" s="33" t="s">
        <v>231</v>
      </c>
      <c r="H1129" s="33" t="s">
        <v>69</v>
      </c>
      <c r="I1129" s="33" t="s">
        <v>198</v>
      </c>
      <c r="J1129" s="34">
        <v>997.63</v>
      </c>
      <c r="K1129" s="34"/>
      <c r="L1129" s="34">
        <v>997.63</v>
      </c>
    </row>
    <row r="1130" spans="2:12" x14ac:dyDescent="0.3">
      <c r="B1130" s="25">
        <v>1133</v>
      </c>
      <c r="C1130" s="33">
        <v>54806</v>
      </c>
      <c r="D1130" s="33" t="s">
        <v>400</v>
      </c>
      <c r="E1130" s="35">
        <v>44491</v>
      </c>
      <c r="F1130" s="33">
        <v>4</v>
      </c>
      <c r="G1130" s="33" t="s">
        <v>231</v>
      </c>
      <c r="H1130" s="33" t="s">
        <v>69</v>
      </c>
      <c r="I1130" s="33" t="s">
        <v>198</v>
      </c>
      <c r="J1130" s="34">
        <v>980.65</v>
      </c>
      <c r="K1130" s="34"/>
      <c r="L1130" s="34">
        <v>980.65</v>
      </c>
    </row>
    <row r="1131" spans="2:12" x14ac:dyDescent="0.3">
      <c r="B1131" s="25">
        <v>1134</v>
      </c>
      <c r="C1131" s="33">
        <v>54807</v>
      </c>
      <c r="D1131" s="33" t="s">
        <v>400</v>
      </c>
      <c r="E1131" s="35">
        <v>44491</v>
      </c>
      <c r="F1131" s="33">
        <v>4</v>
      </c>
      <c r="G1131" s="33" t="s">
        <v>231</v>
      </c>
      <c r="H1131" s="33" t="s">
        <v>69</v>
      </c>
      <c r="I1131" s="33" t="s">
        <v>198</v>
      </c>
      <c r="J1131" s="34">
        <v>2219.34</v>
      </c>
      <c r="K1131" s="34"/>
      <c r="L1131" s="34">
        <v>2219.34</v>
      </c>
    </row>
    <row r="1132" spans="2:12" x14ac:dyDescent="0.3">
      <c r="B1132" s="25">
        <v>1135</v>
      </c>
      <c r="C1132" s="33">
        <v>54808</v>
      </c>
      <c r="D1132" s="33" t="s">
        <v>400</v>
      </c>
      <c r="E1132" s="35">
        <v>44491</v>
      </c>
      <c r="F1132" s="33">
        <v>4</v>
      </c>
      <c r="G1132" s="33" t="s">
        <v>231</v>
      </c>
      <c r="H1132" s="33" t="s">
        <v>69</v>
      </c>
      <c r="I1132" s="33" t="s">
        <v>198</v>
      </c>
      <c r="J1132" s="34">
        <v>13.58</v>
      </c>
      <c r="K1132" s="34"/>
      <c r="L1132" s="34">
        <v>13.58</v>
      </c>
    </row>
    <row r="1133" spans="2:12" x14ac:dyDescent="0.3">
      <c r="B1133" s="25">
        <v>1136</v>
      </c>
      <c r="C1133" s="33">
        <v>54809</v>
      </c>
      <c r="D1133" s="33" t="s">
        <v>416</v>
      </c>
      <c r="E1133" s="35">
        <v>44491</v>
      </c>
      <c r="F1133" s="33">
        <v>4</v>
      </c>
      <c r="G1133" s="33" t="s">
        <v>231</v>
      </c>
      <c r="H1133" s="33" t="s">
        <v>69</v>
      </c>
      <c r="I1133" s="33" t="s">
        <v>198</v>
      </c>
      <c r="J1133" s="34">
        <v>193.5</v>
      </c>
      <c r="K1133" s="34"/>
      <c r="L1133" s="34">
        <v>193.5</v>
      </c>
    </row>
    <row r="1134" spans="2:12" x14ac:dyDescent="0.3">
      <c r="B1134" s="25">
        <v>1137</v>
      </c>
      <c r="C1134" s="33">
        <v>54810</v>
      </c>
      <c r="D1134" s="33" t="s">
        <v>401</v>
      </c>
      <c r="E1134" s="35">
        <v>44491</v>
      </c>
      <c r="F1134" s="33">
        <v>4</v>
      </c>
      <c r="G1134" s="33" t="s">
        <v>231</v>
      </c>
      <c r="H1134" s="33" t="s">
        <v>69</v>
      </c>
      <c r="I1134" s="33" t="s">
        <v>198</v>
      </c>
      <c r="J1134" s="34">
        <v>265</v>
      </c>
      <c r="K1134" s="34"/>
      <c r="L1134" s="34">
        <v>265</v>
      </c>
    </row>
    <row r="1135" spans="2:12" x14ac:dyDescent="0.3">
      <c r="B1135" s="25">
        <v>1138</v>
      </c>
      <c r="C1135" s="33">
        <v>54825</v>
      </c>
      <c r="D1135" s="33" t="s">
        <v>409</v>
      </c>
      <c r="E1135" s="35">
        <v>44491</v>
      </c>
      <c r="F1135" s="33">
        <v>4</v>
      </c>
      <c r="G1135" s="33" t="s">
        <v>231</v>
      </c>
      <c r="H1135" s="33" t="s">
        <v>69</v>
      </c>
      <c r="I1135" s="33" t="s">
        <v>198</v>
      </c>
      <c r="J1135" s="34">
        <v>1175.01</v>
      </c>
      <c r="K1135" s="34"/>
      <c r="L1135" s="34">
        <v>1175.01</v>
      </c>
    </row>
    <row r="1136" spans="2:12" x14ac:dyDescent="0.3">
      <c r="B1136" s="25">
        <v>1139</v>
      </c>
      <c r="C1136" s="33">
        <v>54826</v>
      </c>
      <c r="D1136" s="33" t="s">
        <v>400</v>
      </c>
      <c r="E1136" s="35">
        <v>44491</v>
      </c>
      <c r="F1136" s="33">
        <v>4</v>
      </c>
      <c r="G1136" s="33" t="s">
        <v>231</v>
      </c>
      <c r="H1136" s="33" t="s">
        <v>69</v>
      </c>
      <c r="I1136" s="33" t="s">
        <v>198</v>
      </c>
      <c r="J1136" s="34">
        <v>145.5</v>
      </c>
      <c r="K1136" s="34"/>
      <c r="L1136" s="34">
        <v>145.5</v>
      </c>
    </row>
    <row r="1137" spans="2:12" x14ac:dyDescent="0.3">
      <c r="B1137" s="25">
        <v>1140</v>
      </c>
      <c r="C1137" s="33">
        <v>54849</v>
      </c>
      <c r="D1137" s="33" t="s">
        <v>275</v>
      </c>
      <c r="E1137" s="35">
        <v>44491</v>
      </c>
      <c r="F1137" s="33">
        <v>4</v>
      </c>
      <c r="G1137" s="33" t="s">
        <v>124</v>
      </c>
      <c r="H1137" s="33" t="s">
        <v>69</v>
      </c>
      <c r="I1137" s="33" t="s">
        <v>197</v>
      </c>
      <c r="J1137" s="34">
        <v>1941.5</v>
      </c>
      <c r="K1137" s="34"/>
      <c r="L1137" s="34">
        <v>1941.5</v>
      </c>
    </row>
    <row r="1138" spans="2:12" x14ac:dyDescent="0.3">
      <c r="B1138" s="25">
        <v>1141</v>
      </c>
      <c r="C1138" s="33">
        <v>54938</v>
      </c>
      <c r="D1138" s="33" t="s">
        <v>400</v>
      </c>
      <c r="E1138" s="35">
        <v>44497</v>
      </c>
      <c r="F1138" s="33">
        <v>4</v>
      </c>
      <c r="G1138" s="33" t="s">
        <v>231</v>
      </c>
      <c r="H1138" s="33" t="s">
        <v>69</v>
      </c>
      <c r="I1138" s="33" t="s">
        <v>198</v>
      </c>
      <c r="J1138" s="34">
        <v>734.28</v>
      </c>
      <c r="K1138" s="34"/>
      <c r="L1138" s="34">
        <v>734.28</v>
      </c>
    </row>
    <row r="1139" spans="2:12" x14ac:dyDescent="0.3">
      <c r="B1139" s="25">
        <v>1142</v>
      </c>
      <c r="C1139" s="33">
        <v>54939</v>
      </c>
      <c r="D1139" s="33" t="s">
        <v>400</v>
      </c>
      <c r="E1139" s="35">
        <v>44497</v>
      </c>
      <c r="F1139" s="33">
        <v>4</v>
      </c>
      <c r="G1139" s="33" t="s">
        <v>231</v>
      </c>
      <c r="H1139" s="33" t="s">
        <v>69</v>
      </c>
      <c r="I1139" s="33" t="s">
        <v>198</v>
      </c>
      <c r="J1139" s="34">
        <v>2305.65</v>
      </c>
      <c r="K1139" s="34"/>
      <c r="L1139" s="34">
        <v>2305.65</v>
      </c>
    </row>
    <row r="1140" spans="2:12" x14ac:dyDescent="0.3">
      <c r="B1140" s="25">
        <v>1143</v>
      </c>
      <c r="C1140" s="33">
        <v>54940</v>
      </c>
      <c r="D1140" s="33" t="s">
        <v>400</v>
      </c>
      <c r="E1140" s="35">
        <v>44497</v>
      </c>
      <c r="F1140" s="33">
        <v>4</v>
      </c>
      <c r="G1140" s="33" t="s">
        <v>231</v>
      </c>
      <c r="H1140" s="33" t="s">
        <v>69</v>
      </c>
      <c r="I1140" s="33" t="s">
        <v>198</v>
      </c>
      <c r="J1140" s="34">
        <v>734.75</v>
      </c>
      <c r="K1140" s="34"/>
      <c r="L1140" s="34">
        <v>734.75</v>
      </c>
    </row>
    <row r="1141" spans="2:12" x14ac:dyDescent="0.3">
      <c r="B1141" s="25">
        <v>1144</v>
      </c>
      <c r="C1141" s="33">
        <v>54941</v>
      </c>
      <c r="D1141" s="33" t="s">
        <v>400</v>
      </c>
      <c r="E1141" s="35">
        <v>44497</v>
      </c>
      <c r="F1141" s="33">
        <v>4</v>
      </c>
      <c r="G1141" s="33" t="s">
        <v>231</v>
      </c>
      <c r="H1141" s="33" t="s">
        <v>69</v>
      </c>
      <c r="I1141" s="33" t="s">
        <v>198</v>
      </c>
      <c r="J1141" s="34">
        <v>302.60000000000002</v>
      </c>
      <c r="K1141" s="34"/>
      <c r="L1141" s="34">
        <v>302.60000000000002</v>
      </c>
    </row>
    <row r="1142" spans="2:12" x14ac:dyDescent="0.3">
      <c r="B1142" s="25">
        <v>1145</v>
      </c>
      <c r="C1142" s="33">
        <v>54944</v>
      </c>
      <c r="D1142" s="33" t="s">
        <v>416</v>
      </c>
      <c r="E1142" s="35">
        <v>44497</v>
      </c>
      <c r="F1142" s="33">
        <v>4</v>
      </c>
      <c r="G1142" s="33" t="s">
        <v>231</v>
      </c>
      <c r="H1142" s="33" t="s">
        <v>69</v>
      </c>
      <c r="I1142" s="33" t="s">
        <v>198</v>
      </c>
      <c r="J1142" s="34">
        <v>484.01</v>
      </c>
      <c r="K1142" s="34"/>
      <c r="L1142" s="34">
        <v>484.01</v>
      </c>
    </row>
    <row r="1143" spans="2:12" x14ac:dyDescent="0.3">
      <c r="B1143" s="25">
        <v>1146</v>
      </c>
      <c r="C1143" s="33">
        <v>54947</v>
      </c>
      <c r="D1143" s="33" t="s">
        <v>512</v>
      </c>
      <c r="E1143" s="35">
        <v>44497</v>
      </c>
      <c r="F1143" s="33">
        <v>4</v>
      </c>
      <c r="G1143" s="33" t="s">
        <v>122</v>
      </c>
      <c r="H1143" s="33" t="s">
        <v>69</v>
      </c>
      <c r="I1143" s="33" t="s">
        <v>196</v>
      </c>
      <c r="J1143" s="34">
        <v>326</v>
      </c>
      <c r="K1143" s="34"/>
      <c r="L1143" s="34">
        <v>326</v>
      </c>
    </row>
    <row r="1144" spans="2:12" x14ac:dyDescent="0.3">
      <c r="B1144" s="25">
        <v>1147</v>
      </c>
      <c r="C1144" s="33">
        <v>54950</v>
      </c>
      <c r="D1144" s="33" t="s">
        <v>275</v>
      </c>
      <c r="E1144" s="35">
        <v>44497</v>
      </c>
      <c r="F1144" s="33">
        <v>4</v>
      </c>
      <c r="G1144" s="33" t="s">
        <v>124</v>
      </c>
      <c r="H1144" s="33" t="s">
        <v>69</v>
      </c>
      <c r="I1144" s="33" t="s">
        <v>197</v>
      </c>
      <c r="J1144" s="34">
        <v>9987</v>
      </c>
      <c r="K1144" s="34"/>
      <c r="L1144" s="34">
        <v>9987</v>
      </c>
    </row>
    <row r="1145" spans="2:12" x14ac:dyDescent="0.3">
      <c r="B1145" s="25">
        <v>1148</v>
      </c>
      <c r="C1145" s="33">
        <v>55031</v>
      </c>
      <c r="D1145" s="33" t="s">
        <v>391</v>
      </c>
      <c r="E1145" s="35">
        <v>44502</v>
      </c>
      <c r="F1145" s="33">
        <v>4</v>
      </c>
      <c r="G1145" s="33" t="s">
        <v>122</v>
      </c>
      <c r="H1145" s="33" t="s">
        <v>69</v>
      </c>
      <c r="I1145" s="33" t="s">
        <v>196</v>
      </c>
      <c r="J1145" s="34">
        <v>43</v>
      </c>
      <c r="K1145" s="34"/>
      <c r="L1145" s="34">
        <v>43</v>
      </c>
    </row>
    <row r="1146" spans="2:12" x14ac:dyDescent="0.3">
      <c r="B1146" s="25">
        <v>1149</v>
      </c>
      <c r="C1146" s="33">
        <v>55051</v>
      </c>
      <c r="D1146" s="33" t="s">
        <v>400</v>
      </c>
      <c r="E1146" s="35">
        <v>44504</v>
      </c>
      <c r="F1146" s="33">
        <v>4</v>
      </c>
      <c r="G1146" s="33" t="s">
        <v>231</v>
      </c>
      <c r="H1146" s="33" t="s">
        <v>69</v>
      </c>
      <c r="I1146" s="33" t="s">
        <v>198</v>
      </c>
      <c r="J1146" s="34">
        <v>35.1</v>
      </c>
      <c r="K1146" s="34"/>
      <c r="L1146" s="34">
        <v>35.1</v>
      </c>
    </row>
    <row r="1147" spans="2:12" x14ac:dyDescent="0.3">
      <c r="B1147" s="25">
        <v>1150</v>
      </c>
      <c r="C1147" s="33">
        <v>55058</v>
      </c>
      <c r="D1147" s="33" t="s">
        <v>512</v>
      </c>
      <c r="E1147" s="35">
        <v>44504</v>
      </c>
      <c r="F1147" s="33">
        <v>4</v>
      </c>
      <c r="G1147" s="33" t="s">
        <v>122</v>
      </c>
      <c r="H1147" s="33" t="s">
        <v>69</v>
      </c>
      <c r="I1147" s="33" t="s">
        <v>196</v>
      </c>
      <c r="J1147" s="34">
        <v>420</v>
      </c>
      <c r="K1147" s="34"/>
      <c r="L1147" s="34">
        <v>420</v>
      </c>
    </row>
    <row r="1148" spans="2:12" x14ac:dyDescent="0.3">
      <c r="B1148" s="25">
        <v>1151</v>
      </c>
      <c r="C1148" s="33">
        <v>55059</v>
      </c>
      <c r="D1148" s="33" t="s">
        <v>411</v>
      </c>
      <c r="E1148" s="35">
        <v>44504</v>
      </c>
      <c r="F1148" s="33">
        <v>4</v>
      </c>
      <c r="G1148" s="33" t="s">
        <v>122</v>
      </c>
      <c r="H1148" s="33" t="s">
        <v>69</v>
      </c>
      <c r="I1148" s="33" t="s">
        <v>196</v>
      </c>
      <c r="J1148" s="34">
        <v>993.01</v>
      </c>
      <c r="K1148" s="34"/>
      <c r="L1148" s="34">
        <v>993.01</v>
      </c>
    </row>
    <row r="1149" spans="2:12" x14ac:dyDescent="0.3">
      <c r="B1149" s="25">
        <v>1152</v>
      </c>
      <c r="C1149" s="33">
        <v>55060</v>
      </c>
      <c r="D1149" s="33" t="s">
        <v>752</v>
      </c>
      <c r="E1149" s="35">
        <v>44504</v>
      </c>
      <c r="F1149" s="33">
        <v>4</v>
      </c>
      <c r="G1149" s="33" t="s">
        <v>122</v>
      </c>
      <c r="H1149" s="33" t="s">
        <v>69</v>
      </c>
      <c r="I1149" s="33" t="s">
        <v>196</v>
      </c>
      <c r="J1149" s="34">
        <v>1599</v>
      </c>
      <c r="K1149" s="34"/>
      <c r="L1149" s="34">
        <v>1599</v>
      </c>
    </row>
    <row r="1150" spans="2:12" x14ac:dyDescent="0.3">
      <c r="B1150" s="25">
        <v>1153</v>
      </c>
      <c r="C1150" s="33">
        <v>55061</v>
      </c>
      <c r="D1150" s="33" t="s">
        <v>415</v>
      </c>
      <c r="E1150" s="35">
        <v>44504</v>
      </c>
      <c r="F1150" s="33">
        <v>4</v>
      </c>
      <c r="G1150" s="33" t="s">
        <v>122</v>
      </c>
      <c r="H1150" s="33" t="s">
        <v>69</v>
      </c>
      <c r="I1150" s="33" t="s">
        <v>196</v>
      </c>
      <c r="J1150" s="34">
        <v>2782.74</v>
      </c>
      <c r="K1150" s="34"/>
      <c r="L1150" s="34">
        <v>2782.74</v>
      </c>
    </row>
    <row r="1151" spans="2:12" x14ac:dyDescent="0.3">
      <c r="B1151" s="25">
        <v>1154</v>
      </c>
      <c r="C1151" s="33">
        <v>55176</v>
      </c>
      <c r="D1151" s="33" t="s">
        <v>400</v>
      </c>
      <c r="E1151" s="35">
        <v>44511</v>
      </c>
      <c r="F1151" s="33">
        <v>4</v>
      </c>
      <c r="G1151" s="33" t="s">
        <v>231</v>
      </c>
      <c r="H1151" s="33" t="s">
        <v>69</v>
      </c>
      <c r="I1151" s="33" t="s">
        <v>198</v>
      </c>
      <c r="J1151" s="34">
        <v>257.39999999999998</v>
      </c>
      <c r="K1151" s="34"/>
      <c r="L1151" s="34">
        <v>257.39999999999998</v>
      </c>
    </row>
    <row r="1152" spans="2:12" x14ac:dyDescent="0.3">
      <c r="B1152" s="25">
        <v>1155</v>
      </c>
      <c r="C1152" s="33">
        <v>55181</v>
      </c>
      <c r="D1152" s="33" t="s">
        <v>416</v>
      </c>
      <c r="E1152" s="35">
        <v>44511</v>
      </c>
      <c r="F1152" s="33">
        <v>4</v>
      </c>
      <c r="G1152" s="33" t="s">
        <v>231</v>
      </c>
      <c r="H1152" s="33" t="s">
        <v>69</v>
      </c>
      <c r="I1152" s="33" t="s">
        <v>198</v>
      </c>
      <c r="J1152" s="34">
        <v>1681</v>
      </c>
      <c r="K1152" s="34"/>
      <c r="L1152" s="34">
        <v>1681</v>
      </c>
    </row>
    <row r="1153" spans="2:12" x14ac:dyDescent="0.3">
      <c r="B1153" s="25">
        <v>1156</v>
      </c>
      <c r="C1153" s="33">
        <v>55184</v>
      </c>
      <c r="D1153" s="33" t="s">
        <v>414</v>
      </c>
      <c r="E1153" s="35">
        <v>44511</v>
      </c>
      <c r="F1153" s="33">
        <v>4</v>
      </c>
      <c r="G1153" s="33" t="s">
        <v>122</v>
      </c>
      <c r="H1153" s="33" t="s">
        <v>69</v>
      </c>
      <c r="I1153" s="33" t="s">
        <v>196</v>
      </c>
      <c r="J1153" s="34">
        <v>1582.5</v>
      </c>
      <c r="K1153" s="34"/>
      <c r="L1153" s="34">
        <v>1582.5</v>
      </c>
    </row>
    <row r="1154" spans="2:12" x14ac:dyDescent="0.3">
      <c r="B1154" s="25">
        <v>1157</v>
      </c>
      <c r="C1154" s="33">
        <v>55185</v>
      </c>
      <c r="D1154" s="33" t="s">
        <v>415</v>
      </c>
      <c r="E1154" s="35">
        <v>44511</v>
      </c>
      <c r="F1154" s="33">
        <v>4</v>
      </c>
      <c r="G1154" s="33" t="s">
        <v>122</v>
      </c>
      <c r="H1154" s="33" t="s">
        <v>69</v>
      </c>
      <c r="I1154" s="33" t="s">
        <v>196</v>
      </c>
      <c r="J1154" s="34">
        <v>341.55</v>
      </c>
      <c r="K1154" s="34"/>
      <c r="L1154" s="34">
        <v>341.55</v>
      </c>
    </row>
    <row r="1155" spans="2:12" x14ac:dyDescent="0.3">
      <c r="B1155" s="25">
        <v>1158</v>
      </c>
      <c r="C1155" s="33">
        <v>55186</v>
      </c>
      <c r="D1155" s="33" t="s">
        <v>275</v>
      </c>
      <c r="E1155" s="35">
        <v>44511</v>
      </c>
      <c r="F1155" s="33">
        <v>4</v>
      </c>
      <c r="G1155" s="33" t="s">
        <v>124</v>
      </c>
      <c r="H1155" s="33" t="s">
        <v>69</v>
      </c>
      <c r="I1155" s="33" t="s">
        <v>197</v>
      </c>
      <c r="J1155" s="34">
        <v>8000.49</v>
      </c>
      <c r="K1155" s="34"/>
      <c r="L1155" s="34">
        <v>8000.49</v>
      </c>
    </row>
    <row r="1156" spans="2:12" x14ac:dyDescent="0.3">
      <c r="B1156" s="25">
        <v>1159</v>
      </c>
      <c r="C1156" s="33">
        <v>55286</v>
      </c>
      <c r="D1156" s="33" t="s">
        <v>484</v>
      </c>
      <c r="E1156" s="35">
        <v>44518</v>
      </c>
      <c r="F1156" s="33">
        <v>4</v>
      </c>
      <c r="G1156" s="33" t="s">
        <v>122</v>
      </c>
      <c r="H1156" s="33" t="s">
        <v>69</v>
      </c>
      <c r="I1156" s="33" t="s">
        <v>196</v>
      </c>
      <c r="J1156" s="34">
        <v>184.5</v>
      </c>
      <c r="K1156" s="34"/>
      <c r="L1156" s="34">
        <v>184.5</v>
      </c>
    </row>
    <row r="1157" spans="2:12" x14ac:dyDescent="0.3">
      <c r="B1157" s="25">
        <v>1160</v>
      </c>
      <c r="C1157" s="33">
        <v>55287</v>
      </c>
      <c r="D1157" s="33" t="s">
        <v>400</v>
      </c>
      <c r="E1157" s="35">
        <v>44518</v>
      </c>
      <c r="F1157" s="33">
        <v>4</v>
      </c>
      <c r="G1157" s="33" t="s">
        <v>231</v>
      </c>
      <c r="H1157" s="33" t="s">
        <v>69</v>
      </c>
      <c r="I1157" s="33" t="s">
        <v>198</v>
      </c>
      <c r="J1157" s="34">
        <v>598.95000000000005</v>
      </c>
      <c r="K1157" s="34"/>
      <c r="L1157" s="34">
        <v>598.95000000000005</v>
      </c>
    </row>
    <row r="1158" spans="2:12" x14ac:dyDescent="0.3">
      <c r="B1158" s="25">
        <v>1161</v>
      </c>
      <c r="C1158" s="33">
        <v>55288</v>
      </c>
      <c r="D1158" s="33" t="s">
        <v>400</v>
      </c>
      <c r="E1158" s="35">
        <v>44518</v>
      </c>
      <c r="F1158" s="33">
        <v>4</v>
      </c>
      <c r="G1158" s="33" t="s">
        <v>231</v>
      </c>
      <c r="H1158" s="33" t="s">
        <v>69</v>
      </c>
      <c r="I1158" s="33" t="s">
        <v>198</v>
      </c>
      <c r="J1158" s="34">
        <v>38.31</v>
      </c>
      <c r="K1158" s="34"/>
      <c r="L1158" s="34">
        <v>38.31</v>
      </c>
    </row>
    <row r="1159" spans="2:12" x14ac:dyDescent="0.3">
      <c r="B1159" s="25">
        <v>1162</v>
      </c>
      <c r="C1159" s="33">
        <v>55410</v>
      </c>
      <c r="D1159" s="33" t="s">
        <v>405</v>
      </c>
      <c r="E1159" s="35">
        <v>44525</v>
      </c>
      <c r="F1159" s="33">
        <v>4</v>
      </c>
      <c r="G1159" s="33" t="s">
        <v>122</v>
      </c>
      <c r="H1159" s="33" t="s">
        <v>69</v>
      </c>
      <c r="I1159" s="33" t="s">
        <v>196</v>
      </c>
      <c r="J1159" s="34">
        <v>751.5</v>
      </c>
      <c r="K1159" s="34"/>
      <c r="L1159" s="34">
        <v>751.5</v>
      </c>
    </row>
    <row r="1160" spans="2:12" x14ac:dyDescent="0.3">
      <c r="B1160" s="25">
        <v>1163</v>
      </c>
      <c r="C1160" s="33">
        <v>55411</v>
      </c>
      <c r="D1160" s="33" t="s">
        <v>411</v>
      </c>
      <c r="E1160" s="35">
        <v>44525</v>
      </c>
      <c r="F1160" s="33">
        <v>4</v>
      </c>
      <c r="G1160" s="33" t="s">
        <v>122</v>
      </c>
      <c r="H1160" s="33" t="s">
        <v>69</v>
      </c>
      <c r="I1160" s="33" t="s">
        <v>196</v>
      </c>
      <c r="J1160" s="34">
        <v>295</v>
      </c>
      <c r="K1160" s="34"/>
      <c r="L1160" s="34">
        <v>295</v>
      </c>
    </row>
    <row r="1161" spans="2:12" x14ac:dyDescent="0.3">
      <c r="B1161" s="25">
        <v>1164</v>
      </c>
      <c r="C1161" s="33">
        <v>55412</v>
      </c>
      <c r="D1161" s="33" t="s">
        <v>412</v>
      </c>
      <c r="E1161" s="35">
        <v>44525</v>
      </c>
      <c r="F1161" s="33">
        <v>4</v>
      </c>
      <c r="G1161" s="33" t="s">
        <v>231</v>
      </c>
      <c r="H1161" s="33" t="s">
        <v>69</v>
      </c>
      <c r="I1161" s="33" t="s">
        <v>198</v>
      </c>
      <c r="J1161" s="34">
        <v>3995.01</v>
      </c>
      <c r="K1161" s="34"/>
      <c r="L1161" s="34">
        <v>3995.01</v>
      </c>
    </row>
    <row r="1162" spans="2:12" x14ac:dyDescent="0.3">
      <c r="B1162" s="25">
        <v>1165</v>
      </c>
      <c r="C1162" s="33">
        <v>55413</v>
      </c>
      <c r="D1162" s="33" t="s">
        <v>281</v>
      </c>
      <c r="E1162" s="35">
        <v>44525</v>
      </c>
      <c r="F1162" s="33">
        <v>4</v>
      </c>
      <c r="G1162" s="33" t="s">
        <v>124</v>
      </c>
      <c r="H1162" s="33" t="s">
        <v>69</v>
      </c>
      <c r="I1162" s="33" t="s">
        <v>197</v>
      </c>
      <c r="J1162" s="34">
        <v>2975.47</v>
      </c>
      <c r="K1162" s="34"/>
      <c r="L1162" s="34">
        <v>2975.47</v>
      </c>
    </row>
    <row r="1163" spans="2:12" x14ac:dyDescent="0.3">
      <c r="B1163" s="25">
        <v>1166</v>
      </c>
      <c r="C1163" s="33">
        <v>55422</v>
      </c>
      <c r="D1163" s="33" t="s">
        <v>400</v>
      </c>
      <c r="E1163" s="35">
        <v>44525</v>
      </c>
      <c r="F1163" s="33">
        <v>4</v>
      </c>
      <c r="G1163" s="33" t="s">
        <v>231</v>
      </c>
      <c r="H1163" s="33" t="s">
        <v>69</v>
      </c>
      <c r="I1163" s="33" t="s">
        <v>198</v>
      </c>
      <c r="J1163" s="34">
        <v>36.85</v>
      </c>
      <c r="K1163" s="34"/>
      <c r="L1163" s="34">
        <v>36.85</v>
      </c>
    </row>
    <row r="1164" spans="2:12" x14ac:dyDescent="0.3">
      <c r="B1164" s="25">
        <v>1167</v>
      </c>
      <c r="C1164" s="33">
        <v>55423</v>
      </c>
      <c r="D1164" s="33" t="s">
        <v>400</v>
      </c>
      <c r="E1164" s="35">
        <v>44525</v>
      </c>
      <c r="F1164" s="33">
        <v>4</v>
      </c>
      <c r="G1164" s="33" t="s">
        <v>231</v>
      </c>
      <c r="H1164" s="33" t="s">
        <v>69</v>
      </c>
      <c r="I1164" s="33" t="s">
        <v>198</v>
      </c>
      <c r="J1164" s="34">
        <v>21.82</v>
      </c>
      <c r="K1164" s="34"/>
      <c r="L1164" s="34">
        <v>21.82</v>
      </c>
    </row>
    <row r="1165" spans="2:12" x14ac:dyDescent="0.3">
      <c r="B1165" s="25">
        <v>1168</v>
      </c>
      <c r="C1165" s="33">
        <v>55424</v>
      </c>
      <c r="D1165" s="33" t="s">
        <v>400</v>
      </c>
      <c r="E1165" s="35">
        <v>44525</v>
      </c>
      <c r="F1165" s="33">
        <v>4</v>
      </c>
      <c r="G1165" s="33" t="s">
        <v>231</v>
      </c>
      <c r="H1165" s="33" t="s">
        <v>69</v>
      </c>
      <c r="I1165" s="33" t="s">
        <v>198</v>
      </c>
      <c r="J1165" s="34">
        <v>87.78</v>
      </c>
      <c r="K1165" s="34"/>
      <c r="L1165" s="34">
        <v>87.78</v>
      </c>
    </row>
    <row r="1166" spans="2:12" x14ac:dyDescent="0.3">
      <c r="B1166" s="25">
        <v>1169</v>
      </c>
      <c r="C1166" s="33">
        <v>55431</v>
      </c>
      <c r="D1166" s="33" t="s">
        <v>409</v>
      </c>
      <c r="E1166" s="35">
        <v>44525</v>
      </c>
      <c r="F1166" s="33">
        <v>4</v>
      </c>
      <c r="G1166" s="33" t="s">
        <v>231</v>
      </c>
      <c r="H1166" s="33" t="s">
        <v>69</v>
      </c>
      <c r="I1166" s="33" t="s">
        <v>198</v>
      </c>
      <c r="J1166" s="34">
        <v>6200</v>
      </c>
      <c r="K1166" s="34"/>
      <c r="L1166" s="34">
        <v>6200</v>
      </c>
    </row>
    <row r="1167" spans="2:12" x14ac:dyDescent="0.3">
      <c r="B1167" s="25">
        <v>1170</v>
      </c>
      <c r="C1167" s="33">
        <v>55536</v>
      </c>
      <c r="D1167" s="33" t="s">
        <v>404</v>
      </c>
      <c r="E1167" s="35">
        <v>44532</v>
      </c>
      <c r="F1167" s="33">
        <v>4</v>
      </c>
      <c r="G1167" s="33" t="s">
        <v>122</v>
      </c>
      <c r="H1167" s="33" t="s">
        <v>69</v>
      </c>
      <c r="I1167" s="33" t="s">
        <v>196</v>
      </c>
      <c r="J1167" s="34">
        <v>1100.5</v>
      </c>
      <c r="K1167" s="34"/>
      <c r="L1167" s="34">
        <v>1100.5</v>
      </c>
    </row>
    <row r="1168" spans="2:12" x14ac:dyDescent="0.3">
      <c r="B1168" s="25">
        <v>1171</v>
      </c>
      <c r="C1168" s="33">
        <v>55540</v>
      </c>
      <c r="D1168" s="33" t="s">
        <v>281</v>
      </c>
      <c r="E1168" s="35">
        <v>44532</v>
      </c>
      <c r="F1168" s="33">
        <v>4</v>
      </c>
      <c r="G1168" s="33" t="s">
        <v>124</v>
      </c>
      <c r="H1168" s="33" t="s">
        <v>69</v>
      </c>
      <c r="I1168" s="33" t="s">
        <v>197</v>
      </c>
      <c r="J1168" s="34">
        <v>3012.5</v>
      </c>
      <c r="K1168" s="34"/>
      <c r="L1168" s="34">
        <v>3012.5</v>
      </c>
    </row>
    <row r="1169" spans="2:12" x14ac:dyDescent="0.3">
      <c r="B1169" s="25">
        <v>1172</v>
      </c>
      <c r="C1169" s="33">
        <v>55542</v>
      </c>
      <c r="D1169" s="33" t="s">
        <v>234</v>
      </c>
      <c r="E1169" s="35">
        <v>44532</v>
      </c>
      <c r="F1169" s="33">
        <v>4</v>
      </c>
      <c r="G1169" s="33" t="s">
        <v>122</v>
      </c>
      <c r="H1169" s="33" t="s">
        <v>69</v>
      </c>
      <c r="I1169" s="33" t="s">
        <v>196</v>
      </c>
      <c r="J1169" s="34">
        <v>3567.08</v>
      </c>
      <c r="K1169" s="34"/>
      <c r="L1169" s="34">
        <v>3567.08</v>
      </c>
    </row>
    <row r="1170" spans="2:12" x14ac:dyDescent="0.3">
      <c r="B1170" s="25">
        <v>1173</v>
      </c>
      <c r="C1170" s="33">
        <v>55578</v>
      </c>
      <c r="D1170" s="33" t="s">
        <v>234</v>
      </c>
      <c r="E1170" s="35">
        <v>44532</v>
      </c>
      <c r="F1170" s="33">
        <v>4</v>
      </c>
      <c r="G1170" s="33" t="s">
        <v>122</v>
      </c>
      <c r="H1170" s="33" t="s">
        <v>69</v>
      </c>
      <c r="I1170" s="33" t="s">
        <v>196</v>
      </c>
      <c r="J1170" s="34">
        <v>325.92</v>
      </c>
      <c r="K1170" s="34"/>
      <c r="L1170" s="34">
        <v>325.92</v>
      </c>
    </row>
    <row r="1171" spans="2:12" x14ac:dyDescent="0.3">
      <c r="B1171" s="25">
        <v>1174</v>
      </c>
      <c r="C1171" s="33">
        <v>5511</v>
      </c>
      <c r="D1171" s="33" t="s">
        <v>753</v>
      </c>
      <c r="E1171" s="35">
        <v>44544</v>
      </c>
      <c r="F1171" s="33">
        <v>4</v>
      </c>
      <c r="G1171" s="33" t="s">
        <v>122</v>
      </c>
      <c r="H1171" s="33" t="s">
        <v>71</v>
      </c>
      <c r="I1171" s="33" t="s">
        <v>196</v>
      </c>
      <c r="J1171" s="34">
        <v>795.05</v>
      </c>
      <c r="K1171" s="34"/>
      <c r="L1171" s="34">
        <v>795.05</v>
      </c>
    </row>
    <row r="1172" spans="2:12" x14ac:dyDescent="0.3">
      <c r="B1172" s="25">
        <v>1175</v>
      </c>
      <c r="C1172" s="33" t="s">
        <v>737</v>
      </c>
      <c r="D1172" s="33" t="s">
        <v>754</v>
      </c>
      <c r="E1172" s="35">
        <v>44546</v>
      </c>
      <c r="F1172" s="33">
        <v>4</v>
      </c>
      <c r="G1172" s="33" t="s">
        <v>122</v>
      </c>
      <c r="H1172" s="33" t="s">
        <v>72</v>
      </c>
      <c r="I1172" s="33" t="s">
        <v>196</v>
      </c>
      <c r="J1172" s="34">
        <v>27761.200000000001</v>
      </c>
      <c r="K1172" s="34"/>
      <c r="L1172" s="34">
        <v>27761.200000000001</v>
      </c>
    </row>
    <row r="1173" spans="2:12" x14ac:dyDescent="0.3">
      <c r="B1173" s="25">
        <v>1176</v>
      </c>
      <c r="C1173" s="33">
        <v>5418</v>
      </c>
      <c r="D1173" s="33" t="s">
        <v>499</v>
      </c>
      <c r="E1173" s="35">
        <v>44537</v>
      </c>
      <c r="F1173" s="33">
        <v>4</v>
      </c>
      <c r="G1173" s="33" t="s">
        <v>122</v>
      </c>
      <c r="H1173" s="33" t="s">
        <v>71</v>
      </c>
      <c r="I1173" s="33" t="s">
        <v>196</v>
      </c>
      <c r="J1173" s="34">
        <v>546.84</v>
      </c>
      <c r="K1173" s="34"/>
      <c r="L1173" s="34">
        <v>546.84</v>
      </c>
    </row>
    <row r="1174" spans="2:12" x14ac:dyDescent="0.3">
      <c r="B1174" s="25">
        <v>1177</v>
      </c>
      <c r="C1174" s="33">
        <v>6370</v>
      </c>
      <c r="D1174" s="33" t="s">
        <v>554</v>
      </c>
      <c r="E1174" s="35">
        <v>44532</v>
      </c>
      <c r="F1174" s="33">
        <v>4</v>
      </c>
      <c r="G1174" s="33" t="s">
        <v>124</v>
      </c>
      <c r="H1174" s="33" t="s">
        <v>201</v>
      </c>
      <c r="I1174" s="33" t="s">
        <v>197</v>
      </c>
      <c r="J1174" s="34">
        <v>2948.55</v>
      </c>
      <c r="K1174" s="34"/>
      <c r="L1174" s="34">
        <v>2948.55</v>
      </c>
    </row>
    <row r="1175" spans="2:12" x14ac:dyDescent="0.3">
      <c r="B1175" s="25">
        <v>1178</v>
      </c>
      <c r="C1175" s="33">
        <v>6371</v>
      </c>
      <c r="D1175" s="33" t="s">
        <v>645</v>
      </c>
      <c r="E1175" s="35">
        <v>44532</v>
      </c>
      <c r="F1175" s="33">
        <v>4</v>
      </c>
      <c r="G1175" s="33" t="s">
        <v>124</v>
      </c>
      <c r="H1175" s="33" t="s">
        <v>201</v>
      </c>
      <c r="I1175" s="33" t="s">
        <v>197</v>
      </c>
      <c r="J1175" s="34">
        <v>6511.66</v>
      </c>
      <c r="K1175" s="34"/>
      <c r="L1175" s="34">
        <v>6511.66</v>
      </c>
    </row>
    <row r="1176" spans="2:12" x14ac:dyDescent="0.3">
      <c r="B1176" s="25">
        <v>1179</v>
      </c>
      <c r="C1176" s="33">
        <v>6374</v>
      </c>
      <c r="D1176" s="33" t="s">
        <v>757</v>
      </c>
      <c r="E1176" s="35">
        <v>44532</v>
      </c>
      <c r="F1176" s="33">
        <v>4</v>
      </c>
      <c r="G1176" s="33" t="s">
        <v>231</v>
      </c>
      <c r="H1176" s="33" t="s">
        <v>201</v>
      </c>
      <c r="I1176" s="33" t="s">
        <v>198</v>
      </c>
      <c r="J1176" s="34">
        <v>2947.2</v>
      </c>
      <c r="K1176" s="34"/>
      <c r="L1176" s="34">
        <v>2947.2</v>
      </c>
    </row>
    <row r="1177" spans="2:12" x14ac:dyDescent="0.3">
      <c r="B1177" s="25">
        <v>1180</v>
      </c>
      <c r="C1177" s="33">
        <v>6375</v>
      </c>
      <c r="D1177" s="33" t="s">
        <v>473</v>
      </c>
      <c r="E1177" s="35">
        <v>44532</v>
      </c>
      <c r="F1177" s="33">
        <v>4</v>
      </c>
      <c r="G1177" s="33" t="s">
        <v>122</v>
      </c>
      <c r="H1177" s="33" t="s">
        <v>201</v>
      </c>
      <c r="I1177" s="33" t="s">
        <v>196</v>
      </c>
      <c r="J1177" s="34">
        <v>177.16</v>
      </c>
      <c r="K1177" s="34"/>
      <c r="L1177" s="34">
        <v>177.16</v>
      </c>
    </row>
    <row r="1178" spans="2:12" x14ac:dyDescent="0.3">
      <c r="B1178" s="25">
        <v>1181</v>
      </c>
      <c r="C1178" s="33">
        <v>6376</v>
      </c>
      <c r="D1178" s="33" t="s">
        <v>758</v>
      </c>
      <c r="E1178" s="35">
        <v>44532</v>
      </c>
      <c r="F1178" s="33">
        <v>4</v>
      </c>
      <c r="G1178" s="33" t="s">
        <v>122</v>
      </c>
      <c r="H1178" s="33" t="s">
        <v>201</v>
      </c>
      <c r="I1178" s="33" t="s">
        <v>196</v>
      </c>
      <c r="J1178" s="34">
        <v>602</v>
      </c>
      <c r="K1178" s="34">
        <v>80</v>
      </c>
      <c r="L1178" s="34">
        <v>522</v>
      </c>
    </row>
    <row r="1179" spans="2:12" x14ac:dyDescent="0.3">
      <c r="B1179" s="25">
        <v>1182</v>
      </c>
      <c r="C1179" s="33">
        <v>6377</v>
      </c>
      <c r="D1179" s="33" t="s">
        <v>584</v>
      </c>
      <c r="E1179" s="35">
        <v>44532</v>
      </c>
      <c r="F1179" s="33">
        <v>4</v>
      </c>
      <c r="G1179" s="33" t="s">
        <v>122</v>
      </c>
      <c r="H1179" s="33" t="s">
        <v>201</v>
      </c>
      <c r="I1179" s="33" t="s">
        <v>196</v>
      </c>
      <c r="J1179" s="34">
        <v>2740.62</v>
      </c>
      <c r="K1179" s="34"/>
      <c r="L1179" s="34">
        <v>2740.62</v>
      </c>
    </row>
    <row r="1180" spans="2:12" x14ac:dyDescent="0.3">
      <c r="B1180" s="25">
        <v>1183</v>
      </c>
      <c r="C1180" s="33">
        <v>6381</v>
      </c>
      <c r="D1180" s="33" t="s">
        <v>572</v>
      </c>
      <c r="E1180" s="35">
        <v>44532</v>
      </c>
      <c r="F1180" s="33">
        <v>4</v>
      </c>
      <c r="G1180" s="33" t="s">
        <v>231</v>
      </c>
      <c r="H1180" s="33" t="s">
        <v>201</v>
      </c>
      <c r="I1180" s="33" t="s">
        <v>198</v>
      </c>
      <c r="J1180" s="34">
        <v>1600.94</v>
      </c>
      <c r="K1180" s="34"/>
      <c r="L1180" s="34">
        <v>1600.94</v>
      </c>
    </row>
    <row r="1181" spans="2:12" x14ac:dyDescent="0.3">
      <c r="B1181" s="25">
        <v>1184</v>
      </c>
      <c r="C1181" s="33">
        <v>6383</v>
      </c>
      <c r="D1181" s="33" t="s">
        <v>411</v>
      </c>
      <c r="E1181" s="35">
        <v>44532</v>
      </c>
      <c r="F1181" s="33">
        <v>4</v>
      </c>
      <c r="G1181" s="33" t="s">
        <v>122</v>
      </c>
      <c r="H1181" s="33" t="s">
        <v>201</v>
      </c>
      <c r="I1181" s="33" t="s">
        <v>196</v>
      </c>
      <c r="J1181" s="34">
        <v>2117.2800000000002</v>
      </c>
      <c r="K1181" s="34"/>
      <c r="L1181" s="34">
        <v>2117.2800000000002</v>
      </c>
    </row>
    <row r="1182" spans="2:12" x14ac:dyDescent="0.3">
      <c r="B1182" s="25">
        <v>1185</v>
      </c>
      <c r="C1182" s="33">
        <v>6493</v>
      </c>
      <c r="D1182" s="33" t="s">
        <v>677</v>
      </c>
      <c r="E1182" s="35">
        <v>44537</v>
      </c>
      <c r="F1182" s="33">
        <v>4</v>
      </c>
      <c r="G1182" s="33" t="s">
        <v>124</v>
      </c>
      <c r="H1182" s="33" t="s">
        <v>201</v>
      </c>
      <c r="I1182" s="33" t="s">
        <v>197</v>
      </c>
      <c r="J1182" s="34">
        <v>467.18</v>
      </c>
      <c r="K1182" s="34"/>
      <c r="L1182" s="34">
        <v>467.18</v>
      </c>
    </row>
    <row r="1183" spans="2:12" x14ac:dyDescent="0.3">
      <c r="B1183" s="25">
        <v>1186</v>
      </c>
      <c r="C1183" s="33">
        <v>6520</v>
      </c>
      <c r="D1183" s="33" t="s">
        <v>645</v>
      </c>
      <c r="E1183" s="35">
        <v>44539</v>
      </c>
      <c r="F1183" s="33">
        <v>4</v>
      </c>
      <c r="G1183" s="33" t="s">
        <v>124</v>
      </c>
      <c r="H1183" s="33" t="s">
        <v>201</v>
      </c>
      <c r="I1183" s="33" t="s">
        <v>197</v>
      </c>
      <c r="J1183" s="34">
        <v>3534.76</v>
      </c>
      <c r="K1183" s="34"/>
      <c r="L1183" s="34">
        <v>3534.76</v>
      </c>
    </row>
    <row r="1184" spans="2:12" x14ac:dyDescent="0.3">
      <c r="B1184" s="25">
        <v>1187</v>
      </c>
      <c r="C1184" s="33">
        <v>6521</v>
      </c>
      <c r="D1184" s="33" t="s">
        <v>473</v>
      </c>
      <c r="E1184" s="35">
        <v>44539</v>
      </c>
      <c r="F1184" s="33">
        <v>4</v>
      </c>
      <c r="G1184" s="33" t="s">
        <v>122</v>
      </c>
      <c r="H1184" s="33" t="s">
        <v>201</v>
      </c>
      <c r="I1184" s="33" t="s">
        <v>196</v>
      </c>
      <c r="J1184" s="34">
        <v>2356.4499999999998</v>
      </c>
      <c r="K1184" s="34"/>
      <c r="L1184" s="34">
        <v>2356.4499999999998</v>
      </c>
    </row>
    <row r="1185" spans="2:12" x14ac:dyDescent="0.3">
      <c r="B1185" s="25">
        <v>1188</v>
      </c>
      <c r="C1185" s="33">
        <v>6522</v>
      </c>
      <c r="D1185" s="33" t="s">
        <v>411</v>
      </c>
      <c r="E1185" s="35">
        <v>44539</v>
      </c>
      <c r="F1185" s="33">
        <v>4</v>
      </c>
      <c r="G1185" s="33" t="s">
        <v>122</v>
      </c>
      <c r="H1185" s="33" t="s">
        <v>201</v>
      </c>
      <c r="I1185" s="33" t="s">
        <v>196</v>
      </c>
      <c r="J1185" s="34">
        <v>1533.5</v>
      </c>
      <c r="K1185" s="34"/>
      <c r="L1185" s="34">
        <v>1533.5</v>
      </c>
    </row>
    <row r="1186" spans="2:12" x14ac:dyDescent="0.3">
      <c r="B1186" s="25">
        <v>1189</v>
      </c>
      <c r="C1186" s="33">
        <v>6758</v>
      </c>
      <c r="D1186" s="33" t="s">
        <v>759</v>
      </c>
      <c r="E1186" s="35">
        <v>44546</v>
      </c>
      <c r="F1186" s="33">
        <v>4</v>
      </c>
      <c r="G1186" s="33" t="s">
        <v>124</v>
      </c>
      <c r="H1186" s="33" t="s">
        <v>201</v>
      </c>
      <c r="I1186" s="33" t="s">
        <v>197</v>
      </c>
      <c r="J1186" s="34">
        <v>2929.2</v>
      </c>
      <c r="K1186" s="34"/>
      <c r="L1186" s="34">
        <v>2929.2</v>
      </c>
    </row>
    <row r="1187" spans="2:12" x14ac:dyDescent="0.3">
      <c r="B1187" s="25">
        <v>1190</v>
      </c>
      <c r="C1187" s="33">
        <v>6767</v>
      </c>
      <c r="D1187" s="33" t="s">
        <v>473</v>
      </c>
      <c r="E1187" s="35">
        <v>44546</v>
      </c>
      <c r="F1187" s="33">
        <v>4</v>
      </c>
      <c r="G1187" s="33" t="s">
        <v>122</v>
      </c>
      <c r="H1187" s="33" t="s">
        <v>201</v>
      </c>
      <c r="I1187" s="33" t="s">
        <v>196</v>
      </c>
      <c r="J1187" s="34">
        <v>7147.69</v>
      </c>
      <c r="K1187" s="34"/>
      <c r="L1187" s="34">
        <v>7147.69</v>
      </c>
    </row>
    <row r="1188" spans="2:12" x14ac:dyDescent="0.3">
      <c r="B1188" s="25">
        <v>1191</v>
      </c>
      <c r="C1188" s="33">
        <v>6768</v>
      </c>
      <c r="D1188" s="33" t="s">
        <v>565</v>
      </c>
      <c r="E1188" s="35">
        <v>44546</v>
      </c>
      <c r="F1188" s="33">
        <v>4</v>
      </c>
      <c r="G1188" s="33" t="s">
        <v>124</v>
      </c>
      <c r="H1188" s="33" t="s">
        <v>201</v>
      </c>
      <c r="I1188" s="33" t="s">
        <v>197</v>
      </c>
      <c r="J1188" s="34">
        <v>2714.25</v>
      </c>
      <c r="K1188" s="34"/>
      <c r="L1188" s="34">
        <v>2714.25</v>
      </c>
    </row>
    <row r="1189" spans="2:12" x14ac:dyDescent="0.3">
      <c r="B1189" s="25">
        <v>1192</v>
      </c>
      <c r="C1189" s="33">
        <v>6778</v>
      </c>
      <c r="D1189" s="33" t="s">
        <v>760</v>
      </c>
      <c r="E1189" s="35">
        <v>44546</v>
      </c>
      <c r="F1189" s="33">
        <v>4</v>
      </c>
      <c r="G1189" s="33" t="s">
        <v>122</v>
      </c>
      <c r="H1189" s="33" t="s">
        <v>201</v>
      </c>
      <c r="I1189" s="33" t="s">
        <v>196</v>
      </c>
      <c r="J1189" s="34">
        <v>544.73</v>
      </c>
      <c r="K1189" s="34">
        <v>80</v>
      </c>
      <c r="L1189" s="34">
        <v>464.73</v>
      </c>
    </row>
    <row r="1190" spans="2:12" x14ac:dyDescent="0.3">
      <c r="B1190" s="25">
        <v>1193</v>
      </c>
      <c r="C1190" s="33">
        <v>6781</v>
      </c>
      <c r="D1190" s="33" t="s">
        <v>676</v>
      </c>
      <c r="E1190" s="35">
        <v>44546</v>
      </c>
      <c r="F1190" s="33">
        <v>4</v>
      </c>
      <c r="G1190" s="33" t="s">
        <v>124</v>
      </c>
      <c r="H1190" s="33" t="s">
        <v>201</v>
      </c>
      <c r="I1190" s="33" t="s">
        <v>197</v>
      </c>
      <c r="J1190" s="34">
        <v>3184.2</v>
      </c>
      <c r="K1190" s="34"/>
      <c r="L1190" s="34">
        <v>3184.2</v>
      </c>
    </row>
    <row r="1191" spans="2:12" x14ac:dyDescent="0.3">
      <c r="B1191" s="25">
        <v>1194</v>
      </c>
      <c r="C1191" s="33">
        <v>32394</v>
      </c>
      <c r="D1191" s="33" t="s">
        <v>761</v>
      </c>
      <c r="E1191" s="35">
        <v>44524</v>
      </c>
      <c r="F1191" s="33">
        <v>4</v>
      </c>
      <c r="G1191" s="33" t="s">
        <v>231</v>
      </c>
      <c r="H1191" s="33" t="s">
        <v>72</v>
      </c>
      <c r="I1191" s="33" t="s">
        <v>198</v>
      </c>
      <c r="J1191" s="34">
        <v>779</v>
      </c>
      <c r="K1191" s="34"/>
      <c r="L1191" s="34">
        <v>779</v>
      </c>
    </row>
    <row r="1192" spans="2:12" x14ac:dyDescent="0.3">
      <c r="B1192" s="25">
        <v>1195</v>
      </c>
      <c r="C1192" s="33">
        <v>32464</v>
      </c>
      <c r="D1192" s="33" t="s">
        <v>394</v>
      </c>
      <c r="E1192" s="35">
        <v>44533</v>
      </c>
      <c r="F1192" s="33">
        <v>4</v>
      </c>
      <c r="G1192" s="33" t="s">
        <v>122</v>
      </c>
      <c r="H1192" s="33" t="s">
        <v>72</v>
      </c>
      <c r="I1192" s="33" t="s">
        <v>196</v>
      </c>
      <c r="J1192" s="34">
        <v>3464</v>
      </c>
      <c r="K1192" s="34"/>
      <c r="L1192" s="34">
        <v>3464</v>
      </c>
    </row>
    <row r="1193" spans="2:12" x14ac:dyDescent="0.3">
      <c r="B1193" s="25">
        <v>1196</v>
      </c>
      <c r="C1193" s="33">
        <v>32465</v>
      </c>
      <c r="D1193" s="33" t="s">
        <v>762</v>
      </c>
      <c r="E1193" s="35">
        <v>44533</v>
      </c>
      <c r="F1193" s="33">
        <v>4</v>
      </c>
      <c r="G1193" s="33" t="s">
        <v>231</v>
      </c>
      <c r="H1193" s="33" t="s">
        <v>72</v>
      </c>
      <c r="I1193" s="33" t="s">
        <v>198</v>
      </c>
      <c r="J1193" s="34">
        <v>5724</v>
      </c>
      <c r="K1193" s="34"/>
      <c r="L1193" s="34">
        <v>5724</v>
      </c>
    </row>
    <row r="1194" spans="2:12" x14ac:dyDescent="0.3">
      <c r="B1194" s="25">
        <v>1197</v>
      </c>
      <c r="C1194" s="33" t="s">
        <v>763</v>
      </c>
      <c r="D1194" s="33" t="s">
        <v>394</v>
      </c>
      <c r="E1194" s="35">
        <v>44533</v>
      </c>
      <c r="F1194" s="33">
        <v>4</v>
      </c>
      <c r="G1194" s="33" t="s">
        <v>122</v>
      </c>
      <c r="H1194" s="33" t="s">
        <v>72</v>
      </c>
      <c r="I1194" s="33" t="s">
        <v>196</v>
      </c>
      <c r="J1194" s="34">
        <v>-3464</v>
      </c>
      <c r="K1194" s="34"/>
      <c r="L1194" s="34">
        <v>-3464</v>
      </c>
    </row>
    <row r="1195" spans="2:12" x14ac:dyDescent="0.3">
      <c r="B1195" s="25">
        <v>1198</v>
      </c>
      <c r="C1195" s="33">
        <v>32467</v>
      </c>
      <c r="D1195" s="33" t="s">
        <v>394</v>
      </c>
      <c r="E1195" s="35">
        <v>44533</v>
      </c>
      <c r="F1195" s="33">
        <v>4</v>
      </c>
      <c r="G1195" s="33" t="s">
        <v>122</v>
      </c>
      <c r="H1195" s="33" t="s">
        <v>72</v>
      </c>
      <c r="I1195" s="33" t="s">
        <v>196</v>
      </c>
      <c r="J1195" s="34">
        <v>2078</v>
      </c>
      <c r="K1195" s="34"/>
      <c r="L1195" s="34">
        <v>2078</v>
      </c>
    </row>
    <row r="1196" spans="2:12" x14ac:dyDescent="0.3">
      <c r="B1196" s="25">
        <v>1199</v>
      </c>
      <c r="C1196" s="33">
        <v>32489</v>
      </c>
      <c r="D1196" s="33" t="s">
        <v>394</v>
      </c>
      <c r="E1196" s="35">
        <v>44537</v>
      </c>
      <c r="F1196" s="33">
        <v>4</v>
      </c>
      <c r="G1196" s="33" t="s">
        <v>122</v>
      </c>
      <c r="H1196" s="33" t="s">
        <v>72</v>
      </c>
      <c r="I1196" s="33" t="s">
        <v>196</v>
      </c>
      <c r="J1196" s="34">
        <v>6862.1</v>
      </c>
      <c r="K1196" s="34"/>
      <c r="L1196" s="34">
        <v>6862.1</v>
      </c>
    </row>
    <row r="1197" spans="2:12" x14ac:dyDescent="0.3">
      <c r="B1197" s="25">
        <v>1200</v>
      </c>
      <c r="C1197" s="33">
        <v>32582</v>
      </c>
      <c r="D1197" s="33" t="s">
        <v>446</v>
      </c>
      <c r="E1197" s="35">
        <v>44546</v>
      </c>
      <c r="F1197" s="33">
        <v>4</v>
      </c>
      <c r="G1197" s="33" t="s">
        <v>231</v>
      </c>
      <c r="H1197" s="33" t="s">
        <v>72</v>
      </c>
      <c r="I1197" s="33" t="s">
        <v>198</v>
      </c>
      <c r="J1197" s="34">
        <v>34837</v>
      </c>
      <c r="K1197" s="34"/>
      <c r="L1197" s="34">
        <v>34837</v>
      </c>
    </row>
    <row r="1198" spans="2:12" x14ac:dyDescent="0.3">
      <c r="B1198" s="25">
        <v>1201</v>
      </c>
      <c r="C1198" s="33">
        <v>32608</v>
      </c>
      <c r="D1198" s="33" t="s">
        <v>371</v>
      </c>
      <c r="E1198" s="35">
        <v>44547</v>
      </c>
      <c r="F1198" s="33">
        <v>4</v>
      </c>
      <c r="G1198" s="33" t="s">
        <v>124</v>
      </c>
      <c r="H1198" s="33" t="s">
        <v>72</v>
      </c>
      <c r="I1198" s="33" t="s">
        <v>197</v>
      </c>
      <c r="J1198" s="34">
        <v>105</v>
      </c>
      <c r="K1198" s="34">
        <v>60</v>
      </c>
      <c r="L1198" s="34">
        <v>45</v>
      </c>
    </row>
    <row r="1199" spans="2:12" x14ac:dyDescent="0.3">
      <c r="B1199" s="25">
        <v>1202</v>
      </c>
      <c r="C1199" s="33">
        <v>28888</v>
      </c>
      <c r="D1199" s="33" t="s">
        <v>410</v>
      </c>
      <c r="E1199" s="35">
        <v>44530</v>
      </c>
      <c r="F1199" s="33">
        <v>4</v>
      </c>
      <c r="G1199" s="33" t="s">
        <v>231</v>
      </c>
      <c r="H1199" s="33" t="s">
        <v>73</v>
      </c>
      <c r="I1199" s="33" t="s">
        <v>198</v>
      </c>
      <c r="J1199" s="34">
        <v>1797.5</v>
      </c>
      <c r="K1199" s="34"/>
      <c r="L1199" s="34">
        <v>1797.5</v>
      </c>
    </row>
    <row r="1200" spans="2:12" x14ac:dyDescent="0.3">
      <c r="B1200" s="25">
        <v>1203</v>
      </c>
      <c r="C1200" s="33">
        <v>29066</v>
      </c>
      <c r="D1200" s="33" t="s">
        <v>402</v>
      </c>
      <c r="E1200" s="35">
        <v>44530</v>
      </c>
      <c r="F1200" s="33">
        <v>4</v>
      </c>
      <c r="G1200" s="33" t="s">
        <v>122</v>
      </c>
      <c r="H1200" s="33" t="s">
        <v>73</v>
      </c>
      <c r="I1200" s="33" t="s">
        <v>196</v>
      </c>
      <c r="J1200" s="34">
        <v>11.76</v>
      </c>
      <c r="K1200" s="34"/>
      <c r="L1200" s="34">
        <v>11.76</v>
      </c>
    </row>
    <row r="1201" spans="2:12" x14ac:dyDescent="0.3">
      <c r="B1201" s="25">
        <v>1204</v>
      </c>
      <c r="C1201" s="33">
        <v>53698</v>
      </c>
      <c r="D1201" s="33" t="s">
        <v>438</v>
      </c>
      <c r="E1201" s="35">
        <v>44490</v>
      </c>
      <c r="F1201" s="33">
        <v>4</v>
      </c>
      <c r="G1201" s="33" t="s">
        <v>122</v>
      </c>
      <c r="H1201" s="33" t="s">
        <v>73</v>
      </c>
      <c r="I1201" s="33" t="s">
        <v>196</v>
      </c>
      <c r="J1201" s="34">
        <v>721</v>
      </c>
      <c r="K1201" s="34"/>
      <c r="L1201" s="34">
        <v>721</v>
      </c>
    </row>
    <row r="1202" spans="2:12" x14ac:dyDescent="0.3">
      <c r="B1202" s="25">
        <v>1205</v>
      </c>
      <c r="C1202" s="33">
        <v>53810</v>
      </c>
      <c r="D1202" s="33" t="s">
        <v>414</v>
      </c>
      <c r="E1202" s="35">
        <v>44497</v>
      </c>
      <c r="F1202" s="33">
        <v>4</v>
      </c>
      <c r="G1202" s="33" t="s">
        <v>122</v>
      </c>
      <c r="H1202" s="33">
        <v>53</v>
      </c>
      <c r="I1202" s="33" t="s">
        <v>196</v>
      </c>
      <c r="J1202" s="34">
        <v>2179.0300000000002</v>
      </c>
      <c r="K1202" s="34"/>
      <c r="L1202" s="34">
        <v>2179.0300000000002</v>
      </c>
    </row>
    <row r="1203" spans="2:12" x14ac:dyDescent="0.3">
      <c r="B1203" s="25">
        <v>1206</v>
      </c>
      <c r="C1203" s="33" t="s">
        <v>764</v>
      </c>
      <c r="D1203" s="33" t="s">
        <v>275</v>
      </c>
      <c r="E1203" s="35">
        <v>44497</v>
      </c>
      <c r="F1203" s="33">
        <v>4</v>
      </c>
      <c r="G1203" s="33" t="s">
        <v>124</v>
      </c>
      <c r="H1203" s="33">
        <v>53</v>
      </c>
      <c r="I1203" s="33" t="s">
        <v>197</v>
      </c>
      <c r="J1203" s="34">
        <v>1708.5</v>
      </c>
      <c r="K1203" s="34"/>
      <c r="L1203" s="34">
        <v>1708.5</v>
      </c>
    </row>
    <row r="1204" spans="2:12" x14ac:dyDescent="0.3">
      <c r="B1204" s="25">
        <v>1207</v>
      </c>
      <c r="C1204" s="33">
        <v>53905</v>
      </c>
      <c r="D1204" s="33" t="s">
        <v>400</v>
      </c>
      <c r="E1204" s="35">
        <v>44504</v>
      </c>
      <c r="F1204" s="33">
        <v>4</v>
      </c>
      <c r="G1204" s="33" t="s">
        <v>231</v>
      </c>
      <c r="H1204" s="33">
        <v>53</v>
      </c>
      <c r="I1204" s="33" t="s">
        <v>198</v>
      </c>
      <c r="J1204" s="34">
        <v>451.54</v>
      </c>
      <c r="K1204" s="34"/>
      <c r="L1204" s="34">
        <v>451.54</v>
      </c>
    </row>
    <row r="1205" spans="2:12" x14ac:dyDescent="0.3">
      <c r="B1205" s="25">
        <v>1208</v>
      </c>
      <c r="C1205" s="33">
        <v>53906</v>
      </c>
      <c r="D1205" s="33" t="s">
        <v>400</v>
      </c>
      <c r="E1205" s="35">
        <v>44504</v>
      </c>
      <c r="F1205" s="33">
        <v>4</v>
      </c>
      <c r="G1205" s="33" t="s">
        <v>231</v>
      </c>
      <c r="H1205" s="33">
        <v>53</v>
      </c>
      <c r="I1205" s="33" t="s">
        <v>198</v>
      </c>
      <c r="J1205" s="34">
        <v>58.2</v>
      </c>
      <c r="K1205" s="34"/>
      <c r="L1205" s="34">
        <v>58.2</v>
      </c>
    </row>
    <row r="1206" spans="2:12" x14ac:dyDescent="0.3">
      <c r="B1206" s="25">
        <v>1209</v>
      </c>
      <c r="C1206" s="33">
        <v>53910</v>
      </c>
      <c r="D1206" s="33" t="s">
        <v>411</v>
      </c>
      <c r="E1206" s="35">
        <v>44504</v>
      </c>
      <c r="F1206" s="33">
        <v>4</v>
      </c>
      <c r="G1206" s="33" t="s">
        <v>122</v>
      </c>
      <c r="H1206" s="33">
        <v>53</v>
      </c>
      <c r="I1206" s="33" t="s">
        <v>196</v>
      </c>
      <c r="J1206" s="34">
        <v>1112.5</v>
      </c>
      <c r="K1206" s="34"/>
      <c r="L1206" s="34">
        <v>1112.5</v>
      </c>
    </row>
    <row r="1207" spans="2:12" x14ac:dyDescent="0.3">
      <c r="B1207" s="25">
        <v>1210</v>
      </c>
      <c r="C1207" s="33">
        <v>53992</v>
      </c>
      <c r="D1207" s="33" t="s">
        <v>401</v>
      </c>
      <c r="E1207" s="35">
        <v>44511</v>
      </c>
      <c r="F1207" s="33">
        <v>4</v>
      </c>
      <c r="G1207" s="33" t="s">
        <v>231</v>
      </c>
      <c r="H1207" s="33">
        <v>53</v>
      </c>
      <c r="I1207" s="33" t="s">
        <v>198</v>
      </c>
      <c r="J1207" s="34">
        <v>412.5</v>
      </c>
      <c r="K1207" s="34"/>
      <c r="L1207" s="34">
        <v>412.5</v>
      </c>
    </row>
    <row r="1208" spans="2:12" x14ac:dyDescent="0.3">
      <c r="B1208" s="25">
        <v>1211</v>
      </c>
      <c r="C1208" s="33">
        <v>53994</v>
      </c>
      <c r="D1208" s="33" t="s">
        <v>411</v>
      </c>
      <c r="E1208" s="35">
        <v>44511</v>
      </c>
      <c r="F1208" s="33">
        <v>4</v>
      </c>
      <c r="G1208" s="33" t="s">
        <v>122</v>
      </c>
      <c r="H1208" s="33">
        <v>53</v>
      </c>
      <c r="I1208" s="33" t="s">
        <v>196</v>
      </c>
      <c r="J1208" s="34">
        <v>601</v>
      </c>
      <c r="K1208" s="34"/>
      <c r="L1208" s="34">
        <v>601</v>
      </c>
    </row>
    <row r="1209" spans="2:12" x14ac:dyDescent="0.3">
      <c r="B1209" s="25">
        <v>1212</v>
      </c>
      <c r="C1209" s="33">
        <v>53996</v>
      </c>
      <c r="D1209" s="33" t="s">
        <v>623</v>
      </c>
      <c r="E1209" s="35">
        <v>44511</v>
      </c>
      <c r="F1209" s="33">
        <v>4</v>
      </c>
      <c r="G1209" s="33" t="s">
        <v>122</v>
      </c>
      <c r="H1209" s="33" t="s">
        <v>73</v>
      </c>
      <c r="I1209" s="33" t="s">
        <v>196</v>
      </c>
      <c r="J1209" s="34">
        <v>8109.77</v>
      </c>
      <c r="K1209" s="34"/>
      <c r="L1209" s="34">
        <v>8109.77</v>
      </c>
    </row>
    <row r="1210" spans="2:12" x14ac:dyDescent="0.3">
      <c r="B1210" s="25">
        <v>1213</v>
      </c>
      <c r="C1210" s="33">
        <v>54112</v>
      </c>
      <c r="D1210" s="33" t="s">
        <v>400</v>
      </c>
      <c r="E1210" s="35">
        <v>44518</v>
      </c>
      <c r="F1210" s="33">
        <v>4</v>
      </c>
      <c r="G1210" s="33" t="s">
        <v>231</v>
      </c>
      <c r="H1210" s="33">
        <v>53</v>
      </c>
      <c r="I1210" s="33" t="s">
        <v>198</v>
      </c>
      <c r="J1210" s="34">
        <v>246.15</v>
      </c>
      <c r="K1210" s="34"/>
      <c r="L1210" s="34">
        <v>246.15</v>
      </c>
    </row>
    <row r="1211" spans="2:12" x14ac:dyDescent="0.3">
      <c r="B1211" s="25">
        <v>1214</v>
      </c>
      <c r="C1211" s="33">
        <v>54113</v>
      </c>
      <c r="D1211" s="33" t="s">
        <v>400</v>
      </c>
      <c r="E1211" s="35">
        <v>44518</v>
      </c>
      <c r="F1211" s="33">
        <v>4</v>
      </c>
      <c r="G1211" s="33" t="s">
        <v>231</v>
      </c>
      <c r="H1211" s="33">
        <v>53</v>
      </c>
      <c r="I1211" s="33" t="s">
        <v>198</v>
      </c>
      <c r="J1211" s="34">
        <v>881.1</v>
      </c>
      <c r="K1211" s="34"/>
      <c r="L1211" s="34">
        <v>881.1</v>
      </c>
    </row>
    <row r="1212" spans="2:12" x14ac:dyDescent="0.3">
      <c r="B1212" s="25">
        <v>1215</v>
      </c>
      <c r="C1212" s="33">
        <v>54114</v>
      </c>
      <c r="D1212" s="33" t="s">
        <v>400</v>
      </c>
      <c r="E1212" s="35">
        <v>44518</v>
      </c>
      <c r="F1212" s="33">
        <v>4</v>
      </c>
      <c r="G1212" s="33" t="s">
        <v>231</v>
      </c>
      <c r="H1212" s="33">
        <v>53</v>
      </c>
      <c r="I1212" s="33" t="s">
        <v>198</v>
      </c>
      <c r="J1212" s="34">
        <v>696.15</v>
      </c>
      <c r="K1212" s="34"/>
      <c r="L1212" s="34">
        <v>696.15</v>
      </c>
    </row>
    <row r="1213" spans="2:12" x14ac:dyDescent="0.3">
      <c r="B1213" s="25">
        <v>1216</v>
      </c>
      <c r="C1213" s="33">
        <v>54127</v>
      </c>
      <c r="D1213" s="33" t="s">
        <v>234</v>
      </c>
      <c r="E1213" s="35">
        <v>44518</v>
      </c>
      <c r="F1213" s="33">
        <v>4</v>
      </c>
      <c r="G1213" s="33" t="s">
        <v>122</v>
      </c>
      <c r="H1213" s="33">
        <v>53</v>
      </c>
      <c r="I1213" s="33" t="s">
        <v>196</v>
      </c>
      <c r="J1213" s="34">
        <v>2678.36</v>
      </c>
      <c r="K1213" s="34"/>
      <c r="L1213" s="34">
        <v>2678.36</v>
      </c>
    </row>
    <row r="1214" spans="2:12" x14ac:dyDescent="0.3">
      <c r="B1214" s="25">
        <v>1217</v>
      </c>
      <c r="C1214" s="33">
        <v>54251</v>
      </c>
      <c r="D1214" s="33" t="s">
        <v>400</v>
      </c>
      <c r="E1214" s="35">
        <v>44524</v>
      </c>
      <c r="F1214" s="33">
        <v>4</v>
      </c>
      <c r="G1214" s="33" t="s">
        <v>231</v>
      </c>
      <c r="H1214" s="33">
        <v>53</v>
      </c>
      <c r="I1214" s="33" t="s">
        <v>198</v>
      </c>
      <c r="J1214" s="34">
        <v>510.75</v>
      </c>
      <c r="K1214" s="34"/>
      <c r="L1214" s="34">
        <v>510.75</v>
      </c>
    </row>
    <row r="1215" spans="2:12" x14ac:dyDescent="0.3">
      <c r="B1215" s="25">
        <v>1218</v>
      </c>
      <c r="C1215" s="33">
        <v>54252</v>
      </c>
      <c r="D1215" s="33" t="s">
        <v>400</v>
      </c>
      <c r="E1215" s="35">
        <v>44524</v>
      </c>
      <c r="F1215" s="33">
        <v>4</v>
      </c>
      <c r="G1215" s="33" t="s">
        <v>231</v>
      </c>
      <c r="H1215" s="33">
        <v>53</v>
      </c>
      <c r="I1215" s="33" t="s">
        <v>198</v>
      </c>
      <c r="J1215" s="34">
        <v>1049.8499999999999</v>
      </c>
      <c r="K1215" s="34"/>
      <c r="L1215" s="34">
        <v>1049.8499999999999</v>
      </c>
    </row>
    <row r="1216" spans="2:12" x14ac:dyDescent="0.3">
      <c r="B1216" s="25">
        <v>1219</v>
      </c>
      <c r="C1216" s="33">
        <v>54253</v>
      </c>
      <c r="D1216" s="33" t="s">
        <v>400</v>
      </c>
      <c r="E1216" s="35">
        <v>44524</v>
      </c>
      <c r="F1216" s="33">
        <v>4</v>
      </c>
      <c r="G1216" s="33" t="s">
        <v>231</v>
      </c>
      <c r="H1216" s="33">
        <v>53</v>
      </c>
      <c r="I1216" s="33" t="s">
        <v>198</v>
      </c>
      <c r="J1216" s="34">
        <v>1692</v>
      </c>
      <c r="K1216" s="34"/>
      <c r="L1216" s="34">
        <v>1692</v>
      </c>
    </row>
    <row r="1217" spans="2:12" x14ac:dyDescent="0.3">
      <c r="B1217" s="25">
        <v>1220</v>
      </c>
      <c r="C1217" s="33" t="s">
        <v>765</v>
      </c>
      <c r="D1217" s="33" t="s">
        <v>443</v>
      </c>
      <c r="E1217" s="35">
        <v>44525</v>
      </c>
      <c r="F1217" s="33">
        <v>4</v>
      </c>
      <c r="G1217" s="33" t="s">
        <v>122</v>
      </c>
      <c r="H1217" s="33" t="s">
        <v>73</v>
      </c>
      <c r="I1217" s="33" t="s">
        <v>196</v>
      </c>
      <c r="J1217" s="34">
        <v>1464.5</v>
      </c>
      <c r="K1217" s="34"/>
      <c r="L1217" s="34">
        <v>1464.5</v>
      </c>
    </row>
    <row r="1218" spans="2:12" x14ac:dyDescent="0.3">
      <c r="B1218" s="25">
        <v>1221</v>
      </c>
      <c r="C1218" s="33">
        <v>54347</v>
      </c>
      <c r="D1218" s="33" t="s">
        <v>411</v>
      </c>
      <c r="E1218" s="35">
        <v>44531</v>
      </c>
      <c r="F1218" s="33">
        <v>4</v>
      </c>
      <c r="G1218" s="33" t="s">
        <v>122</v>
      </c>
      <c r="H1218" s="33">
        <v>53</v>
      </c>
      <c r="I1218" s="33" t="s">
        <v>196</v>
      </c>
      <c r="J1218" s="34">
        <v>10</v>
      </c>
      <c r="K1218" s="34"/>
      <c r="L1218" s="34">
        <v>10</v>
      </c>
    </row>
    <row r="1219" spans="2:12" x14ac:dyDescent="0.3">
      <c r="B1219" s="25">
        <v>1222</v>
      </c>
      <c r="C1219" s="33" t="s">
        <v>766</v>
      </c>
      <c r="D1219" s="33" t="s">
        <v>443</v>
      </c>
      <c r="E1219" s="35">
        <v>44532</v>
      </c>
      <c r="F1219" s="33">
        <v>4</v>
      </c>
      <c r="G1219" s="33" t="s">
        <v>122</v>
      </c>
      <c r="H1219" s="33" t="s">
        <v>73</v>
      </c>
      <c r="I1219" s="33" t="s">
        <v>196</v>
      </c>
      <c r="J1219" s="34">
        <v>3314.5</v>
      </c>
      <c r="K1219" s="34"/>
      <c r="L1219" s="34">
        <v>3314.5</v>
      </c>
    </row>
    <row r="1220" spans="2:12" x14ac:dyDescent="0.3">
      <c r="B1220" s="25">
        <v>1223</v>
      </c>
      <c r="C1220" s="33">
        <v>54362</v>
      </c>
      <c r="D1220" s="33" t="s">
        <v>665</v>
      </c>
      <c r="E1220" s="35">
        <v>44532</v>
      </c>
      <c r="F1220" s="33">
        <v>4</v>
      </c>
      <c r="G1220" s="33" t="s">
        <v>122</v>
      </c>
      <c r="H1220" s="33">
        <v>53</v>
      </c>
      <c r="I1220" s="33" t="s">
        <v>196</v>
      </c>
      <c r="J1220" s="34">
        <v>1693.2</v>
      </c>
      <c r="K1220" s="34"/>
      <c r="L1220" s="34">
        <v>1693.2</v>
      </c>
    </row>
    <row r="1221" spans="2:12" x14ac:dyDescent="0.3">
      <c r="B1221" s="25">
        <v>1224</v>
      </c>
      <c r="C1221" s="33">
        <v>54368</v>
      </c>
      <c r="D1221" s="33" t="s">
        <v>400</v>
      </c>
      <c r="E1221" s="35">
        <v>44532</v>
      </c>
      <c r="F1221" s="33">
        <v>4</v>
      </c>
      <c r="G1221" s="33" t="s">
        <v>231</v>
      </c>
      <c r="H1221" s="33">
        <v>53</v>
      </c>
      <c r="I1221" s="33" t="s">
        <v>198</v>
      </c>
      <c r="J1221" s="34">
        <v>324.45</v>
      </c>
      <c r="K1221" s="34"/>
      <c r="L1221" s="34">
        <v>324.45</v>
      </c>
    </row>
    <row r="1222" spans="2:12" x14ac:dyDescent="0.3">
      <c r="B1222" s="25">
        <v>1225</v>
      </c>
      <c r="C1222" s="33">
        <v>54369</v>
      </c>
      <c r="D1222" s="33" t="s">
        <v>400</v>
      </c>
      <c r="E1222" s="35">
        <v>44532</v>
      </c>
      <c r="F1222" s="33">
        <v>4</v>
      </c>
      <c r="G1222" s="33" t="s">
        <v>231</v>
      </c>
      <c r="H1222" s="33">
        <v>53</v>
      </c>
      <c r="I1222" s="33" t="s">
        <v>198</v>
      </c>
      <c r="J1222" s="34">
        <v>1059.3</v>
      </c>
      <c r="K1222" s="34"/>
      <c r="L1222" s="34">
        <v>1059.3</v>
      </c>
    </row>
    <row r="1223" spans="2:12" x14ac:dyDescent="0.3">
      <c r="B1223" s="25">
        <v>1226</v>
      </c>
      <c r="C1223" s="33">
        <v>54370</v>
      </c>
      <c r="D1223" s="33" t="s">
        <v>400</v>
      </c>
      <c r="E1223" s="35">
        <v>44532</v>
      </c>
      <c r="F1223" s="33">
        <v>4</v>
      </c>
      <c r="G1223" s="33" t="s">
        <v>231</v>
      </c>
      <c r="H1223" s="33" t="s">
        <v>73</v>
      </c>
      <c r="I1223" s="33" t="s">
        <v>198</v>
      </c>
      <c r="J1223" s="34">
        <v>7.27</v>
      </c>
      <c r="K1223" s="34"/>
      <c r="L1223" s="34">
        <v>7.27</v>
      </c>
    </row>
    <row r="1224" spans="2:12" x14ac:dyDescent="0.3">
      <c r="B1224" s="25">
        <v>1227</v>
      </c>
      <c r="C1224" s="33">
        <v>4019</v>
      </c>
      <c r="D1224" s="33" t="s">
        <v>500</v>
      </c>
      <c r="E1224" s="35">
        <v>44497</v>
      </c>
      <c r="F1224" s="33">
        <v>4</v>
      </c>
      <c r="G1224" s="33" t="s">
        <v>122</v>
      </c>
      <c r="H1224" s="33" t="s">
        <v>630</v>
      </c>
      <c r="I1224" s="33" t="s">
        <v>196</v>
      </c>
      <c r="J1224" s="34">
        <v>1375.2</v>
      </c>
      <c r="K1224" s="34"/>
      <c r="L1224" s="34">
        <v>1375.2</v>
      </c>
    </row>
    <row r="1225" spans="2:12" x14ac:dyDescent="0.3">
      <c r="B1225" s="25">
        <v>1228</v>
      </c>
      <c r="C1225" s="33" t="s">
        <v>767</v>
      </c>
      <c r="D1225" s="33" t="s">
        <v>429</v>
      </c>
      <c r="E1225" s="35">
        <v>44484</v>
      </c>
      <c r="F1225" s="33">
        <v>4</v>
      </c>
      <c r="G1225" s="33" t="s">
        <v>232</v>
      </c>
      <c r="H1225" s="33" t="s">
        <v>71</v>
      </c>
      <c r="I1225" s="33" t="s">
        <v>75</v>
      </c>
      <c r="J1225" s="34">
        <v>345.33</v>
      </c>
      <c r="K1225" s="34">
        <v>80</v>
      </c>
      <c r="L1225" s="34">
        <v>265.33</v>
      </c>
    </row>
    <row r="1226" spans="2:12" x14ac:dyDescent="0.3">
      <c r="B1226" s="25">
        <v>1229</v>
      </c>
      <c r="C1226" s="33">
        <v>4453</v>
      </c>
      <c r="D1226" s="33" t="s">
        <v>391</v>
      </c>
      <c r="E1226" s="35">
        <v>44481</v>
      </c>
      <c r="F1226" s="33">
        <v>4</v>
      </c>
      <c r="G1226" s="33" t="s">
        <v>122</v>
      </c>
      <c r="H1226" s="33" t="s">
        <v>71</v>
      </c>
      <c r="I1226" s="33" t="s">
        <v>196</v>
      </c>
      <c r="J1226" s="34">
        <v>489.12</v>
      </c>
      <c r="K1226" s="34">
        <v>80</v>
      </c>
      <c r="L1226" s="34">
        <v>409.12</v>
      </c>
    </row>
    <row r="1227" spans="2:12" x14ac:dyDescent="0.3">
      <c r="B1227" s="25">
        <v>1230</v>
      </c>
      <c r="C1227" s="33">
        <v>5409</v>
      </c>
      <c r="D1227" s="33" t="s">
        <v>277</v>
      </c>
      <c r="E1227" s="35">
        <v>44537</v>
      </c>
      <c r="F1227" s="33">
        <v>4</v>
      </c>
      <c r="G1227" s="33" t="s">
        <v>124</v>
      </c>
      <c r="H1227" s="33" t="s">
        <v>71</v>
      </c>
      <c r="I1227" s="33" t="s">
        <v>197</v>
      </c>
      <c r="J1227" s="34">
        <v>1628.01</v>
      </c>
      <c r="K1227" s="34"/>
      <c r="L1227" s="34">
        <v>1628.01</v>
      </c>
    </row>
    <row r="1228" spans="2:12" x14ac:dyDescent="0.3">
      <c r="B1228" s="25">
        <v>1231</v>
      </c>
      <c r="C1228" s="33">
        <v>5386</v>
      </c>
      <c r="D1228" s="33" t="s">
        <v>393</v>
      </c>
      <c r="E1228" s="35">
        <v>44536</v>
      </c>
      <c r="F1228" s="33">
        <v>4</v>
      </c>
      <c r="G1228" s="33" t="s">
        <v>122</v>
      </c>
      <c r="H1228" s="33" t="s">
        <v>71</v>
      </c>
      <c r="I1228" s="33" t="s">
        <v>196</v>
      </c>
      <c r="J1228" s="34">
        <v>411.47</v>
      </c>
      <c r="K1228" s="34"/>
      <c r="L1228" s="34">
        <v>411.47</v>
      </c>
    </row>
    <row r="1229" spans="2:12" x14ac:dyDescent="0.3">
      <c r="B1229" s="25">
        <v>1232</v>
      </c>
      <c r="C1229" s="33">
        <v>5368</v>
      </c>
      <c r="D1229" s="33" t="s">
        <v>768</v>
      </c>
      <c r="E1229" s="35">
        <v>44532</v>
      </c>
      <c r="F1229" s="33">
        <v>4</v>
      </c>
      <c r="G1229" s="33" t="s">
        <v>232</v>
      </c>
      <c r="H1229" s="33" t="s">
        <v>71</v>
      </c>
      <c r="I1229" s="33" t="s">
        <v>75</v>
      </c>
      <c r="J1229" s="34">
        <v>547.03</v>
      </c>
      <c r="K1229" s="34"/>
      <c r="L1229" s="34">
        <v>547.03</v>
      </c>
    </row>
    <row r="1230" spans="2:12" x14ac:dyDescent="0.3">
      <c r="B1230" s="25">
        <v>1233</v>
      </c>
      <c r="C1230" s="33">
        <v>5384</v>
      </c>
      <c r="D1230" s="33" t="s">
        <v>386</v>
      </c>
      <c r="E1230" s="35">
        <v>44536</v>
      </c>
      <c r="F1230" s="33">
        <v>4</v>
      </c>
      <c r="G1230" s="33" t="s">
        <v>124</v>
      </c>
      <c r="H1230" s="33" t="s">
        <v>71</v>
      </c>
      <c r="I1230" s="33" t="s">
        <v>197</v>
      </c>
      <c r="J1230" s="34">
        <v>692.55</v>
      </c>
      <c r="K1230" s="34"/>
      <c r="L1230" s="34">
        <v>692.55</v>
      </c>
    </row>
    <row r="1231" spans="2:12" x14ac:dyDescent="0.3">
      <c r="B1231" s="25">
        <v>1234</v>
      </c>
      <c r="C1231" s="33">
        <v>5411</v>
      </c>
      <c r="D1231" s="33" t="s">
        <v>403</v>
      </c>
      <c r="E1231" s="35">
        <v>44537</v>
      </c>
      <c r="F1231" s="33">
        <v>4</v>
      </c>
      <c r="G1231" s="33" t="s">
        <v>122</v>
      </c>
      <c r="H1231" s="33" t="s">
        <v>71</v>
      </c>
      <c r="I1231" s="33" t="s">
        <v>196</v>
      </c>
      <c r="J1231" s="34">
        <v>581.74</v>
      </c>
      <c r="K1231" s="34"/>
      <c r="L1231" s="34">
        <v>581.74</v>
      </c>
    </row>
    <row r="1232" spans="2:12" x14ac:dyDescent="0.3">
      <c r="B1232" s="25">
        <v>1235</v>
      </c>
      <c r="C1232" s="33">
        <v>5385</v>
      </c>
      <c r="D1232" s="33" t="s">
        <v>386</v>
      </c>
      <c r="E1232" s="35">
        <v>44536</v>
      </c>
      <c r="F1232" s="33">
        <v>4</v>
      </c>
      <c r="G1232" s="33" t="s">
        <v>124</v>
      </c>
      <c r="H1232" s="33" t="s">
        <v>71</v>
      </c>
      <c r="I1232" s="33" t="s">
        <v>197</v>
      </c>
      <c r="J1232" s="34">
        <v>819.09</v>
      </c>
      <c r="K1232" s="34"/>
      <c r="L1232" s="34">
        <v>819.09</v>
      </c>
    </row>
    <row r="1233" spans="2:12" x14ac:dyDescent="0.3">
      <c r="B1233" s="25">
        <v>1236</v>
      </c>
      <c r="C1233" s="33">
        <v>5439</v>
      </c>
      <c r="D1233" s="33" t="s">
        <v>377</v>
      </c>
      <c r="E1233" s="35">
        <v>44539</v>
      </c>
      <c r="F1233" s="33">
        <v>4</v>
      </c>
      <c r="G1233" s="33" t="s">
        <v>124</v>
      </c>
      <c r="H1233" s="33" t="s">
        <v>71</v>
      </c>
      <c r="I1233" s="33" t="s">
        <v>197</v>
      </c>
      <c r="J1233" s="34">
        <v>372.44</v>
      </c>
      <c r="K1233" s="34"/>
      <c r="L1233" s="34">
        <v>372.44</v>
      </c>
    </row>
    <row r="1234" spans="2:12" x14ac:dyDescent="0.3">
      <c r="B1234" s="25">
        <v>1237</v>
      </c>
      <c r="C1234" s="33">
        <v>7019</v>
      </c>
      <c r="D1234" s="33" t="s">
        <v>769</v>
      </c>
      <c r="E1234" s="35">
        <v>44539</v>
      </c>
      <c r="F1234" s="33">
        <v>4</v>
      </c>
      <c r="G1234" s="33" t="s">
        <v>232</v>
      </c>
      <c r="H1234" s="33" t="s">
        <v>71</v>
      </c>
      <c r="I1234" s="33" t="s">
        <v>75</v>
      </c>
      <c r="J1234" s="34">
        <v>437.81</v>
      </c>
      <c r="K1234" s="34"/>
      <c r="L1234" s="34">
        <v>437.81</v>
      </c>
    </row>
    <row r="1235" spans="2:12" x14ac:dyDescent="0.3">
      <c r="B1235" s="25">
        <v>1238</v>
      </c>
      <c r="C1235" s="33">
        <v>5336</v>
      </c>
      <c r="D1235" s="33" t="s">
        <v>277</v>
      </c>
      <c r="E1235" s="35">
        <v>44531</v>
      </c>
      <c r="F1235" s="33">
        <v>4</v>
      </c>
      <c r="G1235" s="33" t="s">
        <v>124</v>
      </c>
      <c r="H1235" s="33" t="s">
        <v>71</v>
      </c>
      <c r="I1235" s="33" t="s">
        <v>197</v>
      </c>
      <c r="J1235" s="34">
        <v>489.06</v>
      </c>
      <c r="K1235" s="34"/>
      <c r="L1235" s="34">
        <v>489.06</v>
      </c>
    </row>
    <row r="1236" spans="2:12" x14ac:dyDescent="0.3">
      <c r="B1236" s="25">
        <v>1239</v>
      </c>
      <c r="C1236" s="33">
        <v>5383</v>
      </c>
      <c r="D1236" s="33" t="s">
        <v>770</v>
      </c>
      <c r="E1236" s="35">
        <v>44536</v>
      </c>
      <c r="F1236" s="33">
        <v>4</v>
      </c>
      <c r="G1236" s="33" t="s">
        <v>231</v>
      </c>
      <c r="H1236" s="33" t="s">
        <v>71</v>
      </c>
      <c r="I1236" s="33" t="s">
        <v>198</v>
      </c>
      <c r="J1236" s="34">
        <v>1344.91</v>
      </c>
      <c r="K1236" s="34"/>
      <c r="L1236" s="34">
        <v>1344.91</v>
      </c>
    </row>
    <row r="1237" spans="2:12" x14ac:dyDescent="0.3">
      <c r="B1237" s="25">
        <v>1240</v>
      </c>
      <c r="C1237" s="33">
        <v>5422</v>
      </c>
      <c r="D1237" s="33" t="s">
        <v>420</v>
      </c>
      <c r="E1237" s="35">
        <v>44539</v>
      </c>
      <c r="F1237" s="33">
        <v>4</v>
      </c>
      <c r="G1237" s="33" t="s">
        <v>232</v>
      </c>
      <c r="H1237" s="33" t="s">
        <v>71</v>
      </c>
      <c r="I1237" s="33" t="s">
        <v>75</v>
      </c>
      <c r="J1237" s="34">
        <v>692.74</v>
      </c>
      <c r="K1237" s="34">
        <v>80</v>
      </c>
      <c r="L1237" s="34">
        <v>612.74</v>
      </c>
    </row>
    <row r="1238" spans="2:12" x14ac:dyDescent="0.3">
      <c r="B1238" s="25">
        <v>1241</v>
      </c>
      <c r="C1238" s="33">
        <v>5461</v>
      </c>
      <c r="D1238" s="33" t="s">
        <v>277</v>
      </c>
      <c r="E1238" s="35">
        <v>44540</v>
      </c>
      <c r="F1238" s="33">
        <v>4</v>
      </c>
      <c r="G1238" s="33" t="s">
        <v>124</v>
      </c>
      <c r="H1238" s="33" t="s">
        <v>71</v>
      </c>
      <c r="I1238" s="33" t="s">
        <v>197</v>
      </c>
      <c r="J1238" s="34">
        <v>1571.11</v>
      </c>
      <c r="K1238" s="34"/>
      <c r="L1238" s="34">
        <v>1571.11</v>
      </c>
    </row>
    <row r="1239" spans="2:12" x14ac:dyDescent="0.3">
      <c r="B1239" s="25">
        <v>1242</v>
      </c>
      <c r="C1239" s="33">
        <v>5493</v>
      </c>
      <c r="D1239" s="33" t="s">
        <v>386</v>
      </c>
      <c r="E1239" s="35">
        <v>44543</v>
      </c>
      <c r="F1239" s="33">
        <v>4</v>
      </c>
      <c r="G1239" s="33" t="s">
        <v>124</v>
      </c>
      <c r="H1239" s="33" t="s">
        <v>71</v>
      </c>
      <c r="I1239" s="33" t="s">
        <v>197</v>
      </c>
      <c r="J1239" s="34">
        <v>2319.33</v>
      </c>
      <c r="K1239" s="34"/>
      <c r="L1239" s="34">
        <v>2319.33</v>
      </c>
    </row>
    <row r="1240" spans="2:12" x14ac:dyDescent="0.3">
      <c r="B1240" s="25">
        <v>1243</v>
      </c>
      <c r="C1240" s="33">
        <v>5542</v>
      </c>
      <c r="D1240" s="33" t="s">
        <v>771</v>
      </c>
      <c r="E1240" s="35">
        <v>44546</v>
      </c>
      <c r="F1240" s="33">
        <v>4</v>
      </c>
      <c r="G1240" s="33" t="s">
        <v>231</v>
      </c>
      <c r="H1240" s="33" t="s">
        <v>71</v>
      </c>
      <c r="I1240" s="33" t="s">
        <v>198</v>
      </c>
      <c r="J1240" s="34">
        <v>1413.32</v>
      </c>
      <c r="K1240" s="34"/>
      <c r="L1240" s="34">
        <v>1413.32</v>
      </c>
    </row>
    <row r="1241" spans="2:12" x14ac:dyDescent="0.3">
      <c r="B1241" s="25">
        <v>1244</v>
      </c>
      <c r="C1241" s="33">
        <v>5543</v>
      </c>
      <c r="D1241" s="33" t="s">
        <v>654</v>
      </c>
      <c r="E1241" s="35">
        <v>44546</v>
      </c>
      <c r="F1241" s="33">
        <v>4</v>
      </c>
      <c r="G1241" s="33" t="s">
        <v>232</v>
      </c>
      <c r="H1241" s="33" t="s">
        <v>71</v>
      </c>
      <c r="I1241" s="33" t="s">
        <v>75</v>
      </c>
      <c r="J1241" s="34">
        <v>883.41</v>
      </c>
      <c r="K1241" s="34"/>
      <c r="L1241" s="34">
        <v>883.41</v>
      </c>
    </row>
    <row r="1242" spans="2:12" x14ac:dyDescent="0.3">
      <c r="B1242" s="25">
        <v>1245</v>
      </c>
      <c r="C1242" s="33">
        <v>5687</v>
      </c>
      <c r="D1242" s="33" t="s">
        <v>372</v>
      </c>
      <c r="E1242" s="35">
        <v>44551</v>
      </c>
      <c r="F1242" s="33">
        <v>4</v>
      </c>
      <c r="G1242" s="33" t="s">
        <v>124</v>
      </c>
      <c r="H1242" s="33" t="s">
        <v>71</v>
      </c>
      <c r="I1242" s="33" t="s">
        <v>197</v>
      </c>
      <c r="J1242" s="34">
        <v>1360.6</v>
      </c>
      <c r="K1242" s="34"/>
      <c r="L1242" s="34">
        <v>1360.6</v>
      </c>
    </row>
    <row r="1243" spans="2:12" x14ac:dyDescent="0.3">
      <c r="B1243" s="25">
        <v>1246</v>
      </c>
      <c r="C1243" s="33">
        <v>5704</v>
      </c>
      <c r="D1243" s="33" t="s">
        <v>275</v>
      </c>
      <c r="E1243" s="35">
        <v>44551</v>
      </c>
      <c r="F1243" s="33">
        <v>4</v>
      </c>
      <c r="G1243" s="33" t="s">
        <v>124</v>
      </c>
      <c r="H1243" s="33" t="s">
        <v>71</v>
      </c>
      <c r="I1243" s="33" t="s">
        <v>197</v>
      </c>
      <c r="J1243" s="34">
        <v>2113.77</v>
      </c>
      <c r="K1243" s="34"/>
      <c r="L1243" s="34">
        <v>2113.77</v>
      </c>
    </row>
    <row r="1244" spans="2:12" x14ac:dyDescent="0.3">
      <c r="B1244" s="25">
        <v>1247</v>
      </c>
      <c r="C1244" s="33">
        <v>5749</v>
      </c>
      <c r="D1244" s="33" t="s">
        <v>772</v>
      </c>
      <c r="E1244" s="35">
        <v>44553</v>
      </c>
      <c r="F1244" s="33">
        <v>4</v>
      </c>
      <c r="G1244" s="33" t="s">
        <v>124</v>
      </c>
      <c r="H1244" s="33" t="s">
        <v>71</v>
      </c>
      <c r="I1244" s="33" t="s">
        <v>197</v>
      </c>
      <c r="J1244" s="34">
        <v>1059.99</v>
      </c>
      <c r="K1244" s="34"/>
      <c r="L1244" s="34">
        <v>1059.99</v>
      </c>
    </row>
    <row r="1245" spans="2:12" x14ac:dyDescent="0.3">
      <c r="B1245" s="25">
        <v>1248</v>
      </c>
      <c r="C1245" s="33">
        <v>4885</v>
      </c>
      <c r="D1245" s="33" t="s">
        <v>544</v>
      </c>
      <c r="E1245" s="35">
        <v>44504</v>
      </c>
      <c r="F1245" s="33">
        <v>4</v>
      </c>
      <c r="G1245" s="33" t="s">
        <v>122</v>
      </c>
      <c r="H1245" s="33" t="s">
        <v>71</v>
      </c>
      <c r="I1245" s="33" t="s">
        <v>196</v>
      </c>
      <c r="J1245" s="34">
        <v>4931.42</v>
      </c>
      <c r="K1245" s="34"/>
      <c r="L1245" s="34">
        <v>4931.42</v>
      </c>
    </row>
    <row r="1246" spans="2:12" x14ac:dyDescent="0.3">
      <c r="B1246" s="25">
        <v>1249</v>
      </c>
      <c r="C1246" s="33">
        <v>4843</v>
      </c>
      <c r="D1246" s="33" t="s">
        <v>773</v>
      </c>
      <c r="E1246" s="35">
        <v>44503</v>
      </c>
      <c r="F1246" s="33">
        <v>4</v>
      </c>
      <c r="G1246" s="33" t="s">
        <v>232</v>
      </c>
      <c r="H1246" s="33" t="s">
        <v>71</v>
      </c>
      <c r="I1246" s="33" t="s">
        <v>75</v>
      </c>
      <c r="J1246" s="34">
        <v>1110.6500000000001</v>
      </c>
      <c r="K1246" s="34"/>
      <c r="L1246" s="34">
        <v>1110.6500000000001</v>
      </c>
    </row>
    <row r="1247" spans="2:12" x14ac:dyDescent="0.3">
      <c r="B1247" s="25">
        <v>1250</v>
      </c>
      <c r="C1247" s="33">
        <v>55703</v>
      </c>
      <c r="D1247" s="33" t="s">
        <v>281</v>
      </c>
      <c r="E1247" s="35">
        <v>44540</v>
      </c>
      <c r="F1247" s="33">
        <v>4</v>
      </c>
      <c r="G1247" s="33" t="s">
        <v>124</v>
      </c>
      <c r="H1247" s="33" t="s">
        <v>69</v>
      </c>
      <c r="I1247" s="33" t="s">
        <v>197</v>
      </c>
      <c r="J1247" s="34">
        <v>240</v>
      </c>
      <c r="K1247" s="34"/>
      <c r="L1247" s="34">
        <v>240</v>
      </c>
    </row>
    <row r="1248" spans="2:12" x14ac:dyDescent="0.3">
      <c r="B1248" s="25">
        <v>1251</v>
      </c>
      <c r="C1248" s="33">
        <v>19977</v>
      </c>
      <c r="D1248" s="33" t="s">
        <v>410</v>
      </c>
      <c r="E1248" s="35">
        <v>44545</v>
      </c>
      <c r="F1248" s="33">
        <v>4</v>
      </c>
      <c r="G1248" s="33" t="s">
        <v>231</v>
      </c>
      <c r="H1248" s="33" t="s">
        <v>69</v>
      </c>
      <c r="I1248" s="33" t="s">
        <v>198</v>
      </c>
      <c r="J1248" s="34">
        <v>258</v>
      </c>
      <c r="K1248" s="34"/>
      <c r="L1248" s="34">
        <v>258</v>
      </c>
    </row>
    <row r="1249" spans="2:12" x14ac:dyDescent="0.3">
      <c r="B1249" s="25">
        <v>1252</v>
      </c>
      <c r="C1249" s="33">
        <v>55691</v>
      </c>
      <c r="D1249" s="33" t="s">
        <v>400</v>
      </c>
      <c r="E1249" s="35">
        <v>44540</v>
      </c>
      <c r="F1249" s="33">
        <v>4</v>
      </c>
      <c r="G1249" s="33" t="s">
        <v>231</v>
      </c>
      <c r="H1249" s="33" t="s">
        <v>69</v>
      </c>
      <c r="I1249" s="33" t="s">
        <v>198</v>
      </c>
      <c r="J1249" s="34">
        <v>518.44000000000005</v>
      </c>
      <c r="K1249" s="34"/>
      <c r="L1249" s="34">
        <v>518.44000000000005</v>
      </c>
    </row>
    <row r="1250" spans="2:12" x14ac:dyDescent="0.3">
      <c r="B1250" s="25">
        <v>1253</v>
      </c>
      <c r="C1250" s="33">
        <v>55692</v>
      </c>
      <c r="D1250" s="33" t="s">
        <v>400</v>
      </c>
      <c r="E1250" s="35">
        <v>44540</v>
      </c>
      <c r="F1250" s="33">
        <v>4</v>
      </c>
      <c r="G1250" s="33" t="s">
        <v>231</v>
      </c>
      <c r="H1250" s="33" t="s">
        <v>69</v>
      </c>
      <c r="I1250" s="33" t="s">
        <v>198</v>
      </c>
      <c r="J1250" s="34">
        <v>7.27</v>
      </c>
      <c r="K1250" s="34"/>
      <c r="L1250" s="34">
        <v>7.27</v>
      </c>
    </row>
    <row r="1251" spans="2:12" x14ac:dyDescent="0.3">
      <c r="B1251" s="25">
        <v>1254</v>
      </c>
      <c r="C1251" s="33">
        <v>55693</v>
      </c>
      <c r="D1251" s="33" t="s">
        <v>400</v>
      </c>
      <c r="E1251" s="35">
        <v>44540</v>
      </c>
      <c r="F1251" s="33">
        <v>4</v>
      </c>
      <c r="G1251" s="33" t="s">
        <v>231</v>
      </c>
      <c r="H1251" s="33" t="s">
        <v>69</v>
      </c>
      <c r="I1251" s="33" t="s">
        <v>198</v>
      </c>
      <c r="J1251" s="34">
        <v>64.989999999999995</v>
      </c>
      <c r="K1251" s="34"/>
      <c r="L1251" s="34">
        <v>64.989999999999995</v>
      </c>
    </row>
    <row r="1252" spans="2:12" x14ac:dyDescent="0.3">
      <c r="B1252" s="25">
        <v>1255</v>
      </c>
      <c r="C1252" s="33">
        <v>55694</v>
      </c>
      <c r="D1252" s="33" t="s">
        <v>400</v>
      </c>
      <c r="E1252" s="35">
        <v>44540</v>
      </c>
      <c r="F1252" s="33">
        <v>4</v>
      </c>
      <c r="G1252" s="33" t="s">
        <v>231</v>
      </c>
      <c r="H1252" s="33" t="s">
        <v>69</v>
      </c>
      <c r="I1252" s="33" t="s">
        <v>198</v>
      </c>
      <c r="J1252" s="34">
        <v>24.25</v>
      </c>
      <c r="K1252" s="34"/>
      <c r="L1252" s="34">
        <v>24.25</v>
      </c>
    </row>
    <row r="1253" spans="2:12" x14ac:dyDescent="0.3">
      <c r="B1253" s="25">
        <v>1256</v>
      </c>
      <c r="C1253" s="33">
        <v>55700</v>
      </c>
      <c r="D1253" s="33" t="s">
        <v>401</v>
      </c>
      <c r="E1253" s="35">
        <v>44540</v>
      </c>
      <c r="F1253" s="33">
        <v>4</v>
      </c>
      <c r="G1253" s="33" t="s">
        <v>231</v>
      </c>
      <c r="H1253" s="33" t="s">
        <v>69</v>
      </c>
      <c r="I1253" s="33" t="s">
        <v>198</v>
      </c>
      <c r="J1253" s="34">
        <v>1849.49</v>
      </c>
      <c r="K1253" s="34"/>
      <c r="L1253" s="34">
        <v>1849.49</v>
      </c>
    </row>
    <row r="1254" spans="2:12" x14ac:dyDescent="0.3">
      <c r="B1254" s="25">
        <v>1257</v>
      </c>
      <c r="C1254" s="33">
        <v>55705</v>
      </c>
      <c r="D1254" s="33" t="s">
        <v>409</v>
      </c>
      <c r="E1254" s="35">
        <v>44540</v>
      </c>
      <c r="F1254" s="33">
        <v>4</v>
      </c>
      <c r="G1254" s="33" t="s">
        <v>231</v>
      </c>
      <c r="H1254" s="33" t="s">
        <v>69</v>
      </c>
      <c r="I1254" s="33" t="s">
        <v>198</v>
      </c>
      <c r="J1254" s="34">
        <v>1874.5</v>
      </c>
      <c r="K1254" s="34"/>
      <c r="L1254" s="34">
        <v>1874.5</v>
      </c>
    </row>
    <row r="1255" spans="2:12" x14ac:dyDescent="0.3">
      <c r="B1255" s="25">
        <v>1258</v>
      </c>
      <c r="C1255" s="33">
        <v>55779</v>
      </c>
      <c r="D1255" s="33" t="s">
        <v>404</v>
      </c>
      <c r="E1255" s="35">
        <v>44552</v>
      </c>
      <c r="F1255" s="33">
        <v>4</v>
      </c>
      <c r="G1255" s="33" t="s">
        <v>122</v>
      </c>
      <c r="H1255" s="33" t="s">
        <v>69</v>
      </c>
      <c r="I1255" s="33" t="s">
        <v>196</v>
      </c>
      <c r="J1255" s="34">
        <v>17.5</v>
      </c>
      <c r="K1255" s="34"/>
      <c r="L1255" s="34">
        <v>17.5</v>
      </c>
    </row>
    <row r="1256" spans="2:12" x14ac:dyDescent="0.3">
      <c r="B1256" s="25">
        <v>1259</v>
      </c>
      <c r="C1256" s="33">
        <v>2964</v>
      </c>
      <c r="D1256" s="33" t="s">
        <v>411</v>
      </c>
      <c r="E1256" s="35">
        <v>44470</v>
      </c>
      <c r="F1256" s="33">
        <v>4</v>
      </c>
      <c r="G1256" s="33" t="s">
        <v>122</v>
      </c>
      <c r="H1256" s="33" t="s">
        <v>201</v>
      </c>
      <c r="I1256" s="33" t="s">
        <v>196</v>
      </c>
      <c r="J1256" s="34">
        <v>19731.36</v>
      </c>
      <c r="K1256" s="34"/>
      <c r="L1256" s="34">
        <v>19731.36</v>
      </c>
    </row>
    <row r="1257" spans="2:12" x14ac:dyDescent="0.3">
      <c r="B1257" s="25">
        <v>1260</v>
      </c>
      <c r="C1257" s="33">
        <v>7053</v>
      </c>
      <c r="D1257" s="33" t="s">
        <v>774</v>
      </c>
      <c r="E1257" s="35">
        <v>44553</v>
      </c>
      <c r="F1257" s="33">
        <v>4</v>
      </c>
      <c r="G1257" s="33" t="s">
        <v>122</v>
      </c>
      <c r="H1257" s="33" t="s">
        <v>201</v>
      </c>
      <c r="I1257" s="33" t="s">
        <v>196</v>
      </c>
      <c r="J1257" s="34">
        <v>9140.4</v>
      </c>
      <c r="K1257" s="34"/>
      <c r="L1257" s="34">
        <v>9140.4</v>
      </c>
    </row>
    <row r="1258" spans="2:12" x14ac:dyDescent="0.3">
      <c r="B1258" s="25">
        <v>1261</v>
      </c>
      <c r="C1258" s="33">
        <v>4938</v>
      </c>
      <c r="D1258" s="33" t="s">
        <v>775</v>
      </c>
      <c r="E1258" s="35">
        <v>44482</v>
      </c>
      <c r="F1258" s="33">
        <v>4</v>
      </c>
      <c r="G1258" s="33" t="s">
        <v>122</v>
      </c>
      <c r="H1258" s="33" t="s">
        <v>201</v>
      </c>
      <c r="I1258" s="33" t="s">
        <v>196</v>
      </c>
      <c r="J1258" s="34">
        <v>730</v>
      </c>
      <c r="K1258" s="34"/>
      <c r="L1258" s="34">
        <v>730</v>
      </c>
    </row>
    <row r="1259" spans="2:12" x14ac:dyDescent="0.3">
      <c r="B1259" s="25">
        <v>1262</v>
      </c>
      <c r="C1259" s="33">
        <v>5372</v>
      </c>
      <c r="D1259" s="33" t="s">
        <v>775</v>
      </c>
      <c r="E1259" s="35">
        <v>44497</v>
      </c>
      <c r="F1259" s="33">
        <v>4</v>
      </c>
      <c r="G1259" s="33" t="s">
        <v>122</v>
      </c>
      <c r="H1259" s="33" t="s">
        <v>201</v>
      </c>
      <c r="I1259" s="33" t="s">
        <v>196</v>
      </c>
      <c r="J1259" s="34">
        <v>2190</v>
      </c>
      <c r="K1259" s="34"/>
      <c r="L1259" s="34">
        <v>2190</v>
      </c>
    </row>
    <row r="1260" spans="2:12" x14ac:dyDescent="0.3">
      <c r="B1260" s="25">
        <v>1263</v>
      </c>
      <c r="C1260" s="33" t="s">
        <v>776</v>
      </c>
      <c r="D1260" s="33" t="s">
        <v>662</v>
      </c>
      <c r="E1260" s="35">
        <v>44518</v>
      </c>
      <c r="F1260" s="33">
        <v>4</v>
      </c>
      <c r="G1260" s="33" t="s">
        <v>124</v>
      </c>
      <c r="H1260" s="33" t="s">
        <v>72</v>
      </c>
      <c r="I1260" s="33" t="s">
        <v>197</v>
      </c>
      <c r="J1260" s="34">
        <v>-6124</v>
      </c>
      <c r="K1260" s="34"/>
      <c r="L1260" s="34">
        <v>-6124</v>
      </c>
    </row>
    <row r="1261" spans="2:12" x14ac:dyDescent="0.3">
      <c r="B1261" s="25">
        <v>1264</v>
      </c>
      <c r="C1261" s="33">
        <v>32393</v>
      </c>
      <c r="D1261" s="33" t="s">
        <v>761</v>
      </c>
      <c r="E1261" s="35">
        <v>44524</v>
      </c>
      <c r="F1261" s="33">
        <v>4</v>
      </c>
      <c r="G1261" s="33" t="s">
        <v>231</v>
      </c>
      <c r="H1261" s="33" t="s">
        <v>72</v>
      </c>
      <c r="I1261" s="33" t="s">
        <v>198</v>
      </c>
      <c r="J1261" s="34">
        <v>7554</v>
      </c>
      <c r="K1261" s="34"/>
      <c r="L1261" s="34">
        <v>7554</v>
      </c>
    </row>
    <row r="1262" spans="2:12" x14ac:dyDescent="0.3">
      <c r="B1262" s="25">
        <v>1265</v>
      </c>
      <c r="C1262" s="33" t="s">
        <v>777</v>
      </c>
      <c r="D1262" s="33" t="s">
        <v>778</v>
      </c>
      <c r="E1262" s="35">
        <v>44547</v>
      </c>
      <c r="F1262" s="33">
        <v>4</v>
      </c>
      <c r="G1262" s="33" t="s">
        <v>124</v>
      </c>
      <c r="H1262" s="33" t="s">
        <v>71</v>
      </c>
      <c r="I1262" s="33" t="s">
        <v>197</v>
      </c>
      <c r="J1262" s="34">
        <v>836.83</v>
      </c>
      <c r="K1262" s="34"/>
      <c r="L1262" s="34">
        <v>836.83</v>
      </c>
    </row>
    <row r="1263" spans="2:12" x14ac:dyDescent="0.3">
      <c r="B1263" s="25">
        <v>1266</v>
      </c>
      <c r="C1263" s="33">
        <v>5630</v>
      </c>
      <c r="D1263" s="33" t="s">
        <v>778</v>
      </c>
      <c r="E1263" s="35">
        <v>44550</v>
      </c>
      <c r="F1263" s="33">
        <v>4</v>
      </c>
      <c r="G1263" s="33" t="s">
        <v>122</v>
      </c>
      <c r="H1263" s="33" t="s">
        <v>71</v>
      </c>
      <c r="I1263" s="33" t="s">
        <v>196</v>
      </c>
      <c r="J1263" s="34">
        <v>582.99</v>
      </c>
      <c r="K1263" s="34"/>
      <c r="L1263" s="34">
        <v>582.99</v>
      </c>
    </row>
    <row r="1264" spans="2:12" x14ac:dyDescent="0.3">
      <c r="B1264" s="25">
        <v>1267</v>
      </c>
      <c r="C1264" s="33">
        <v>874</v>
      </c>
      <c r="D1264" s="33" t="s">
        <v>474</v>
      </c>
      <c r="E1264" s="35">
        <v>44470</v>
      </c>
      <c r="F1264" s="33">
        <v>4</v>
      </c>
      <c r="G1264" s="33" t="s">
        <v>231</v>
      </c>
      <c r="H1264" s="33" t="s">
        <v>70</v>
      </c>
      <c r="I1264" s="33" t="s">
        <v>198</v>
      </c>
      <c r="J1264" s="34">
        <v>4664</v>
      </c>
      <c r="K1264" s="34">
        <v>95</v>
      </c>
      <c r="L1264" s="34">
        <v>4569</v>
      </c>
    </row>
    <row r="1265" spans="2:12" x14ac:dyDescent="0.3">
      <c r="B1265" s="25">
        <v>1268</v>
      </c>
      <c r="C1265" s="33">
        <v>875</v>
      </c>
      <c r="D1265" s="33" t="s">
        <v>477</v>
      </c>
      <c r="E1265" s="35">
        <v>44470</v>
      </c>
      <c r="F1265" s="33">
        <v>4</v>
      </c>
      <c r="G1265" s="33" t="s">
        <v>231</v>
      </c>
      <c r="H1265" s="33" t="s">
        <v>70</v>
      </c>
      <c r="I1265" s="33" t="s">
        <v>198</v>
      </c>
      <c r="J1265" s="34">
        <v>4131</v>
      </c>
      <c r="K1265" s="34"/>
      <c r="L1265" s="34">
        <v>4131</v>
      </c>
    </row>
    <row r="1266" spans="2:12" x14ac:dyDescent="0.3">
      <c r="B1266" s="25">
        <v>1269</v>
      </c>
      <c r="C1266" s="33" t="s">
        <v>779</v>
      </c>
      <c r="D1266" s="33" t="s">
        <v>477</v>
      </c>
      <c r="E1266" s="35">
        <v>44530</v>
      </c>
      <c r="F1266" s="33">
        <v>4</v>
      </c>
      <c r="G1266" s="33" t="s">
        <v>231</v>
      </c>
      <c r="H1266" s="33" t="s">
        <v>70</v>
      </c>
      <c r="I1266" s="33" t="s">
        <v>198</v>
      </c>
      <c r="J1266" s="34">
        <v>3924</v>
      </c>
      <c r="K1266" s="34"/>
      <c r="L1266" s="34">
        <v>3924</v>
      </c>
    </row>
    <row r="1267" spans="2:12" x14ac:dyDescent="0.3">
      <c r="B1267" s="25">
        <v>1270</v>
      </c>
      <c r="C1267" s="33" t="s">
        <v>780</v>
      </c>
      <c r="D1267" s="33" t="s">
        <v>493</v>
      </c>
      <c r="E1267" s="35">
        <v>44530</v>
      </c>
      <c r="F1267" s="33">
        <v>4</v>
      </c>
      <c r="G1267" s="33" t="s">
        <v>122</v>
      </c>
      <c r="H1267" s="33" t="s">
        <v>70</v>
      </c>
      <c r="I1267" s="33" t="s">
        <v>196</v>
      </c>
      <c r="J1267" s="34">
        <v>2226</v>
      </c>
      <c r="K1267" s="34">
        <v>75</v>
      </c>
      <c r="L1267" s="34">
        <v>2151</v>
      </c>
    </row>
    <row r="1268" spans="2:12" x14ac:dyDescent="0.3">
      <c r="B1268" s="25">
        <v>1271</v>
      </c>
      <c r="C1268" s="33">
        <v>3889</v>
      </c>
      <c r="D1268" s="33" t="s">
        <v>781</v>
      </c>
      <c r="E1268" s="35">
        <v>44470</v>
      </c>
      <c r="F1268" s="33">
        <v>4</v>
      </c>
      <c r="G1268" s="33" t="s">
        <v>231</v>
      </c>
      <c r="H1268" s="33" t="s">
        <v>630</v>
      </c>
      <c r="I1268" s="33" t="s">
        <v>198</v>
      </c>
      <c r="J1268" s="34">
        <v>440.4</v>
      </c>
      <c r="K1268" s="34">
        <v>30</v>
      </c>
      <c r="L1268" s="34">
        <v>410.4</v>
      </c>
    </row>
    <row r="1269" spans="2:12" x14ac:dyDescent="0.3">
      <c r="B1269" s="25">
        <v>1273</v>
      </c>
      <c r="C1269" s="33">
        <v>4135</v>
      </c>
      <c r="D1269" s="33" t="s">
        <v>782</v>
      </c>
      <c r="E1269" s="35">
        <v>44537</v>
      </c>
      <c r="F1269" s="33">
        <v>4</v>
      </c>
      <c r="G1269" s="33" t="s">
        <v>122</v>
      </c>
      <c r="H1269" s="33" t="s">
        <v>630</v>
      </c>
      <c r="I1269" s="33" t="s">
        <v>196</v>
      </c>
      <c r="J1269" s="34">
        <v>689.2</v>
      </c>
      <c r="K1269" s="34">
        <v>30</v>
      </c>
      <c r="L1269" s="34">
        <v>659.2</v>
      </c>
    </row>
    <row r="1270" spans="2:12" x14ac:dyDescent="0.3">
      <c r="B1270" s="25">
        <v>1274</v>
      </c>
      <c r="C1270" s="33">
        <v>5716</v>
      </c>
      <c r="D1270" s="33" t="s">
        <v>783</v>
      </c>
      <c r="E1270" s="35">
        <v>44552</v>
      </c>
      <c r="F1270" s="33">
        <v>4</v>
      </c>
      <c r="G1270" s="33" t="s">
        <v>122</v>
      </c>
      <c r="H1270" s="33" t="s">
        <v>71</v>
      </c>
      <c r="I1270" s="33" t="s">
        <v>196</v>
      </c>
      <c r="J1270" s="34">
        <v>880.16</v>
      </c>
      <c r="K1270" s="34">
        <v>80</v>
      </c>
      <c r="L1270" s="34">
        <v>800.16</v>
      </c>
    </row>
    <row r="1271" spans="2:12" x14ac:dyDescent="0.3">
      <c r="B1271" s="25">
        <v>1275</v>
      </c>
      <c r="C1271" s="33" t="s">
        <v>784</v>
      </c>
      <c r="D1271" s="33" t="s">
        <v>783</v>
      </c>
      <c r="E1271" s="35">
        <v>44566</v>
      </c>
      <c r="F1271" s="33">
        <v>1</v>
      </c>
      <c r="G1271" s="33" t="s">
        <v>124</v>
      </c>
      <c r="H1271" s="33" t="s">
        <v>71</v>
      </c>
      <c r="I1271" s="33" t="s">
        <v>197</v>
      </c>
      <c r="J1271" s="34">
        <v>1228.55</v>
      </c>
      <c r="K1271" s="34">
        <v>80</v>
      </c>
      <c r="L1271" s="34">
        <v>1148.55</v>
      </c>
    </row>
    <row r="1272" spans="2:12" x14ac:dyDescent="0.3">
      <c r="B1272" s="25">
        <v>1276</v>
      </c>
      <c r="C1272" s="33" t="s">
        <v>785</v>
      </c>
      <c r="D1272" s="33" t="s">
        <v>394</v>
      </c>
      <c r="E1272" s="35">
        <v>44503</v>
      </c>
      <c r="F1272" s="33">
        <v>4</v>
      </c>
      <c r="G1272" s="33" t="s">
        <v>122</v>
      </c>
      <c r="H1272" s="33" t="s">
        <v>72</v>
      </c>
      <c r="I1272" s="33" t="s">
        <v>196</v>
      </c>
      <c r="J1272" s="34">
        <v>-4018</v>
      </c>
      <c r="K1272" s="34"/>
      <c r="L1272" s="34">
        <v>-4018</v>
      </c>
    </row>
    <row r="1273" spans="2:12" x14ac:dyDescent="0.3">
      <c r="B1273" s="25">
        <v>1277</v>
      </c>
      <c r="C1273" s="33">
        <v>32228</v>
      </c>
      <c r="D1273" s="33" t="s">
        <v>394</v>
      </c>
      <c r="E1273" s="35">
        <v>44503</v>
      </c>
      <c r="F1273" s="33">
        <v>4</v>
      </c>
      <c r="G1273" s="33" t="s">
        <v>122</v>
      </c>
      <c r="H1273" s="33" t="s">
        <v>72</v>
      </c>
      <c r="I1273" s="33" t="s">
        <v>196</v>
      </c>
      <c r="J1273" s="34">
        <v>6697</v>
      </c>
      <c r="K1273" s="34"/>
      <c r="L1273" s="34">
        <v>6697</v>
      </c>
    </row>
    <row r="1274" spans="2:12" x14ac:dyDescent="0.3">
      <c r="B1274" s="25">
        <v>1278</v>
      </c>
      <c r="C1274" s="33">
        <v>130</v>
      </c>
      <c r="D1274" s="33" t="s">
        <v>786</v>
      </c>
      <c r="E1274" s="35">
        <v>44575</v>
      </c>
      <c r="F1274" s="33">
        <v>1</v>
      </c>
      <c r="G1274" s="33" t="s">
        <v>122</v>
      </c>
      <c r="H1274" s="33" t="s">
        <v>71</v>
      </c>
      <c r="I1274" s="33" t="s">
        <v>196</v>
      </c>
      <c r="J1274" s="34">
        <v>852.78</v>
      </c>
      <c r="K1274" s="34"/>
      <c r="L1274" s="34">
        <v>852.78</v>
      </c>
    </row>
    <row r="1275" spans="2:12" x14ac:dyDescent="0.3">
      <c r="B1275" s="25">
        <v>1279</v>
      </c>
      <c r="C1275" s="33">
        <v>152</v>
      </c>
      <c r="D1275" s="33" t="s">
        <v>787</v>
      </c>
      <c r="E1275" s="35">
        <v>44579</v>
      </c>
      <c r="F1275" s="33">
        <v>1</v>
      </c>
      <c r="G1275" s="33" t="s">
        <v>122</v>
      </c>
      <c r="H1275" s="33" t="s">
        <v>71</v>
      </c>
      <c r="I1275" s="33" t="s">
        <v>196</v>
      </c>
      <c r="J1275" s="34">
        <v>1718.27</v>
      </c>
      <c r="K1275" s="34"/>
      <c r="L1275" s="34">
        <v>1718.27</v>
      </c>
    </row>
    <row r="1276" spans="2:12" x14ac:dyDescent="0.3">
      <c r="B1276" s="25">
        <v>1280</v>
      </c>
      <c r="C1276" s="33">
        <v>5</v>
      </c>
      <c r="D1276" s="33" t="s">
        <v>478</v>
      </c>
      <c r="E1276" s="35">
        <v>44565</v>
      </c>
      <c r="F1276" s="33">
        <v>1</v>
      </c>
      <c r="G1276" s="33" t="s">
        <v>122</v>
      </c>
      <c r="H1276" s="33" t="s">
        <v>71</v>
      </c>
      <c r="I1276" s="33" t="s">
        <v>196</v>
      </c>
      <c r="J1276" s="34">
        <v>8674.56</v>
      </c>
      <c r="K1276" s="34"/>
      <c r="L1276" s="34">
        <v>8674.56</v>
      </c>
    </row>
    <row r="1277" spans="2:12" x14ac:dyDescent="0.3">
      <c r="B1277" s="25">
        <v>1281</v>
      </c>
      <c r="C1277" s="33">
        <v>208</v>
      </c>
      <c r="D1277" s="33" t="s">
        <v>788</v>
      </c>
      <c r="E1277" s="35">
        <v>44580</v>
      </c>
      <c r="F1277" s="33">
        <v>1</v>
      </c>
      <c r="G1277" s="33" t="s">
        <v>122</v>
      </c>
      <c r="H1277" s="33" t="s">
        <v>201</v>
      </c>
      <c r="I1277" s="33" t="s">
        <v>196</v>
      </c>
      <c r="J1277" s="34">
        <v>2778.65</v>
      </c>
      <c r="K1277" s="34"/>
      <c r="L1277" s="34">
        <v>2778.65</v>
      </c>
    </row>
    <row r="1278" spans="2:12" x14ac:dyDescent="0.3">
      <c r="B1278" s="25">
        <v>1282</v>
      </c>
      <c r="C1278" s="33">
        <v>15</v>
      </c>
      <c r="D1278" s="33" t="s">
        <v>277</v>
      </c>
      <c r="E1278" s="35">
        <v>44565</v>
      </c>
      <c r="F1278" s="33">
        <v>1</v>
      </c>
      <c r="G1278" s="33" t="s">
        <v>124</v>
      </c>
      <c r="H1278" s="33" t="s">
        <v>71</v>
      </c>
      <c r="I1278" s="33" t="s">
        <v>197</v>
      </c>
      <c r="J1278" s="34">
        <v>1379.72</v>
      </c>
      <c r="K1278" s="34"/>
      <c r="L1278" s="34">
        <v>1379.72</v>
      </c>
    </row>
    <row r="1279" spans="2:12" x14ac:dyDescent="0.3">
      <c r="B1279" s="25">
        <v>1283</v>
      </c>
      <c r="C1279" s="33">
        <v>17</v>
      </c>
      <c r="D1279" s="33" t="s">
        <v>277</v>
      </c>
      <c r="E1279" s="35">
        <v>44578</v>
      </c>
      <c r="F1279" s="33">
        <v>1</v>
      </c>
      <c r="G1279" s="33" t="s">
        <v>124</v>
      </c>
      <c r="H1279" s="33" t="s">
        <v>71</v>
      </c>
      <c r="I1279" s="33" t="s">
        <v>197</v>
      </c>
      <c r="J1279" s="34">
        <v>1157.76</v>
      </c>
      <c r="K1279" s="34"/>
      <c r="L1279" s="34">
        <v>1157.76</v>
      </c>
    </row>
    <row r="1280" spans="2:12" x14ac:dyDescent="0.3">
      <c r="B1280" s="25">
        <v>1284</v>
      </c>
      <c r="C1280" s="33">
        <v>23</v>
      </c>
      <c r="D1280" s="33" t="s">
        <v>789</v>
      </c>
      <c r="E1280" s="35">
        <v>44568</v>
      </c>
      <c r="F1280" s="33">
        <v>1</v>
      </c>
      <c r="G1280" s="33" t="s">
        <v>231</v>
      </c>
      <c r="H1280" s="33" t="s">
        <v>71</v>
      </c>
      <c r="I1280" s="33" t="s">
        <v>198</v>
      </c>
      <c r="J1280" s="34">
        <v>2254.13</v>
      </c>
      <c r="K1280" s="34"/>
      <c r="L1280" s="34">
        <v>2254.13</v>
      </c>
    </row>
    <row r="1281" spans="2:12" x14ac:dyDescent="0.3">
      <c r="B1281" s="25">
        <v>1285</v>
      </c>
      <c r="C1281" s="33">
        <v>25</v>
      </c>
      <c r="D1281" s="33" t="s">
        <v>790</v>
      </c>
      <c r="E1281" s="35">
        <v>44568</v>
      </c>
      <c r="F1281" s="33">
        <v>1</v>
      </c>
      <c r="G1281" s="33" t="s">
        <v>124</v>
      </c>
      <c r="H1281" s="33" t="s">
        <v>71</v>
      </c>
      <c r="I1281" s="33" t="s">
        <v>197</v>
      </c>
      <c r="J1281" s="34">
        <v>3482.41</v>
      </c>
      <c r="K1281" s="34"/>
      <c r="L1281" s="34">
        <v>3482.41</v>
      </c>
    </row>
    <row r="1282" spans="2:12" x14ac:dyDescent="0.3">
      <c r="B1282" s="25">
        <v>1286</v>
      </c>
      <c r="C1282" s="33">
        <v>108</v>
      </c>
      <c r="D1282" s="33" t="s">
        <v>418</v>
      </c>
      <c r="E1282" s="35">
        <v>44574</v>
      </c>
      <c r="F1282" s="33">
        <v>1</v>
      </c>
      <c r="G1282" s="33" t="s">
        <v>232</v>
      </c>
      <c r="H1282" s="33" t="s">
        <v>71</v>
      </c>
      <c r="I1282" s="33" t="s">
        <v>75</v>
      </c>
      <c r="J1282" s="34">
        <v>399.32</v>
      </c>
      <c r="K1282" s="34">
        <v>80</v>
      </c>
      <c r="L1282" s="34">
        <v>319.32</v>
      </c>
    </row>
    <row r="1283" spans="2:12" x14ac:dyDescent="0.3">
      <c r="B1283" s="25">
        <v>1287</v>
      </c>
      <c r="C1283" s="33">
        <v>110</v>
      </c>
      <c r="D1283" s="33" t="s">
        <v>472</v>
      </c>
      <c r="E1283" s="35">
        <v>44575</v>
      </c>
      <c r="F1283" s="33">
        <v>1</v>
      </c>
      <c r="G1283" s="33" t="s">
        <v>231</v>
      </c>
      <c r="H1283" s="33" t="s">
        <v>71</v>
      </c>
      <c r="I1283" s="33" t="s">
        <v>198</v>
      </c>
      <c r="J1283" s="34">
        <v>2493</v>
      </c>
      <c r="K1283" s="34"/>
      <c r="L1283" s="34">
        <v>2493</v>
      </c>
    </row>
    <row r="1284" spans="2:12" x14ac:dyDescent="0.3">
      <c r="B1284" s="25">
        <v>1288</v>
      </c>
      <c r="C1284" s="33">
        <v>134</v>
      </c>
      <c r="D1284" s="33" t="s">
        <v>791</v>
      </c>
      <c r="E1284" s="35">
        <v>44578</v>
      </c>
      <c r="F1284" s="33">
        <v>1</v>
      </c>
      <c r="G1284" s="33" t="s">
        <v>124</v>
      </c>
      <c r="H1284" s="33" t="s">
        <v>71</v>
      </c>
      <c r="I1284" s="33" t="s">
        <v>197</v>
      </c>
      <c r="J1284" s="34">
        <v>1305.79</v>
      </c>
      <c r="K1284" s="34"/>
      <c r="L1284" s="34">
        <v>1305.79</v>
      </c>
    </row>
    <row r="1285" spans="2:12" x14ac:dyDescent="0.3">
      <c r="B1285" s="25">
        <v>1289</v>
      </c>
      <c r="C1285" s="33">
        <v>219</v>
      </c>
      <c r="D1285" s="33" t="s">
        <v>426</v>
      </c>
      <c r="E1285" s="35">
        <v>44580</v>
      </c>
      <c r="F1285" s="33">
        <v>1</v>
      </c>
      <c r="G1285" s="33" t="s">
        <v>232</v>
      </c>
      <c r="H1285" s="33" t="s">
        <v>71</v>
      </c>
      <c r="I1285" s="33" t="s">
        <v>75</v>
      </c>
      <c r="J1285" s="34">
        <v>1018.52</v>
      </c>
      <c r="K1285" s="34"/>
      <c r="L1285" s="34">
        <v>1018.52</v>
      </c>
    </row>
    <row r="1286" spans="2:12" x14ac:dyDescent="0.3">
      <c r="B1286" s="25">
        <v>1290</v>
      </c>
      <c r="C1286" s="33">
        <v>247</v>
      </c>
      <c r="D1286" s="33" t="s">
        <v>418</v>
      </c>
      <c r="E1286" s="35">
        <v>44582</v>
      </c>
      <c r="F1286" s="33">
        <v>1</v>
      </c>
      <c r="G1286" s="33" t="s">
        <v>232</v>
      </c>
      <c r="H1286" s="33" t="s">
        <v>71</v>
      </c>
      <c r="I1286" s="33" t="s">
        <v>75</v>
      </c>
      <c r="J1286" s="34">
        <v>474.97</v>
      </c>
      <c r="K1286" s="34"/>
      <c r="L1286" s="34">
        <v>474.97</v>
      </c>
    </row>
    <row r="1287" spans="2:12" x14ac:dyDescent="0.3">
      <c r="B1287" s="25">
        <v>1291</v>
      </c>
      <c r="C1287" s="33">
        <v>292</v>
      </c>
      <c r="D1287" s="33" t="s">
        <v>748</v>
      </c>
      <c r="E1287" s="35">
        <v>44585</v>
      </c>
      <c r="F1287" s="33">
        <v>1</v>
      </c>
      <c r="G1287" s="33" t="s">
        <v>122</v>
      </c>
      <c r="H1287" s="33" t="s">
        <v>71</v>
      </c>
      <c r="I1287" s="33" t="s">
        <v>196</v>
      </c>
      <c r="J1287" s="34">
        <v>847.94</v>
      </c>
      <c r="K1287" s="34"/>
      <c r="L1287" s="34">
        <v>847.94</v>
      </c>
    </row>
    <row r="1288" spans="2:12" x14ac:dyDescent="0.3">
      <c r="B1288" s="25">
        <v>1292</v>
      </c>
      <c r="C1288" s="33">
        <v>55</v>
      </c>
      <c r="D1288" s="33" t="s">
        <v>362</v>
      </c>
      <c r="E1288" s="35">
        <v>44574</v>
      </c>
      <c r="F1288" s="33">
        <v>1</v>
      </c>
      <c r="G1288" s="33" t="s">
        <v>124</v>
      </c>
      <c r="H1288" s="33" t="s">
        <v>201</v>
      </c>
      <c r="I1288" s="33" t="s">
        <v>197</v>
      </c>
      <c r="J1288" s="34">
        <v>2155.2199999999998</v>
      </c>
      <c r="K1288" s="34"/>
      <c r="L1288" s="34">
        <v>2155.2199999999998</v>
      </c>
    </row>
    <row r="1289" spans="2:12" x14ac:dyDescent="0.3">
      <c r="B1289" s="25">
        <v>1293</v>
      </c>
      <c r="C1289" s="33" t="s">
        <v>792</v>
      </c>
      <c r="D1289" s="33" t="s">
        <v>554</v>
      </c>
      <c r="E1289" s="35">
        <v>44574</v>
      </c>
      <c r="F1289" s="33">
        <v>1</v>
      </c>
      <c r="G1289" s="33" t="s">
        <v>124</v>
      </c>
      <c r="H1289" s="33" t="s">
        <v>201</v>
      </c>
      <c r="I1289" s="33" t="s">
        <v>197</v>
      </c>
      <c r="J1289" s="34">
        <v>1116.5</v>
      </c>
      <c r="K1289" s="34"/>
      <c r="L1289" s="34">
        <v>1116.5</v>
      </c>
    </row>
    <row r="1290" spans="2:12" x14ac:dyDescent="0.3">
      <c r="B1290" s="25">
        <v>1294</v>
      </c>
      <c r="C1290" s="33">
        <v>64</v>
      </c>
      <c r="D1290" s="33" t="s">
        <v>555</v>
      </c>
      <c r="E1290" s="35">
        <v>44574</v>
      </c>
      <c r="F1290" s="33">
        <v>1</v>
      </c>
      <c r="G1290" s="33" t="s">
        <v>231</v>
      </c>
      <c r="H1290" s="33" t="s">
        <v>201</v>
      </c>
      <c r="I1290" s="33" t="s">
        <v>198</v>
      </c>
      <c r="J1290" s="34">
        <v>2031.7</v>
      </c>
      <c r="K1290" s="34"/>
      <c r="L1290" s="34">
        <v>2031.7</v>
      </c>
    </row>
    <row r="1291" spans="2:12" x14ac:dyDescent="0.3">
      <c r="B1291" s="25">
        <v>1295</v>
      </c>
      <c r="C1291" s="33">
        <v>65</v>
      </c>
      <c r="D1291" s="33" t="s">
        <v>551</v>
      </c>
      <c r="E1291" s="35">
        <v>44574</v>
      </c>
      <c r="F1291" s="33">
        <v>1</v>
      </c>
      <c r="G1291" s="33" t="s">
        <v>231</v>
      </c>
      <c r="H1291" s="33" t="s">
        <v>201</v>
      </c>
      <c r="I1291" s="33" t="s">
        <v>198</v>
      </c>
      <c r="J1291" s="34">
        <v>1166.17</v>
      </c>
      <c r="K1291" s="34"/>
      <c r="L1291" s="34">
        <v>1166.17</v>
      </c>
    </row>
    <row r="1292" spans="2:12" x14ac:dyDescent="0.3">
      <c r="B1292" s="25">
        <v>1296</v>
      </c>
      <c r="C1292" s="33">
        <v>67</v>
      </c>
      <c r="D1292" s="33" t="s">
        <v>793</v>
      </c>
      <c r="E1292" s="35">
        <v>44574</v>
      </c>
      <c r="F1292" s="33">
        <v>1</v>
      </c>
      <c r="G1292" s="33" t="s">
        <v>124</v>
      </c>
      <c r="H1292" s="33" t="s">
        <v>201</v>
      </c>
      <c r="I1292" s="33" t="s">
        <v>197</v>
      </c>
      <c r="J1292" s="34">
        <v>3849.43</v>
      </c>
      <c r="K1292" s="34"/>
      <c r="L1292" s="34">
        <v>3849.43</v>
      </c>
    </row>
    <row r="1293" spans="2:12" x14ac:dyDescent="0.3">
      <c r="B1293" s="25">
        <v>1297</v>
      </c>
      <c r="C1293" s="33">
        <v>74</v>
      </c>
      <c r="D1293" s="33" t="s">
        <v>473</v>
      </c>
      <c r="E1293" s="35">
        <v>44574</v>
      </c>
      <c r="F1293" s="33">
        <v>1</v>
      </c>
      <c r="G1293" s="33" t="s">
        <v>122</v>
      </c>
      <c r="H1293" s="33" t="s">
        <v>201</v>
      </c>
      <c r="I1293" s="33" t="s">
        <v>196</v>
      </c>
      <c r="J1293" s="34">
        <v>5069.29</v>
      </c>
      <c r="K1293" s="34"/>
      <c r="L1293" s="34">
        <v>5069.29</v>
      </c>
    </row>
    <row r="1294" spans="2:12" x14ac:dyDescent="0.3">
      <c r="B1294" s="25">
        <v>1298</v>
      </c>
      <c r="C1294" s="33">
        <v>84</v>
      </c>
      <c r="D1294" s="33" t="s">
        <v>638</v>
      </c>
      <c r="E1294" s="35">
        <v>44574</v>
      </c>
      <c r="F1294" s="33">
        <v>1</v>
      </c>
      <c r="G1294" s="33" t="s">
        <v>231</v>
      </c>
      <c r="H1294" s="33" t="s">
        <v>201</v>
      </c>
      <c r="I1294" s="33" t="s">
        <v>198</v>
      </c>
      <c r="J1294" s="34">
        <v>3552</v>
      </c>
      <c r="K1294" s="34"/>
      <c r="L1294" s="34">
        <v>3552</v>
      </c>
    </row>
    <row r="1295" spans="2:12" x14ac:dyDescent="0.3">
      <c r="B1295" s="25">
        <v>1299</v>
      </c>
      <c r="C1295" s="33">
        <v>85</v>
      </c>
      <c r="D1295" s="33" t="s">
        <v>676</v>
      </c>
      <c r="E1295" s="35">
        <v>44574</v>
      </c>
      <c r="F1295" s="33">
        <v>1</v>
      </c>
      <c r="G1295" s="33" t="s">
        <v>124</v>
      </c>
      <c r="H1295" s="33" t="s">
        <v>201</v>
      </c>
      <c r="I1295" s="33" t="s">
        <v>197</v>
      </c>
      <c r="J1295" s="34">
        <v>4161.6000000000004</v>
      </c>
      <c r="K1295" s="34"/>
      <c r="L1295" s="34">
        <v>4161.6000000000004</v>
      </c>
    </row>
    <row r="1296" spans="2:12" x14ac:dyDescent="0.3">
      <c r="B1296" s="25">
        <v>1300</v>
      </c>
      <c r="C1296" s="33">
        <v>200</v>
      </c>
      <c r="D1296" s="33" t="s">
        <v>473</v>
      </c>
      <c r="E1296" s="35">
        <v>44580</v>
      </c>
      <c r="F1296" s="33">
        <v>1</v>
      </c>
      <c r="G1296" s="33" t="s">
        <v>122</v>
      </c>
      <c r="H1296" s="33" t="s">
        <v>201</v>
      </c>
      <c r="I1296" s="33" t="s">
        <v>196</v>
      </c>
      <c r="J1296" s="34">
        <v>3191.1</v>
      </c>
      <c r="K1296" s="34"/>
      <c r="L1296" s="34">
        <v>3191.1</v>
      </c>
    </row>
    <row r="1297" spans="2:12" x14ac:dyDescent="0.3">
      <c r="B1297" s="25">
        <v>1301</v>
      </c>
      <c r="C1297" s="33">
        <v>201</v>
      </c>
      <c r="D1297" s="33" t="s">
        <v>565</v>
      </c>
      <c r="E1297" s="35">
        <v>44580</v>
      </c>
      <c r="F1297" s="33">
        <v>1</v>
      </c>
      <c r="G1297" s="33" t="s">
        <v>124</v>
      </c>
      <c r="H1297" s="33" t="s">
        <v>201</v>
      </c>
      <c r="I1297" s="33" t="s">
        <v>197</v>
      </c>
      <c r="J1297" s="34">
        <v>1307.3499999999999</v>
      </c>
      <c r="K1297" s="34"/>
      <c r="L1297" s="34">
        <v>1307.3499999999999</v>
      </c>
    </row>
    <row r="1298" spans="2:12" x14ac:dyDescent="0.3">
      <c r="B1298" s="25">
        <v>1302</v>
      </c>
      <c r="C1298" s="33">
        <v>202</v>
      </c>
      <c r="D1298" s="33" t="s">
        <v>609</v>
      </c>
      <c r="E1298" s="35">
        <v>44580</v>
      </c>
      <c r="F1298" s="33">
        <v>1</v>
      </c>
      <c r="G1298" s="33" t="s">
        <v>124</v>
      </c>
      <c r="H1298" s="33" t="s">
        <v>201</v>
      </c>
      <c r="I1298" s="33" t="s">
        <v>197</v>
      </c>
      <c r="J1298" s="34">
        <v>2204.4</v>
      </c>
      <c r="K1298" s="34"/>
      <c r="L1298" s="34">
        <v>2204.4</v>
      </c>
    </row>
    <row r="1299" spans="2:12" x14ac:dyDescent="0.3">
      <c r="B1299" s="25">
        <v>1303</v>
      </c>
      <c r="C1299" s="33">
        <v>203</v>
      </c>
      <c r="D1299" s="33" t="s">
        <v>794</v>
      </c>
      <c r="E1299" s="35">
        <v>44580</v>
      </c>
      <c r="F1299" s="33">
        <v>1</v>
      </c>
      <c r="G1299" s="33" t="s">
        <v>231</v>
      </c>
      <c r="H1299" s="33" t="s">
        <v>201</v>
      </c>
      <c r="I1299" s="33" t="s">
        <v>198</v>
      </c>
      <c r="J1299" s="34">
        <v>428</v>
      </c>
      <c r="K1299" s="34">
        <v>80</v>
      </c>
      <c r="L1299" s="34">
        <v>348</v>
      </c>
    </row>
    <row r="1300" spans="2:12" x14ac:dyDescent="0.3">
      <c r="B1300" s="25">
        <v>1304</v>
      </c>
      <c r="C1300" s="33">
        <v>204</v>
      </c>
      <c r="D1300" s="33" t="s">
        <v>584</v>
      </c>
      <c r="E1300" s="35">
        <v>44580</v>
      </c>
      <c r="F1300" s="33">
        <v>1</v>
      </c>
      <c r="G1300" s="33" t="s">
        <v>122</v>
      </c>
      <c r="H1300" s="33" t="s">
        <v>201</v>
      </c>
      <c r="I1300" s="33" t="s">
        <v>196</v>
      </c>
      <c r="J1300" s="34">
        <v>4851.5600000000004</v>
      </c>
      <c r="K1300" s="34"/>
      <c r="L1300" s="34">
        <v>4851.5600000000004</v>
      </c>
    </row>
    <row r="1301" spans="2:12" x14ac:dyDescent="0.3">
      <c r="B1301" s="25">
        <v>1305</v>
      </c>
      <c r="C1301" s="33">
        <v>205</v>
      </c>
      <c r="D1301" s="33" t="s">
        <v>584</v>
      </c>
      <c r="E1301" s="35">
        <v>44580</v>
      </c>
      <c r="F1301" s="33">
        <v>1</v>
      </c>
      <c r="G1301" s="33" t="s">
        <v>122</v>
      </c>
      <c r="H1301" s="33" t="s">
        <v>201</v>
      </c>
      <c r="I1301" s="33" t="s">
        <v>196</v>
      </c>
      <c r="J1301" s="34">
        <v>9424.76</v>
      </c>
      <c r="K1301" s="34"/>
      <c r="L1301" s="34">
        <v>9424.76</v>
      </c>
    </row>
    <row r="1302" spans="2:12" x14ac:dyDescent="0.3">
      <c r="B1302" s="25">
        <v>1306</v>
      </c>
      <c r="C1302" s="33">
        <v>207</v>
      </c>
      <c r="D1302" s="33" t="s">
        <v>585</v>
      </c>
      <c r="E1302" s="35">
        <v>44580</v>
      </c>
      <c r="F1302" s="33">
        <v>1</v>
      </c>
      <c r="G1302" s="33" t="s">
        <v>231</v>
      </c>
      <c r="H1302" s="33" t="s">
        <v>201</v>
      </c>
      <c r="I1302" s="33" t="s">
        <v>198</v>
      </c>
      <c r="J1302" s="34">
        <v>3122.45</v>
      </c>
      <c r="K1302" s="34"/>
      <c r="L1302" s="34">
        <v>3122.45</v>
      </c>
    </row>
    <row r="1303" spans="2:12" x14ac:dyDescent="0.3">
      <c r="B1303" s="25">
        <v>1307</v>
      </c>
      <c r="C1303" s="33">
        <v>209</v>
      </c>
      <c r="D1303" s="33" t="s">
        <v>362</v>
      </c>
      <c r="E1303" s="35">
        <v>44580</v>
      </c>
      <c r="F1303" s="33">
        <v>1</v>
      </c>
      <c r="G1303" s="33" t="s">
        <v>124</v>
      </c>
      <c r="H1303" s="33" t="s">
        <v>201</v>
      </c>
      <c r="I1303" s="33" t="s">
        <v>197</v>
      </c>
      <c r="J1303" s="34">
        <v>2085.98</v>
      </c>
      <c r="K1303" s="34"/>
      <c r="L1303" s="34">
        <v>2085.98</v>
      </c>
    </row>
    <row r="1304" spans="2:12" x14ac:dyDescent="0.3">
      <c r="B1304" s="25">
        <v>1308</v>
      </c>
      <c r="C1304" s="33">
        <v>210</v>
      </c>
      <c r="D1304" s="33" t="s">
        <v>401</v>
      </c>
      <c r="E1304" s="35">
        <v>44580</v>
      </c>
      <c r="F1304" s="33">
        <v>1</v>
      </c>
      <c r="G1304" s="33" t="s">
        <v>231</v>
      </c>
      <c r="H1304" s="33" t="s">
        <v>201</v>
      </c>
      <c r="I1304" s="33" t="s">
        <v>198</v>
      </c>
      <c r="J1304" s="34">
        <v>3387.45</v>
      </c>
      <c r="K1304" s="34"/>
      <c r="L1304" s="34">
        <v>3387.45</v>
      </c>
    </row>
    <row r="1305" spans="2:12" x14ac:dyDescent="0.3">
      <c r="B1305" s="25">
        <v>1309</v>
      </c>
      <c r="C1305" s="33">
        <v>211</v>
      </c>
      <c r="D1305" s="33" t="s">
        <v>411</v>
      </c>
      <c r="E1305" s="35">
        <v>44580</v>
      </c>
      <c r="F1305" s="33">
        <v>1</v>
      </c>
      <c r="G1305" s="33" t="s">
        <v>122</v>
      </c>
      <c r="H1305" s="33" t="s">
        <v>201</v>
      </c>
      <c r="I1305" s="33" t="s">
        <v>196</v>
      </c>
      <c r="J1305" s="34">
        <v>2034.08</v>
      </c>
      <c r="K1305" s="34"/>
      <c r="L1305" s="34">
        <v>2034.08</v>
      </c>
    </row>
    <row r="1306" spans="2:12" x14ac:dyDescent="0.3">
      <c r="B1306" s="25">
        <v>1310</v>
      </c>
      <c r="C1306" s="33" t="s">
        <v>795</v>
      </c>
      <c r="D1306" s="33" t="s">
        <v>796</v>
      </c>
      <c r="E1306" s="35">
        <v>44580</v>
      </c>
      <c r="F1306" s="33">
        <v>1</v>
      </c>
      <c r="G1306" s="33" t="s">
        <v>124</v>
      </c>
      <c r="H1306" s="33" t="s">
        <v>201</v>
      </c>
      <c r="I1306" s="33" t="s">
        <v>197</v>
      </c>
      <c r="J1306" s="34">
        <v>3290.4</v>
      </c>
      <c r="K1306" s="34"/>
      <c r="L1306" s="34">
        <v>3290.4</v>
      </c>
    </row>
    <row r="1307" spans="2:12" x14ac:dyDescent="0.3">
      <c r="B1307" s="25">
        <v>1311</v>
      </c>
      <c r="C1307" s="33">
        <v>248</v>
      </c>
      <c r="D1307" s="33" t="s">
        <v>473</v>
      </c>
      <c r="E1307" s="35">
        <v>44581</v>
      </c>
      <c r="F1307" s="33">
        <v>1</v>
      </c>
      <c r="G1307" s="33" t="s">
        <v>122</v>
      </c>
      <c r="H1307" s="33" t="s">
        <v>201</v>
      </c>
      <c r="I1307" s="33" t="s">
        <v>196</v>
      </c>
      <c r="J1307" s="34">
        <v>4494.25</v>
      </c>
      <c r="K1307" s="34"/>
      <c r="L1307" s="34">
        <v>4494.25</v>
      </c>
    </row>
    <row r="1308" spans="2:12" x14ac:dyDescent="0.3">
      <c r="B1308" s="25">
        <v>1312</v>
      </c>
      <c r="C1308" s="33">
        <v>261</v>
      </c>
      <c r="D1308" s="33" t="s">
        <v>584</v>
      </c>
      <c r="E1308" s="35">
        <v>44592</v>
      </c>
      <c r="F1308" s="33">
        <v>1</v>
      </c>
      <c r="G1308" s="33" t="s">
        <v>122</v>
      </c>
      <c r="H1308" s="33" t="s">
        <v>201</v>
      </c>
      <c r="I1308" s="33" t="s">
        <v>196</v>
      </c>
      <c r="J1308" s="34">
        <v>5629.76</v>
      </c>
      <c r="K1308" s="34"/>
      <c r="L1308" s="34">
        <v>5629.76</v>
      </c>
    </row>
    <row r="1309" spans="2:12" x14ac:dyDescent="0.3">
      <c r="B1309" s="25">
        <v>1313</v>
      </c>
      <c r="C1309" s="33">
        <v>316</v>
      </c>
      <c r="D1309" s="33" t="s">
        <v>584</v>
      </c>
      <c r="E1309" s="35">
        <v>44587</v>
      </c>
      <c r="F1309" s="33">
        <v>1</v>
      </c>
      <c r="G1309" s="33" t="s">
        <v>122</v>
      </c>
      <c r="H1309" s="33" t="s">
        <v>201</v>
      </c>
      <c r="I1309" s="33" t="s">
        <v>196</v>
      </c>
      <c r="J1309" s="34">
        <v>1089.8399999999999</v>
      </c>
      <c r="K1309" s="34"/>
      <c r="L1309" s="34">
        <v>1089.8399999999999</v>
      </c>
    </row>
    <row r="1310" spans="2:12" x14ac:dyDescent="0.3">
      <c r="B1310" s="25">
        <v>1314</v>
      </c>
      <c r="C1310" s="33" t="s">
        <v>797</v>
      </c>
      <c r="D1310" s="33" t="s">
        <v>473</v>
      </c>
      <c r="E1310" s="35">
        <v>44587</v>
      </c>
      <c r="F1310" s="33">
        <v>1</v>
      </c>
      <c r="G1310" s="33" t="s">
        <v>122</v>
      </c>
      <c r="H1310" s="33" t="s">
        <v>201</v>
      </c>
      <c r="I1310" s="33" t="s">
        <v>196</v>
      </c>
      <c r="J1310" s="34">
        <v>6017.51</v>
      </c>
      <c r="K1310" s="34"/>
      <c r="L1310" s="34">
        <v>6017.51</v>
      </c>
    </row>
    <row r="1311" spans="2:12" x14ac:dyDescent="0.3">
      <c r="B1311" s="25">
        <v>1315</v>
      </c>
      <c r="C1311" s="33">
        <v>324</v>
      </c>
      <c r="D1311" s="33" t="s">
        <v>395</v>
      </c>
      <c r="E1311" s="35">
        <v>44587</v>
      </c>
      <c r="F1311" s="33">
        <v>1</v>
      </c>
      <c r="G1311" s="33" t="s">
        <v>122</v>
      </c>
      <c r="H1311" s="33" t="s">
        <v>201</v>
      </c>
      <c r="I1311" s="33" t="s">
        <v>196</v>
      </c>
      <c r="J1311" s="34">
        <v>3818.4</v>
      </c>
      <c r="K1311" s="34"/>
      <c r="L1311" s="34">
        <v>3818.4</v>
      </c>
    </row>
    <row r="1312" spans="2:12" x14ac:dyDescent="0.3">
      <c r="B1312" s="25">
        <v>1316</v>
      </c>
      <c r="C1312" s="33">
        <v>327</v>
      </c>
      <c r="D1312" s="33" t="s">
        <v>572</v>
      </c>
      <c r="E1312" s="35">
        <v>44587</v>
      </c>
      <c r="F1312" s="33">
        <v>1</v>
      </c>
      <c r="G1312" s="33" t="s">
        <v>122</v>
      </c>
      <c r="H1312" s="33" t="s">
        <v>201</v>
      </c>
      <c r="I1312" s="33" t="s">
        <v>196</v>
      </c>
      <c r="J1312" s="34">
        <v>225.8</v>
      </c>
      <c r="K1312" s="34"/>
      <c r="L1312" s="34">
        <v>225.8</v>
      </c>
    </row>
    <row r="1313" spans="2:12" x14ac:dyDescent="0.3">
      <c r="B1313" s="25">
        <v>1317</v>
      </c>
      <c r="C1313" s="33">
        <v>328</v>
      </c>
      <c r="D1313" s="33" t="s">
        <v>798</v>
      </c>
      <c r="E1313" s="35">
        <v>44587</v>
      </c>
      <c r="F1313" s="33">
        <v>1</v>
      </c>
      <c r="G1313" s="33" t="s">
        <v>231</v>
      </c>
      <c r="H1313" s="33" t="s">
        <v>201</v>
      </c>
      <c r="I1313" s="33" t="s">
        <v>198</v>
      </c>
      <c r="J1313" s="34">
        <v>400.95</v>
      </c>
      <c r="K1313" s="34"/>
      <c r="L1313" s="34">
        <v>400.95</v>
      </c>
    </row>
    <row r="1314" spans="2:12" x14ac:dyDescent="0.3">
      <c r="B1314" s="25">
        <v>1318</v>
      </c>
      <c r="C1314" s="33">
        <v>330</v>
      </c>
      <c r="D1314" s="33" t="s">
        <v>442</v>
      </c>
      <c r="E1314" s="35">
        <v>44587</v>
      </c>
      <c r="F1314" s="33">
        <v>1</v>
      </c>
      <c r="G1314" s="33" t="s">
        <v>122</v>
      </c>
      <c r="H1314" s="33" t="s">
        <v>201</v>
      </c>
      <c r="I1314" s="33" t="s">
        <v>196</v>
      </c>
      <c r="J1314" s="34">
        <v>455</v>
      </c>
      <c r="K1314" s="34">
        <v>80</v>
      </c>
      <c r="L1314" s="34">
        <v>375</v>
      </c>
    </row>
    <row r="1315" spans="2:12" x14ac:dyDescent="0.3">
      <c r="B1315" s="25">
        <v>1319</v>
      </c>
      <c r="C1315" s="33">
        <v>331</v>
      </c>
      <c r="D1315" s="33" t="s">
        <v>411</v>
      </c>
      <c r="E1315" s="35">
        <v>44587</v>
      </c>
      <c r="F1315" s="33">
        <v>1</v>
      </c>
      <c r="G1315" s="33" t="s">
        <v>122</v>
      </c>
      <c r="H1315" s="33" t="s">
        <v>201</v>
      </c>
      <c r="I1315" s="33" t="s">
        <v>196</v>
      </c>
      <c r="J1315" s="34">
        <v>4648.82</v>
      </c>
      <c r="K1315" s="34"/>
      <c r="L1315" s="34">
        <v>4648.82</v>
      </c>
    </row>
    <row r="1316" spans="2:12" x14ac:dyDescent="0.3">
      <c r="B1316" s="25">
        <v>1320</v>
      </c>
      <c r="C1316" s="33">
        <v>357</v>
      </c>
      <c r="D1316" s="33" t="s">
        <v>584</v>
      </c>
      <c r="E1316" s="35">
        <v>44588</v>
      </c>
      <c r="F1316" s="33">
        <v>1</v>
      </c>
      <c r="G1316" s="33" t="s">
        <v>122</v>
      </c>
      <c r="H1316" s="33" t="s">
        <v>201</v>
      </c>
      <c r="I1316" s="33" t="s">
        <v>196</v>
      </c>
      <c r="J1316" s="34">
        <v>5023.67</v>
      </c>
      <c r="K1316" s="34"/>
      <c r="L1316" s="34">
        <v>5023.67</v>
      </c>
    </row>
    <row r="1317" spans="2:12" x14ac:dyDescent="0.3">
      <c r="B1317" s="25">
        <v>1321</v>
      </c>
      <c r="C1317" s="33">
        <v>473</v>
      </c>
      <c r="D1317" s="33" t="s">
        <v>605</v>
      </c>
      <c r="E1317" s="35">
        <v>44594</v>
      </c>
      <c r="F1317" s="33">
        <v>1</v>
      </c>
      <c r="G1317" s="33" t="s">
        <v>628</v>
      </c>
      <c r="H1317" s="33" t="s">
        <v>201</v>
      </c>
      <c r="I1317" s="33" t="s">
        <v>75</v>
      </c>
      <c r="J1317" s="34">
        <v>316.93</v>
      </c>
      <c r="K1317" s="34"/>
      <c r="L1317" s="34">
        <v>316.93</v>
      </c>
    </row>
    <row r="1318" spans="2:12" x14ac:dyDescent="0.3">
      <c r="B1318" s="25">
        <v>1322</v>
      </c>
      <c r="C1318" s="33">
        <v>476</v>
      </c>
      <c r="D1318" s="33" t="s">
        <v>605</v>
      </c>
      <c r="E1318" s="35">
        <v>44594</v>
      </c>
      <c r="F1318" s="33">
        <v>1</v>
      </c>
      <c r="G1318" s="33" t="s">
        <v>628</v>
      </c>
      <c r="H1318" s="33" t="s">
        <v>201</v>
      </c>
      <c r="I1318" s="33" t="s">
        <v>75</v>
      </c>
      <c r="J1318" s="34">
        <v>937.86</v>
      </c>
      <c r="K1318" s="34"/>
      <c r="L1318" s="34">
        <v>937.86</v>
      </c>
    </row>
    <row r="1319" spans="2:12" x14ac:dyDescent="0.3">
      <c r="B1319" s="25">
        <v>1323</v>
      </c>
      <c r="C1319" s="33">
        <v>477</v>
      </c>
      <c r="D1319" s="33" t="s">
        <v>473</v>
      </c>
      <c r="E1319" s="35">
        <v>44594</v>
      </c>
      <c r="F1319" s="33">
        <v>1</v>
      </c>
      <c r="G1319" s="33" t="s">
        <v>122</v>
      </c>
      <c r="H1319" s="33" t="s">
        <v>201</v>
      </c>
      <c r="I1319" s="33" t="s">
        <v>196</v>
      </c>
      <c r="J1319" s="34">
        <v>929.28</v>
      </c>
      <c r="K1319" s="34"/>
      <c r="L1319" s="34">
        <v>929.28</v>
      </c>
    </row>
    <row r="1320" spans="2:12" x14ac:dyDescent="0.3">
      <c r="B1320" s="25">
        <v>1324</v>
      </c>
      <c r="C1320" s="33">
        <v>478</v>
      </c>
      <c r="D1320" s="33" t="s">
        <v>582</v>
      </c>
      <c r="E1320" s="35">
        <v>44594</v>
      </c>
      <c r="F1320" s="33">
        <v>1</v>
      </c>
      <c r="G1320" s="33" t="s">
        <v>628</v>
      </c>
      <c r="H1320" s="33" t="s">
        <v>201</v>
      </c>
      <c r="I1320" s="33" t="s">
        <v>75</v>
      </c>
      <c r="J1320" s="34">
        <v>3206.5</v>
      </c>
      <c r="K1320" s="34"/>
      <c r="L1320" s="34">
        <v>3206.5</v>
      </c>
    </row>
    <row r="1321" spans="2:12" x14ac:dyDescent="0.3">
      <c r="B1321" s="25">
        <v>1325</v>
      </c>
      <c r="C1321" s="33">
        <v>479</v>
      </c>
      <c r="D1321" s="33" t="s">
        <v>584</v>
      </c>
      <c r="E1321" s="35">
        <v>44594</v>
      </c>
      <c r="F1321" s="33">
        <v>1</v>
      </c>
      <c r="G1321" s="33" t="s">
        <v>122</v>
      </c>
      <c r="H1321" s="33" t="s">
        <v>201</v>
      </c>
      <c r="I1321" s="33" t="s">
        <v>196</v>
      </c>
      <c r="J1321" s="34">
        <v>6615.89</v>
      </c>
      <c r="K1321" s="34"/>
      <c r="L1321" s="34">
        <v>6615.89</v>
      </c>
    </row>
    <row r="1322" spans="2:12" x14ac:dyDescent="0.3">
      <c r="B1322" s="25">
        <v>1326</v>
      </c>
      <c r="C1322" s="33">
        <v>525</v>
      </c>
      <c r="D1322" s="33" t="s">
        <v>572</v>
      </c>
      <c r="E1322" s="35">
        <v>44595</v>
      </c>
      <c r="F1322" s="33">
        <v>1</v>
      </c>
      <c r="G1322" s="33" t="s">
        <v>122</v>
      </c>
      <c r="H1322" s="33" t="s">
        <v>201</v>
      </c>
      <c r="I1322" s="33" t="s">
        <v>196</v>
      </c>
      <c r="J1322" s="34">
        <v>1739.09</v>
      </c>
      <c r="K1322" s="34"/>
      <c r="L1322" s="34">
        <v>1739.09</v>
      </c>
    </row>
    <row r="1323" spans="2:12" x14ac:dyDescent="0.3">
      <c r="B1323" s="25">
        <v>1327</v>
      </c>
      <c r="C1323" s="33">
        <v>636</v>
      </c>
      <c r="D1323" s="33" t="s">
        <v>394</v>
      </c>
      <c r="E1323" s="35">
        <v>44601</v>
      </c>
      <c r="F1323" s="33">
        <v>1</v>
      </c>
      <c r="G1323" s="33" t="s">
        <v>122</v>
      </c>
      <c r="H1323" s="33" t="s">
        <v>201</v>
      </c>
      <c r="I1323" s="33" t="s">
        <v>196</v>
      </c>
      <c r="J1323" s="34">
        <v>3637.15</v>
      </c>
      <c r="K1323" s="34"/>
      <c r="L1323" s="34">
        <v>3637.15</v>
      </c>
    </row>
    <row r="1324" spans="2:12" x14ac:dyDescent="0.3">
      <c r="B1324" s="25">
        <v>1328</v>
      </c>
      <c r="C1324" s="33" t="s">
        <v>799</v>
      </c>
      <c r="D1324" s="33" t="s">
        <v>800</v>
      </c>
      <c r="E1324" s="35">
        <v>44601</v>
      </c>
      <c r="F1324" s="33">
        <v>1</v>
      </c>
      <c r="G1324" s="33" t="s">
        <v>628</v>
      </c>
      <c r="H1324" s="33" t="s">
        <v>201</v>
      </c>
      <c r="I1324" s="33" t="s">
        <v>75</v>
      </c>
      <c r="J1324" s="34">
        <v>3230.7</v>
      </c>
      <c r="K1324" s="34"/>
      <c r="L1324" s="34">
        <v>3230.7</v>
      </c>
    </row>
    <row r="1325" spans="2:12" x14ac:dyDescent="0.3">
      <c r="B1325" s="25">
        <v>1329</v>
      </c>
      <c r="C1325" s="33">
        <v>637</v>
      </c>
      <c r="D1325" s="33" t="s">
        <v>548</v>
      </c>
      <c r="E1325" s="35">
        <v>44601</v>
      </c>
      <c r="F1325" s="33">
        <v>1</v>
      </c>
      <c r="G1325" s="33" t="s">
        <v>122</v>
      </c>
      <c r="H1325" s="33" t="s">
        <v>201</v>
      </c>
      <c r="I1325" s="33" t="s">
        <v>196</v>
      </c>
      <c r="J1325" s="34">
        <v>461.15</v>
      </c>
      <c r="K1325" s="34">
        <v>80</v>
      </c>
      <c r="L1325" s="34">
        <v>381.15</v>
      </c>
    </row>
    <row r="1326" spans="2:12" x14ac:dyDescent="0.3">
      <c r="B1326" s="25">
        <v>1330</v>
      </c>
      <c r="C1326" s="33">
        <v>638</v>
      </c>
      <c r="D1326" s="33" t="s">
        <v>580</v>
      </c>
      <c r="E1326" s="35">
        <v>44601</v>
      </c>
      <c r="F1326" s="33">
        <v>1</v>
      </c>
      <c r="G1326" s="33" t="s">
        <v>124</v>
      </c>
      <c r="H1326" s="33" t="s">
        <v>201</v>
      </c>
      <c r="I1326" s="33" t="s">
        <v>197</v>
      </c>
      <c r="J1326" s="34">
        <v>952.8</v>
      </c>
      <c r="K1326" s="34"/>
      <c r="L1326" s="34">
        <v>952.8</v>
      </c>
    </row>
    <row r="1327" spans="2:12" x14ac:dyDescent="0.3">
      <c r="B1327" s="25">
        <v>1331</v>
      </c>
      <c r="C1327" s="33">
        <v>639</v>
      </c>
      <c r="D1327" s="33" t="s">
        <v>566</v>
      </c>
      <c r="E1327" s="35">
        <v>44601</v>
      </c>
      <c r="F1327" s="33">
        <v>1</v>
      </c>
      <c r="G1327" s="33" t="s">
        <v>122</v>
      </c>
      <c r="H1327" s="33" t="s">
        <v>201</v>
      </c>
      <c r="I1327" s="33" t="s">
        <v>196</v>
      </c>
      <c r="J1327" s="34">
        <v>749.98</v>
      </c>
      <c r="K1327" s="34">
        <v>80</v>
      </c>
      <c r="L1327" s="34">
        <v>669.98</v>
      </c>
    </row>
    <row r="1328" spans="2:12" x14ac:dyDescent="0.3">
      <c r="B1328" s="25">
        <v>1332</v>
      </c>
      <c r="C1328" s="33">
        <v>640</v>
      </c>
      <c r="D1328" s="33" t="s">
        <v>566</v>
      </c>
      <c r="E1328" s="35">
        <v>44601</v>
      </c>
      <c r="F1328" s="33">
        <v>1</v>
      </c>
      <c r="G1328" s="33" t="s">
        <v>122</v>
      </c>
      <c r="H1328" s="33" t="s">
        <v>201</v>
      </c>
      <c r="I1328" s="33" t="s">
        <v>196</v>
      </c>
      <c r="J1328" s="34">
        <v>2619.54</v>
      </c>
      <c r="K1328" s="34"/>
      <c r="L1328" s="34">
        <v>2619.54</v>
      </c>
    </row>
    <row r="1329" spans="2:12" x14ac:dyDescent="0.3">
      <c r="B1329" s="25">
        <v>1333</v>
      </c>
      <c r="C1329" s="33">
        <v>642</v>
      </c>
      <c r="D1329" s="33" t="s">
        <v>558</v>
      </c>
      <c r="E1329" s="35">
        <v>44601</v>
      </c>
      <c r="F1329" s="33">
        <v>1</v>
      </c>
      <c r="G1329" s="33" t="s">
        <v>124</v>
      </c>
      <c r="H1329" s="33" t="s">
        <v>201</v>
      </c>
      <c r="I1329" s="33" t="s">
        <v>197</v>
      </c>
      <c r="J1329" s="34">
        <v>2268.1</v>
      </c>
      <c r="K1329" s="34">
        <v>139.05000000000001</v>
      </c>
      <c r="L1329" s="34">
        <v>2129.0500000000002</v>
      </c>
    </row>
    <row r="1330" spans="2:12" x14ac:dyDescent="0.3">
      <c r="B1330" s="25">
        <v>1334</v>
      </c>
      <c r="C1330" s="33">
        <v>643</v>
      </c>
      <c r="D1330" s="33" t="s">
        <v>584</v>
      </c>
      <c r="E1330" s="35">
        <v>44601</v>
      </c>
      <c r="F1330" s="33">
        <v>1</v>
      </c>
      <c r="G1330" s="33" t="s">
        <v>122</v>
      </c>
      <c r="H1330" s="33" t="s">
        <v>201</v>
      </c>
      <c r="I1330" s="33" t="s">
        <v>196</v>
      </c>
      <c r="J1330" s="34">
        <v>7336.29</v>
      </c>
      <c r="K1330" s="34"/>
      <c r="L1330" s="34">
        <v>7336.29</v>
      </c>
    </row>
    <row r="1331" spans="2:12" x14ac:dyDescent="0.3">
      <c r="B1331" s="25">
        <v>1335</v>
      </c>
      <c r="C1331" s="33">
        <v>645</v>
      </c>
      <c r="D1331" s="33" t="s">
        <v>571</v>
      </c>
      <c r="E1331" s="35">
        <v>44601</v>
      </c>
      <c r="F1331" s="33">
        <v>1</v>
      </c>
      <c r="G1331" s="33" t="s">
        <v>124</v>
      </c>
      <c r="H1331" s="33" t="s">
        <v>201</v>
      </c>
      <c r="I1331" s="33" t="s">
        <v>197</v>
      </c>
      <c r="J1331" s="34">
        <v>787.6</v>
      </c>
      <c r="K1331" s="34"/>
      <c r="L1331" s="34">
        <v>787.6</v>
      </c>
    </row>
    <row r="1332" spans="2:12" x14ac:dyDescent="0.3">
      <c r="B1332" s="25">
        <v>1336</v>
      </c>
      <c r="C1332" s="33">
        <v>646</v>
      </c>
      <c r="D1332" s="33" t="s">
        <v>362</v>
      </c>
      <c r="E1332" s="35">
        <v>44601</v>
      </c>
      <c r="F1332" s="33">
        <v>1</v>
      </c>
      <c r="G1332" s="33" t="s">
        <v>124</v>
      </c>
      <c r="H1332" s="33" t="s">
        <v>201</v>
      </c>
      <c r="I1332" s="33" t="s">
        <v>197</v>
      </c>
      <c r="J1332" s="34">
        <v>1717.41</v>
      </c>
      <c r="K1332" s="34"/>
      <c r="L1332" s="34">
        <v>1717.41</v>
      </c>
    </row>
    <row r="1333" spans="2:12" x14ac:dyDescent="0.3">
      <c r="B1333" s="25">
        <v>1337</v>
      </c>
      <c r="C1333" s="33">
        <v>647</v>
      </c>
      <c r="D1333" s="33" t="s">
        <v>362</v>
      </c>
      <c r="E1333" s="35">
        <v>44601</v>
      </c>
      <c r="F1333" s="33">
        <v>1</v>
      </c>
      <c r="G1333" s="33" t="s">
        <v>124</v>
      </c>
      <c r="H1333" s="33" t="s">
        <v>201</v>
      </c>
      <c r="I1333" s="33" t="s">
        <v>197</v>
      </c>
      <c r="J1333" s="34">
        <v>135.69</v>
      </c>
      <c r="K1333" s="34"/>
      <c r="L1333" s="34">
        <v>135.69</v>
      </c>
    </row>
    <row r="1334" spans="2:12" x14ac:dyDescent="0.3">
      <c r="B1334" s="25">
        <v>1338</v>
      </c>
      <c r="C1334" s="33">
        <v>648</v>
      </c>
      <c r="D1334" s="33" t="s">
        <v>362</v>
      </c>
      <c r="E1334" s="35">
        <v>44601</v>
      </c>
      <c r="F1334" s="33">
        <v>1</v>
      </c>
      <c r="G1334" s="33" t="s">
        <v>124</v>
      </c>
      <c r="H1334" s="33" t="s">
        <v>201</v>
      </c>
      <c r="I1334" s="33" t="s">
        <v>197</v>
      </c>
      <c r="J1334" s="34">
        <v>2823.82</v>
      </c>
      <c r="K1334" s="34"/>
      <c r="L1334" s="34">
        <v>2823.82</v>
      </c>
    </row>
    <row r="1335" spans="2:12" x14ac:dyDescent="0.3">
      <c r="B1335" s="25">
        <v>1339</v>
      </c>
      <c r="C1335" s="33">
        <v>650</v>
      </c>
      <c r="D1335" s="33" t="s">
        <v>603</v>
      </c>
      <c r="E1335" s="35">
        <v>44601</v>
      </c>
      <c r="F1335" s="33">
        <v>1</v>
      </c>
      <c r="G1335" s="33" t="s">
        <v>124</v>
      </c>
      <c r="H1335" s="33" t="s">
        <v>201</v>
      </c>
      <c r="I1335" s="33" t="s">
        <v>197</v>
      </c>
      <c r="J1335" s="34">
        <v>2407.86</v>
      </c>
      <c r="K1335" s="34"/>
      <c r="L1335" s="34">
        <v>2407.86</v>
      </c>
    </row>
    <row r="1336" spans="2:12" x14ac:dyDescent="0.3">
      <c r="B1336" s="25">
        <v>1340</v>
      </c>
      <c r="C1336" s="33">
        <v>651</v>
      </c>
      <c r="D1336" s="33" t="s">
        <v>400</v>
      </c>
      <c r="E1336" s="35">
        <v>44601</v>
      </c>
      <c r="F1336" s="33">
        <v>1</v>
      </c>
      <c r="G1336" s="33" t="s">
        <v>231</v>
      </c>
      <c r="H1336" s="33" t="s">
        <v>201</v>
      </c>
      <c r="I1336" s="33" t="s">
        <v>198</v>
      </c>
      <c r="J1336" s="34">
        <v>2669.97</v>
      </c>
      <c r="K1336" s="34"/>
      <c r="L1336" s="34">
        <v>2669.97</v>
      </c>
    </row>
    <row r="1337" spans="2:12" x14ac:dyDescent="0.3">
      <c r="B1337" s="25">
        <v>1341</v>
      </c>
      <c r="C1337" s="33">
        <v>32677</v>
      </c>
      <c r="D1337" s="33" t="s">
        <v>801</v>
      </c>
      <c r="E1337" s="35">
        <v>44573</v>
      </c>
      <c r="F1337" s="33">
        <v>1</v>
      </c>
      <c r="G1337" s="33" t="s">
        <v>124</v>
      </c>
      <c r="H1337" s="33" t="s">
        <v>72</v>
      </c>
      <c r="I1337" s="33" t="s">
        <v>197</v>
      </c>
      <c r="J1337" s="34">
        <v>3469</v>
      </c>
      <c r="K1337" s="34"/>
      <c r="L1337" s="34">
        <v>3469</v>
      </c>
    </row>
    <row r="1338" spans="2:12" x14ac:dyDescent="0.3">
      <c r="B1338" s="25">
        <v>1342</v>
      </c>
      <c r="C1338" s="33">
        <v>32682</v>
      </c>
      <c r="D1338" s="33" t="s">
        <v>762</v>
      </c>
      <c r="E1338" s="35">
        <v>44573</v>
      </c>
      <c r="F1338" s="33">
        <v>1</v>
      </c>
      <c r="G1338" s="33" t="s">
        <v>231</v>
      </c>
      <c r="H1338" s="33" t="s">
        <v>72</v>
      </c>
      <c r="I1338" s="33" t="s">
        <v>198</v>
      </c>
      <c r="J1338" s="34">
        <v>8587</v>
      </c>
      <c r="K1338" s="34"/>
      <c r="L1338" s="34">
        <v>8587</v>
      </c>
    </row>
    <row r="1339" spans="2:12" x14ac:dyDescent="0.3">
      <c r="B1339" s="25">
        <v>1343</v>
      </c>
      <c r="C1339" s="33">
        <v>32712</v>
      </c>
      <c r="D1339" s="33" t="s">
        <v>450</v>
      </c>
      <c r="E1339" s="35">
        <v>44575</v>
      </c>
      <c r="F1339" s="33">
        <v>1</v>
      </c>
      <c r="G1339" s="33" t="s">
        <v>122</v>
      </c>
      <c r="H1339" s="33" t="s">
        <v>72</v>
      </c>
      <c r="I1339" s="33" t="s">
        <v>196</v>
      </c>
      <c r="J1339" s="34">
        <v>4730</v>
      </c>
      <c r="K1339" s="34"/>
      <c r="L1339" s="34">
        <v>4730</v>
      </c>
    </row>
    <row r="1340" spans="2:12" x14ac:dyDescent="0.3">
      <c r="B1340" s="25">
        <v>1344</v>
      </c>
      <c r="C1340" s="33">
        <v>32735</v>
      </c>
      <c r="D1340" s="33" t="s">
        <v>394</v>
      </c>
      <c r="E1340" s="35">
        <v>44584</v>
      </c>
      <c r="F1340" s="33">
        <v>1</v>
      </c>
      <c r="G1340" s="33" t="s">
        <v>122</v>
      </c>
      <c r="H1340" s="33" t="s">
        <v>72</v>
      </c>
      <c r="I1340" s="33" t="s">
        <v>196</v>
      </c>
      <c r="J1340" s="34">
        <v>1995.9</v>
      </c>
      <c r="K1340" s="34"/>
      <c r="L1340" s="34">
        <v>1995.9</v>
      </c>
    </row>
    <row r="1341" spans="2:12" x14ac:dyDescent="0.3">
      <c r="B1341" s="25">
        <v>1345</v>
      </c>
      <c r="C1341" s="33">
        <v>32736</v>
      </c>
      <c r="D1341" s="33" t="s">
        <v>596</v>
      </c>
      <c r="E1341" s="35">
        <v>44584</v>
      </c>
      <c r="F1341" s="33">
        <v>1</v>
      </c>
      <c r="G1341" s="33" t="s">
        <v>122</v>
      </c>
      <c r="H1341" s="33" t="s">
        <v>72</v>
      </c>
      <c r="I1341" s="33" t="s">
        <v>196</v>
      </c>
      <c r="J1341" s="34">
        <v>7129</v>
      </c>
      <c r="K1341" s="34"/>
      <c r="L1341" s="34">
        <v>7129</v>
      </c>
    </row>
    <row r="1342" spans="2:12" x14ac:dyDescent="0.3">
      <c r="B1342" s="25">
        <v>1346</v>
      </c>
      <c r="C1342" s="33">
        <v>32840</v>
      </c>
      <c r="D1342" s="33" t="s">
        <v>394</v>
      </c>
      <c r="E1342" s="35">
        <v>44592</v>
      </c>
      <c r="F1342" s="33">
        <v>1</v>
      </c>
      <c r="G1342" s="33" t="s">
        <v>122</v>
      </c>
      <c r="H1342" s="33" t="s">
        <v>72</v>
      </c>
      <c r="I1342" s="33" t="s">
        <v>196</v>
      </c>
      <c r="J1342" s="34">
        <v>1996.3</v>
      </c>
      <c r="K1342" s="34"/>
      <c r="L1342" s="34">
        <v>1996.3</v>
      </c>
    </row>
    <row r="1343" spans="2:12" x14ac:dyDescent="0.3">
      <c r="B1343" s="25">
        <v>1347</v>
      </c>
      <c r="C1343" s="33">
        <v>32844</v>
      </c>
      <c r="D1343" s="33" t="s">
        <v>394</v>
      </c>
      <c r="E1343" s="35">
        <v>44592</v>
      </c>
      <c r="F1343" s="33">
        <v>1</v>
      </c>
      <c r="G1343" s="33" t="s">
        <v>122</v>
      </c>
      <c r="H1343" s="33" t="s">
        <v>72</v>
      </c>
      <c r="I1343" s="33" t="s">
        <v>196</v>
      </c>
      <c r="J1343" s="34">
        <v>4850.3999999999996</v>
      </c>
      <c r="K1343" s="34"/>
      <c r="L1343" s="34">
        <v>4850.3999999999996</v>
      </c>
    </row>
    <row r="1344" spans="2:12" x14ac:dyDescent="0.3">
      <c r="B1344" s="25">
        <v>1348</v>
      </c>
      <c r="C1344" s="33">
        <v>32881</v>
      </c>
      <c r="D1344" s="33" t="s">
        <v>233</v>
      </c>
      <c r="E1344" s="35">
        <v>44599</v>
      </c>
      <c r="F1344" s="33">
        <v>1</v>
      </c>
      <c r="G1344" s="33" t="s">
        <v>122</v>
      </c>
      <c r="H1344" s="33" t="s">
        <v>72</v>
      </c>
      <c r="I1344" s="33" t="s">
        <v>196</v>
      </c>
      <c r="J1344" s="34">
        <v>1103.5999999999999</v>
      </c>
      <c r="K1344" s="34"/>
      <c r="L1344" s="34">
        <v>1103.5999999999999</v>
      </c>
    </row>
    <row r="1345" spans="2:12" x14ac:dyDescent="0.3">
      <c r="B1345" s="25">
        <v>1349</v>
      </c>
      <c r="C1345" s="33">
        <v>32883</v>
      </c>
      <c r="D1345" s="33" t="s">
        <v>446</v>
      </c>
      <c r="E1345" s="35">
        <v>44599</v>
      </c>
      <c r="F1345" s="33">
        <v>1</v>
      </c>
      <c r="G1345" s="33" t="s">
        <v>231</v>
      </c>
      <c r="H1345" s="33" t="s">
        <v>72</v>
      </c>
      <c r="I1345" s="33" t="s">
        <v>198</v>
      </c>
      <c r="J1345" s="34">
        <v>63070.9</v>
      </c>
      <c r="K1345" s="34"/>
      <c r="L1345" s="34">
        <v>63070.9</v>
      </c>
    </row>
    <row r="1346" spans="2:12" x14ac:dyDescent="0.3">
      <c r="B1346" s="25">
        <v>1350</v>
      </c>
      <c r="C1346" s="33">
        <v>44734</v>
      </c>
      <c r="D1346" s="33" t="s">
        <v>802</v>
      </c>
      <c r="E1346" s="35">
        <v>44571</v>
      </c>
      <c r="F1346" s="33">
        <v>1</v>
      </c>
      <c r="G1346" s="33" t="s">
        <v>122</v>
      </c>
      <c r="H1346" s="33" t="s">
        <v>629</v>
      </c>
      <c r="I1346" s="33" t="s">
        <v>196</v>
      </c>
      <c r="J1346" s="34">
        <v>1093</v>
      </c>
      <c r="K1346" s="34">
        <v>80</v>
      </c>
      <c r="L1346" s="34">
        <v>1013</v>
      </c>
    </row>
    <row r="1347" spans="2:12" x14ac:dyDescent="0.3">
      <c r="B1347" s="25">
        <v>1351</v>
      </c>
      <c r="C1347" s="33">
        <v>4207</v>
      </c>
      <c r="D1347" s="33" t="s">
        <v>781</v>
      </c>
      <c r="E1347" s="35">
        <v>44568</v>
      </c>
      <c r="F1347" s="33">
        <v>1</v>
      </c>
      <c r="G1347" s="33" t="s">
        <v>628</v>
      </c>
      <c r="H1347" s="33" t="s">
        <v>630</v>
      </c>
      <c r="I1347" s="33" t="s">
        <v>75</v>
      </c>
      <c r="J1347" s="34">
        <v>381</v>
      </c>
      <c r="K1347" s="34">
        <v>30</v>
      </c>
      <c r="L1347" s="34">
        <v>351</v>
      </c>
    </row>
    <row r="1348" spans="2:12" x14ac:dyDescent="0.3">
      <c r="B1348" s="25">
        <v>1352</v>
      </c>
      <c r="C1348" s="33">
        <v>50061</v>
      </c>
      <c r="D1348" s="33" t="s">
        <v>411</v>
      </c>
      <c r="E1348" s="35">
        <v>44575</v>
      </c>
      <c r="F1348" s="33">
        <v>1</v>
      </c>
      <c r="G1348" s="33" t="s">
        <v>122</v>
      </c>
      <c r="H1348" s="33" t="s">
        <v>69</v>
      </c>
      <c r="I1348" s="33" t="s">
        <v>196</v>
      </c>
      <c r="J1348" s="34">
        <v>490</v>
      </c>
      <c r="K1348" s="34"/>
      <c r="L1348" s="34">
        <v>490</v>
      </c>
    </row>
    <row r="1349" spans="2:12" x14ac:dyDescent="0.3">
      <c r="B1349" s="25">
        <v>1353</v>
      </c>
      <c r="C1349" s="33">
        <v>50062</v>
      </c>
      <c r="D1349" s="33" t="s">
        <v>442</v>
      </c>
      <c r="E1349" s="35">
        <v>44575</v>
      </c>
      <c r="F1349" s="33">
        <v>1</v>
      </c>
      <c r="G1349" s="33" t="s">
        <v>122</v>
      </c>
      <c r="H1349" s="33" t="s">
        <v>69</v>
      </c>
      <c r="I1349" s="33" t="s">
        <v>196</v>
      </c>
      <c r="J1349" s="34">
        <v>213.5</v>
      </c>
      <c r="K1349" s="34"/>
      <c r="L1349" s="34">
        <v>213.5</v>
      </c>
    </row>
    <row r="1350" spans="2:12" x14ac:dyDescent="0.3">
      <c r="B1350" s="25">
        <v>1354</v>
      </c>
      <c r="C1350" s="33">
        <v>50063</v>
      </c>
      <c r="D1350" s="33" t="s">
        <v>412</v>
      </c>
      <c r="E1350" s="35">
        <v>44575</v>
      </c>
      <c r="F1350" s="33">
        <v>1</v>
      </c>
      <c r="G1350" s="33" t="s">
        <v>231</v>
      </c>
      <c r="H1350" s="33" t="s">
        <v>69</v>
      </c>
      <c r="I1350" s="33" t="s">
        <v>198</v>
      </c>
      <c r="J1350" s="34">
        <v>4300.5</v>
      </c>
      <c r="K1350" s="34"/>
      <c r="L1350" s="34">
        <v>4300.5</v>
      </c>
    </row>
    <row r="1351" spans="2:12" x14ac:dyDescent="0.3">
      <c r="B1351" s="25">
        <v>1355</v>
      </c>
      <c r="C1351" s="33">
        <v>50064</v>
      </c>
      <c r="D1351" s="33" t="s">
        <v>281</v>
      </c>
      <c r="E1351" s="35">
        <v>44575</v>
      </c>
      <c r="F1351" s="33">
        <v>1</v>
      </c>
      <c r="G1351" s="33" t="s">
        <v>124</v>
      </c>
      <c r="H1351" s="33" t="s">
        <v>69</v>
      </c>
      <c r="I1351" s="33" t="s">
        <v>197</v>
      </c>
      <c r="J1351" s="34">
        <v>4005.47</v>
      </c>
      <c r="K1351" s="34"/>
      <c r="L1351" s="34">
        <v>4005.47</v>
      </c>
    </row>
    <row r="1352" spans="2:12" x14ac:dyDescent="0.3">
      <c r="B1352" s="25">
        <v>1356</v>
      </c>
      <c r="C1352" s="33">
        <v>50068</v>
      </c>
      <c r="D1352" s="33" t="s">
        <v>803</v>
      </c>
      <c r="E1352" s="35">
        <v>44575</v>
      </c>
      <c r="F1352" s="33">
        <v>1</v>
      </c>
      <c r="G1352" s="33" t="s">
        <v>122</v>
      </c>
      <c r="H1352" s="33" t="s">
        <v>69</v>
      </c>
      <c r="I1352" s="33" t="s">
        <v>196</v>
      </c>
      <c r="J1352" s="34">
        <v>3007.76</v>
      </c>
      <c r="K1352" s="34"/>
      <c r="L1352" s="34">
        <v>3007.76</v>
      </c>
    </row>
    <row r="1353" spans="2:12" x14ac:dyDescent="0.3">
      <c r="B1353" s="25">
        <v>1357</v>
      </c>
      <c r="C1353" s="33">
        <v>50132</v>
      </c>
      <c r="D1353" s="33" t="s">
        <v>400</v>
      </c>
      <c r="E1353" s="35">
        <v>44578</v>
      </c>
      <c r="F1353" s="33">
        <v>1</v>
      </c>
      <c r="G1353" s="33" t="s">
        <v>231</v>
      </c>
      <c r="H1353" s="33" t="s">
        <v>69</v>
      </c>
      <c r="I1353" s="33" t="s">
        <v>198</v>
      </c>
      <c r="J1353" s="34">
        <v>136.35</v>
      </c>
      <c r="K1353" s="34"/>
      <c r="L1353" s="34">
        <v>136.35</v>
      </c>
    </row>
    <row r="1354" spans="2:12" x14ac:dyDescent="0.3">
      <c r="B1354" s="25">
        <v>1358</v>
      </c>
      <c r="C1354" s="33">
        <v>50133</v>
      </c>
      <c r="D1354" s="33" t="s">
        <v>400</v>
      </c>
      <c r="E1354" s="35">
        <v>44578</v>
      </c>
      <c r="F1354" s="33">
        <v>1</v>
      </c>
      <c r="G1354" s="33" t="s">
        <v>231</v>
      </c>
      <c r="H1354" s="33" t="s">
        <v>69</v>
      </c>
      <c r="I1354" s="33" t="s">
        <v>198</v>
      </c>
      <c r="J1354" s="34">
        <v>965.7</v>
      </c>
      <c r="K1354" s="34"/>
      <c r="L1354" s="34">
        <v>965.7</v>
      </c>
    </row>
    <row r="1355" spans="2:12" x14ac:dyDescent="0.3">
      <c r="B1355" s="25">
        <v>1359</v>
      </c>
      <c r="C1355" s="33">
        <v>50134</v>
      </c>
      <c r="D1355" s="33" t="s">
        <v>400</v>
      </c>
      <c r="E1355" s="35">
        <v>44578</v>
      </c>
      <c r="F1355" s="33">
        <v>1</v>
      </c>
      <c r="G1355" s="33" t="s">
        <v>231</v>
      </c>
      <c r="H1355" s="33" t="s">
        <v>69</v>
      </c>
      <c r="I1355" s="33" t="s">
        <v>198</v>
      </c>
      <c r="J1355" s="34">
        <v>140.65</v>
      </c>
      <c r="K1355" s="34"/>
      <c r="L1355" s="34">
        <v>140.65</v>
      </c>
    </row>
    <row r="1356" spans="2:12" x14ac:dyDescent="0.3">
      <c r="B1356" s="25">
        <v>1360</v>
      </c>
      <c r="C1356" s="33">
        <v>50229</v>
      </c>
      <c r="D1356" s="33" t="s">
        <v>401</v>
      </c>
      <c r="E1356" s="35">
        <v>44582</v>
      </c>
      <c r="F1356" s="33">
        <v>1</v>
      </c>
      <c r="G1356" s="33" t="s">
        <v>231</v>
      </c>
      <c r="H1356" s="33" t="s">
        <v>69</v>
      </c>
      <c r="I1356" s="33" t="s">
        <v>198</v>
      </c>
      <c r="J1356" s="34">
        <v>69.5</v>
      </c>
      <c r="K1356" s="34"/>
      <c r="L1356" s="34">
        <v>69.5</v>
      </c>
    </row>
    <row r="1357" spans="2:12" x14ac:dyDescent="0.3">
      <c r="B1357" s="25">
        <v>1361</v>
      </c>
      <c r="C1357" s="33">
        <v>50232</v>
      </c>
      <c r="D1357" s="33" t="s">
        <v>404</v>
      </c>
      <c r="E1357" s="35">
        <v>44582</v>
      </c>
      <c r="F1357" s="33">
        <v>1</v>
      </c>
      <c r="G1357" s="33" t="s">
        <v>122</v>
      </c>
      <c r="H1357" s="33" t="s">
        <v>69</v>
      </c>
      <c r="I1357" s="33" t="s">
        <v>196</v>
      </c>
      <c r="J1357" s="34">
        <v>1470</v>
      </c>
      <c r="K1357" s="34"/>
      <c r="L1357" s="34">
        <v>1470</v>
      </c>
    </row>
    <row r="1358" spans="2:12" x14ac:dyDescent="0.3">
      <c r="B1358" s="25">
        <v>1362</v>
      </c>
      <c r="C1358" s="33">
        <v>50233</v>
      </c>
      <c r="D1358" s="33" t="s">
        <v>404</v>
      </c>
      <c r="E1358" s="35">
        <v>44582</v>
      </c>
      <c r="F1358" s="33">
        <v>1</v>
      </c>
      <c r="G1358" s="33" t="s">
        <v>122</v>
      </c>
      <c r="H1358" s="33" t="s">
        <v>69</v>
      </c>
      <c r="I1358" s="33" t="s">
        <v>196</v>
      </c>
      <c r="J1358" s="34">
        <v>880.5</v>
      </c>
      <c r="K1358" s="34"/>
      <c r="L1358" s="34">
        <v>880.5</v>
      </c>
    </row>
    <row r="1359" spans="2:12" x14ac:dyDescent="0.3">
      <c r="B1359" s="25">
        <v>1363</v>
      </c>
      <c r="C1359" s="33">
        <v>50236</v>
      </c>
      <c r="D1359" s="33" t="s">
        <v>405</v>
      </c>
      <c r="E1359" s="35">
        <v>44582</v>
      </c>
      <c r="F1359" s="33">
        <v>1</v>
      </c>
      <c r="G1359" s="33" t="s">
        <v>122</v>
      </c>
      <c r="H1359" s="33" t="s">
        <v>69</v>
      </c>
      <c r="I1359" s="33" t="s">
        <v>196</v>
      </c>
      <c r="J1359" s="34">
        <v>1073.5</v>
      </c>
      <c r="K1359" s="34"/>
      <c r="L1359" s="34">
        <v>1073.5</v>
      </c>
    </row>
    <row r="1360" spans="2:12" x14ac:dyDescent="0.3">
      <c r="B1360" s="25">
        <v>1364</v>
      </c>
      <c r="C1360" s="33">
        <v>50237</v>
      </c>
      <c r="D1360" s="33" t="s">
        <v>804</v>
      </c>
      <c r="E1360" s="35">
        <v>44582</v>
      </c>
      <c r="F1360" s="33">
        <v>1</v>
      </c>
      <c r="G1360" s="33" t="s">
        <v>124</v>
      </c>
      <c r="H1360" s="33" t="s">
        <v>69</v>
      </c>
      <c r="I1360" s="33" t="s">
        <v>197</v>
      </c>
      <c r="J1360" s="34">
        <v>1593.5</v>
      </c>
      <c r="K1360" s="34"/>
      <c r="L1360" s="34">
        <v>1593.5</v>
      </c>
    </row>
    <row r="1361" spans="2:12" x14ac:dyDescent="0.3">
      <c r="B1361" s="25">
        <v>1365</v>
      </c>
      <c r="C1361" s="33">
        <v>50241</v>
      </c>
      <c r="D1361" s="33" t="s">
        <v>281</v>
      </c>
      <c r="E1361" s="35">
        <v>44582</v>
      </c>
      <c r="F1361" s="33">
        <v>1</v>
      </c>
      <c r="G1361" s="33" t="s">
        <v>124</v>
      </c>
      <c r="H1361" s="33" t="s">
        <v>69</v>
      </c>
      <c r="I1361" s="33" t="s">
        <v>197</v>
      </c>
      <c r="J1361" s="34">
        <v>13308</v>
      </c>
      <c r="K1361" s="34"/>
      <c r="L1361" s="34">
        <v>13308</v>
      </c>
    </row>
    <row r="1362" spans="2:12" x14ac:dyDescent="0.3">
      <c r="B1362" s="25">
        <v>1366</v>
      </c>
      <c r="C1362" s="33">
        <v>50244</v>
      </c>
      <c r="D1362" s="33" t="s">
        <v>805</v>
      </c>
      <c r="E1362" s="35">
        <v>44582</v>
      </c>
      <c r="F1362" s="33">
        <v>1</v>
      </c>
      <c r="G1362" s="33" t="s">
        <v>231</v>
      </c>
      <c r="H1362" s="33" t="s">
        <v>69</v>
      </c>
      <c r="I1362" s="33" t="s">
        <v>198</v>
      </c>
      <c r="J1362" s="34">
        <v>883.5</v>
      </c>
      <c r="K1362" s="34"/>
      <c r="L1362" s="34">
        <v>883.5</v>
      </c>
    </row>
    <row r="1363" spans="2:12" x14ac:dyDescent="0.3">
      <c r="B1363" s="25">
        <v>1367</v>
      </c>
      <c r="C1363" s="33">
        <v>50259</v>
      </c>
      <c r="D1363" s="33" t="s">
        <v>416</v>
      </c>
      <c r="E1363" s="35">
        <v>44582</v>
      </c>
      <c r="F1363" s="33">
        <v>1</v>
      </c>
      <c r="G1363" s="33" t="s">
        <v>231</v>
      </c>
      <c r="H1363" s="33" t="s">
        <v>69</v>
      </c>
      <c r="I1363" s="33" t="s">
        <v>198</v>
      </c>
      <c r="J1363" s="34">
        <v>5976</v>
      </c>
      <c r="K1363" s="34"/>
      <c r="L1363" s="34">
        <v>5976</v>
      </c>
    </row>
    <row r="1364" spans="2:12" x14ac:dyDescent="0.3">
      <c r="B1364" s="25">
        <v>1368</v>
      </c>
      <c r="C1364" s="33">
        <v>50277</v>
      </c>
      <c r="D1364" s="33" t="s">
        <v>400</v>
      </c>
      <c r="E1364" s="35">
        <v>44582</v>
      </c>
      <c r="F1364" s="33">
        <v>1</v>
      </c>
      <c r="G1364" s="33" t="s">
        <v>231</v>
      </c>
      <c r="H1364" s="33" t="s">
        <v>69</v>
      </c>
      <c r="I1364" s="33" t="s">
        <v>198</v>
      </c>
      <c r="J1364" s="34">
        <v>334.35</v>
      </c>
      <c r="K1364" s="34"/>
      <c r="L1364" s="34">
        <v>334.35</v>
      </c>
    </row>
    <row r="1365" spans="2:12" x14ac:dyDescent="0.3">
      <c r="B1365" s="25">
        <v>1369</v>
      </c>
      <c r="C1365" s="33">
        <v>50278</v>
      </c>
      <c r="D1365" s="33" t="s">
        <v>400</v>
      </c>
      <c r="E1365" s="35">
        <v>44582</v>
      </c>
      <c r="F1365" s="33">
        <v>1</v>
      </c>
      <c r="G1365" s="33" t="s">
        <v>231</v>
      </c>
      <c r="H1365" s="33" t="s">
        <v>69</v>
      </c>
      <c r="I1365" s="33" t="s">
        <v>198</v>
      </c>
      <c r="J1365" s="34">
        <v>2087.1</v>
      </c>
      <c r="K1365" s="34"/>
      <c r="L1365" s="34">
        <v>2087.1</v>
      </c>
    </row>
    <row r="1366" spans="2:12" x14ac:dyDescent="0.3">
      <c r="B1366" s="25">
        <v>1370</v>
      </c>
      <c r="C1366" s="33">
        <v>50279</v>
      </c>
      <c r="D1366" s="33" t="s">
        <v>400</v>
      </c>
      <c r="E1366" s="35">
        <v>44582</v>
      </c>
      <c r="F1366" s="33">
        <v>1</v>
      </c>
      <c r="G1366" s="33" t="s">
        <v>231</v>
      </c>
      <c r="H1366" s="33" t="s">
        <v>69</v>
      </c>
      <c r="I1366" s="33" t="s">
        <v>198</v>
      </c>
      <c r="J1366" s="34">
        <v>1241.55</v>
      </c>
      <c r="K1366" s="34"/>
      <c r="L1366" s="34">
        <v>1241.55</v>
      </c>
    </row>
    <row r="1367" spans="2:12" x14ac:dyDescent="0.3">
      <c r="B1367" s="25">
        <v>1371</v>
      </c>
      <c r="C1367" s="33">
        <v>50280</v>
      </c>
      <c r="D1367" s="33" t="s">
        <v>400</v>
      </c>
      <c r="E1367" s="35">
        <v>44582</v>
      </c>
      <c r="F1367" s="33">
        <v>1</v>
      </c>
      <c r="G1367" s="33" t="s">
        <v>231</v>
      </c>
      <c r="H1367" s="33" t="s">
        <v>69</v>
      </c>
      <c r="I1367" s="33" t="s">
        <v>198</v>
      </c>
      <c r="J1367" s="34">
        <v>172.8</v>
      </c>
      <c r="K1367" s="34"/>
      <c r="L1367" s="34">
        <v>172.8</v>
      </c>
    </row>
    <row r="1368" spans="2:12" x14ac:dyDescent="0.3">
      <c r="B1368" s="25">
        <v>1372</v>
      </c>
      <c r="C1368" s="33">
        <v>50281</v>
      </c>
      <c r="D1368" s="33" t="s">
        <v>400</v>
      </c>
      <c r="E1368" s="35">
        <v>44582</v>
      </c>
      <c r="F1368" s="33">
        <v>1</v>
      </c>
      <c r="G1368" s="33" t="s">
        <v>231</v>
      </c>
      <c r="H1368" s="33" t="s">
        <v>69</v>
      </c>
      <c r="I1368" s="33" t="s">
        <v>198</v>
      </c>
      <c r="J1368" s="34">
        <v>504</v>
      </c>
      <c r="K1368" s="34"/>
      <c r="L1368" s="34">
        <v>504</v>
      </c>
    </row>
    <row r="1369" spans="2:12" x14ac:dyDescent="0.3">
      <c r="B1369" s="25">
        <v>1373</v>
      </c>
      <c r="C1369" s="33">
        <v>50282</v>
      </c>
      <c r="D1369" s="33" t="s">
        <v>400</v>
      </c>
      <c r="E1369" s="35">
        <v>44582</v>
      </c>
      <c r="F1369" s="33">
        <v>1</v>
      </c>
      <c r="G1369" s="33" t="s">
        <v>231</v>
      </c>
      <c r="H1369" s="33" t="s">
        <v>69</v>
      </c>
      <c r="I1369" s="33" t="s">
        <v>198</v>
      </c>
      <c r="J1369" s="34">
        <v>1254.1500000000001</v>
      </c>
      <c r="K1369" s="34"/>
      <c r="L1369" s="34">
        <v>1254.1500000000001</v>
      </c>
    </row>
    <row r="1370" spans="2:12" x14ac:dyDescent="0.3">
      <c r="B1370" s="25">
        <v>1374</v>
      </c>
      <c r="C1370" s="33">
        <v>50283</v>
      </c>
      <c r="D1370" s="33" t="s">
        <v>400</v>
      </c>
      <c r="E1370" s="35">
        <v>44582</v>
      </c>
      <c r="F1370" s="33">
        <v>1</v>
      </c>
      <c r="G1370" s="33" t="s">
        <v>231</v>
      </c>
      <c r="H1370" s="33" t="s">
        <v>69</v>
      </c>
      <c r="I1370" s="33" t="s">
        <v>198</v>
      </c>
      <c r="J1370" s="34">
        <v>965.25</v>
      </c>
      <c r="K1370" s="34"/>
      <c r="L1370" s="34">
        <v>965.25</v>
      </c>
    </row>
    <row r="1371" spans="2:12" x14ac:dyDescent="0.3">
      <c r="B1371" s="25">
        <v>1375</v>
      </c>
      <c r="C1371" s="33" t="s">
        <v>806</v>
      </c>
      <c r="D1371" s="33" t="s">
        <v>400</v>
      </c>
      <c r="E1371" s="35">
        <v>44582</v>
      </c>
      <c r="F1371" s="33">
        <v>1</v>
      </c>
      <c r="G1371" s="33" t="s">
        <v>231</v>
      </c>
      <c r="H1371" s="33" t="s">
        <v>69</v>
      </c>
      <c r="I1371" s="33" t="s">
        <v>198</v>
      </c>
      <c r="J1371" s="34">
        <v>638.54</v>
      </c>
      <c r="K1371" s="34"/>
      <c r="L1371" s="34">
        <v>638.54</v>
      </c>
    </row>
    <row r="1372" spans="2:12" x14ac:dyDescent="0.3">
      <c r="B1372" s="25">
        <v>1376</v>
      </c>
      <c r="C1372" s="33">
        <v>50285</v>
      </c>
      <c r="D1372" s="33" t="s">
        <v>400</v>
      </c>
      <c r="E1372" s="35">
        <v>44582</v>
      </c>
      <c r="F1372" s="33">
        <v>1</v>
      </c>
      <c r="G1372" s="33" t="s">
        <v>231</v>
      </c>
      <c r="H1372" s="33" t="s">
        <v>69</v>
      </c>
      <c r="I1372" s="33" t="s">
        <v>198</v>
      </c>
      <c r="J1372" s="34">
        <v>387.9</v>
      </c>
      <c r="K1372" s="34"/>
      <c r="L1372" s="34">
        <v>387.9</v>
      </c>
    </row>
    <row r="1373" spans="2:12" x14ac:dyDescent="0.3">
      <c r="B1373" s="25">
        <v>1377</v>
      </c>
      <c r="C1373" s="33" t="s">
        <v>807</v>
      </c>
      <c r="D1373" s="33" t="s">
        <v>400</v>
      </c>
      <c r="E1373" s="35">
        <v>44582</v>
      </c>
      <c r="F1373" s="33">
        <v>1</v>
      </c>
      <c r="G1373" s="33" t="s">
        <v>231</v>
      </c>
      <c r="H1373" s="33" t="s">
        <v>69</v>
      </c>
      <c r="I1373" s="33" t="s">
        <v>198</v>
      </c>
      <c r="J1373" s="34">
        <v>198.45</v>
      </c>
      <c r="K1373" s="34"/>
      <c r="L1373" s="34">
        <v>198.45</v>
      </c>
    </row>
    <row r="1374" spans="2:12" x14ac:dyDescent="0.3">
      <c r="B1374" s="25">
        <v>1378</v>
      </c>
      <c r="C1374" s="33" t="s">
        <v>808</v>
      </c>
      <c r="D1374" s="33" t="s">
        <v>400</v>
      </c>
      <c r="E1374" s="35">
        <v>44582</v>
      </c>
      <c r="F1374" s="33">
        <v>1</v>
      </c>
      <c r="G1374" s="33" t="s">
        <v>231</v>
      </c>
      <c r="H1374" s="33" t="s">
        <v>69</v>
      </c>
      <c r="I1374" s="33" t="s">
        <v>198</v>
      </c>
      <c r="J1374" s="34">
        <v>25.2</v>
      </c>
      <c r="K1374" s="34"/>
      <c r="L1374" s="34">
        <v>25.2</v>
      </c>
    </row>
    <row r="1375" spans="2:12" x14ac:dyDescent="0.3">
      <c r="B1375" s="25">
        <v>1379</v>
      </c>
      <c r="C1375" s="33">
        <v>50354</v>
      </c>
      <c r="D1375" s="33" t="s">
        <v>400</v>
      </c>
      <c r="E1375" s="35">
        <v>44588</v>
      </c>
      <c r="F1375" s="33">
        <v>1</v>
      </c>
      <c r="G1375" s="33" t="s">
        <v>231</v>
      </c>
      <c r="H1375" s="33" t="s">
        <v>69</v>
      </c>
      <c r="I1375" s="33" t="s">
        <v>198</v>
      </c>
      <c r="J1375" s="34">
        <v>638.24</v>
      </c>
      <c r="K1375" s="34"/>
      <c r="L1375" s="34">
        <v>638.24</v>
      </c>
    </row>
    <row r="1376" spans="2:12" x14ac:dyDescent="0.3">
      <c r="B1376" s="25">
        <v>1380</v>
      </c>
      <c r="C1376" s="33">
        <v>50358</v>
      </c>
      <c r="D1376" s="33" t="s">
        <v>805</v>
      </c>
      <c r="E1376" s="35">
        <v>44588</v>
      </c>
      <c r="F1376" s="33">
        <v>1</v>
      </c>
      <c r="G1376" s="33" t="s">
        <v>231</v>
      </c>
      <c r="H1376" s="33" t="s">
        <v>69</v>
      </c>
      <c r="I1376" s="33" t="s">
        <v>198</v>
      </c>
      <c r="J1376" s="34">
        <v>1432</v>
      </c>
      <c r="K1376" s="34"/>
      <c r="L1376" s="34">
        <v>1432</v>
      </c>
    </row>
    <row r="1377" spans="2:12" x14ac:dyDescent="0.3">
      <c r="B1377" s="25">
        <v>1381</v>
      </c>
      <c r="C1377" s="33">
        <v>50378</v>
      </c>
      <c r="D1377" s="33" t="s">
        <v>275</v>
      </c>
      <c r="E1377" s="35">
        <v>44620</v>
      </c>
      <c r="F1377" s="33">
        <v>1</v>
      </c>
      <c r="G1377" s="33" t="s">
        <v>124</v>
      </c>
      <c r="H1377" s="33" t="s">
        <v>69</v>
      </c>
      <c r="I1377" s="33" t="s">
        <v>197</v>
      </c>
      <c r="J1377" s="34">
        <v>1713.5</v>
      </c>
      <c r="K1377" s="34"/>
      <c r="L1377" s="34">
        <v>1713.5</v>
      </c>
    </row>
    <row r="1378" spans="2:12" x14ac:dyDescent="0.3">
      <c r="B1378" s="25">
        <v>1382</v>
      </c>
      <c r="C1378" s="33">
        <v>50379</v>
      </c>
      <c r="D1378" s="33" t="s">
        <v>693</v>
      </c>
      <c r="E1378" s="35">
        <v>44589</v>
      </c>
      <c r="F1378" s="33">
        <v>1</v>
      </c>
      <c r="G1378" s="33" t="s">
        <v>124</v>
      </c>
      <c r="H1378" s="33" t="s">
        <v>69</v>
      </c>
      <c r="I1378" s="33" t="s">
        <v>197</v>
      </c>
      <c r="J1378" s="34">
        <v>676.2</v>
      </c>
      <c r="K1378" s="34"/>
      <c r="L1378" s="34">
        <v>676.2</v>
      </c>
    </row>
    <row r="1379" spans="2:12" x14ac:dyDescent="0.3">
      <c r="B1379" s="25">
        <v>1383</v>
      </c>
      <c r="C1379" s="33" t="s">
        <v>809</v>
      </c>
      <c r="D1379" s="33" t="s">
        <v>410</v>
      </c>
      <c r="E1379" s="35">
        <v>44592</v>
      </c>
      <c r="F1379" s="33">
        <v>1</v>
      </c>
      <c r="G1379" s="33" t="s">
        <v>231</v>
      </c>
      <c r="H1379" s="33" t="s">
        <v>69</v>
      </c>
      <c r="I1379" s="33" t="s">
        <v>198</v>
      </c>
      <c r="J1379" s="34">
        <v>3398</v>
      </c>
      <c r="K1379" s="34"/>
      <c r="L1379" s="34">
        <v>3398</v>
      </c>
    </row>
    <row r="1380" spans="2:12" x14ac:dyDescent="0.3">
      <c r="B1380" s="25">
        <v>1384</v>
      </c>
      <c r="C1380" s="33">
        <v>50501</v>
      </c>
      <c r="D1380" s="33" t="s">
        <v>404</v>
      </c>
      <c r="E1380" s="35">
        <v>44595</v>
      </c>
      <c r="F1380" s="33">
        <v>1</v>
      </c>
      <c r="G1380" s="33" t="s">
        <v>122</v>
      </c>
      <c r="H1380" s="33" t="s">
        <v>69</v>
      </c>
      <c r="I1380" s="33" t="s">
        <v>196</v>
      </c>
      <c r="J1380" s="34">
        <v>2180.67</v>
      </c>
      <c r="K1380" s="34"/>
      <c r="L1380" s="34">
        <v>2180.67</v>
      </c>
    </row>
    <row r="1381" spans="2:12" x14ac:dyDescent="0.3">
      <c r="B1381" s="25">
        <v>1385</v>
      </c>
      <c r="C1381" s="33">
        <v>50502</v>
      </c>
      <c r="D1381" s="33" t="s">
        <v>404</v>
      </c>
      <c r="E1381" s="35">
        <v>44595</v>
      </c>
      <c r="F1381" s="33">
        <v>1</v>
      </c>
      <c r="G1381" s="33" t="s">
        <v>122</v>
      </c>
      <c r="H1381" s="33" t="s">
        <v>69</v>
      </c>
      <c r="I1381" s="33" t="s">
        <v>196</v>
      </c>
      <c r="J1381" s="34">
        <v>1293</v>
      </c>
      <c r="K1381" s="34"/>
      <c r="L1381" s="34">
        <v>1293</v>
      </c>
    </row>
    <row r="1382" spans="2:12" x14ac:dyDescent="0.3">
      <c r="B1382" s="25">
        <v>1386</v>
      </c>
      <c r="C1382" s="33">
        <v>50510</v>
      </c>
      <c r="D1382" s="33" t="s">
        <v>414</v>
      </c>
      <c r="E1382" s="35">
        <v>44595</v>
      </c>
      <c r="F1382" s="33">
        <v>1</v>
      </c>
      <c r="G1382" s="33" t="s">
        <v>122</v>
      </c>
      <c r="H1382" s="33" t="s">
        <v>69</v>
      </c>
      <c r="I1382" s="33" t="s">
        <v>196</v>
      </c>
      <c r="J1382" s="34">
        <v>10639.48</v>
      </c>
      <c r="K1382" s="34"/>
      <c r="L1382" s="34">
        <v>10639.48</v>
      </c>
    </row>
    <row r="1383" spans="2:12" x14ac:dyDescent="0.3">
      <c r="B1383" s="25">
        <v>1387</v>
      </c>
      <c r="C1383" s="33">
        <v>50511</v>
      </c>
      <c r="D1383" s="33" t="s">
        <v>512</v>
      </c>
      <c r="E1383" s="35">
        <v>44595</v>
      </c>
      <c r="F1383" s="33">
        <v>1</v>
      </c>
      <c r="G1383" s="33" t="s">
        <v>122</v>
      </c>
      <c r="H1383" s="33" t="s">
        <v>69</v>
      </c>
      <c r="I1383" s="33" t="s">
        <v>196</v>
      </c>
      <c r="J1383" s="34">
        <v>1096.5</v>
      </c>
      <c r="K1383" s="34"/>
      <c r="L1383" s="34">
        <v>1096.5</v>
      </c>
    </row>
    <row r="1384" spans="2:12" x14ac:dyDescent="0.3">
      <c r="B1384" s="25">
        <v>1388</v>
      </c>
      <c r="C1384" s="33">
        <v>50512</v>
      </c>
      <c r="D1384" s="33" t="s">
        <v>411</v>
      </c>
      <c r="E1384" s="35">
        <v>44595</v>
      </c>
      <c r="F1384" s="33">
        <v>1</v>
      </c>
      <c r="G1384" s="33" t="s">
        <v>122</v>
      </c>
      <c r="H1384" s="33" t="s">
        <v>69</v>
      </c>
      <c r="I1384" s="33" t="s">
        <v>196</v>
      </c>
      <c r="J1384" s="34">
        <v>6102.48</v>
      </c>
      <c r="K1384" s="34"/>
      <c r="L1384" s="34">
        <v>6102.48</v>
      </c>
    </row>
    <row r="1385" spans="2:12" x14ac:dyDescent="0.3">
      <c r="B1385" s="25">
        <v>1389</v>
      </c>
      <c r="C1385" s="33" t="s">
        <v>810</v>
      </c>
      <c r="D1385" s="33" t="s">
        <v>752</v>
      </c>
      <c r="E1385" s="35">
        <v>44595</v>
      </c>
      <c r="F1385" s="33">
        <v>1</v>
      </c>
      <c r="G1385" s="33" t="s">
        <v>122</v>
      </c>
      <c r="H1385" s="33" t="s">
        <v>69</v>
      </c>
      <c r="I1385" s="33" t="s">
        <v>196</v>
      </c>
      <c r="J1385" s="34">
        <v>35</v>
      </c>
      <c r="K1385" s="34"/>
      <c r="L1385" s="34">
        <v>35</v>
      </c>
    </row>
    <row r="1386" spans="2:12" x14ac:dyDescent="0.3">
      <c r="B1386" s="25">
        <v>1390</v>
      </c>
      <c r="C1386" s="33">
        <v>50516</v>
      </c>
      <c r="D1386" s="33" t="s">
        <v>412</v>
      </c>
      <c r="E1386" s="35">
        <v>44595</v>
      </c>
      <c r="F1386" s="33">
        <v>1</v>
      </c>
      <c r="G1386" s="33" t="s">
        <v>231</v>
      </c>
      <c r="H1386" s="33" t="s">
        <v>69</v>
      </c>
      <c r="I1386" s="33" t="s">
        <v>198</v>
      </c>
      <c r="J1386" s="34">
        <v>5046.5</v>
      </c>
      <c r="K1386" s="34"/>
      <c r="L1386" s="34">
        <v>5046.5</v>
      </c>
    </row>
    <row r="1387" spans="2:12" x14ac:dyDescent="0.3">
      <c r="B1387" s="25">
        <v>1391</v>
      </c>
      <c r="C1387" s="33">
        <v>50519</v>
      </c>
      <c r="D1387" s="33" t="s">
        <v>275</v>
      </c>
      <c r="E1387" s="35">
        <v>44595</v>
      </c>
      <c r="F1387" s="33">
        <v>1</v>
      </c>
      <c r="G1387" s="33" t="s">
        <v>124</v>
      </c>
      <c r="H1387" s="33" t="s">
        <v>69</v>
      </c>
      <c r="I1387" s="33" t="s">
        <v>197</v>
      </c>
      <c r="J1387" s="34">
        <v>1019.5</v>
      </c>
      <c r="K1387" s="34"/>
      <c r="L1387" s="34">
        <v>1019.5</v>
      </c>
    </row>
    <row r="1388" spans="2:12" x14ac:dyDescent="0.3">
      <c r="B1388" s="25">
        <v>1392</v>
      </c>
      <c r="C1388" s="33">
        <v>50521</v>
      </c>
      <c r="D1388" s="33" t="s">
        <v>693</v>
      </c>
      <c r="E1388" s="35">
        <v>44595</v>
      </c>
      <c r="F1388" s="33">
        <v>1</v>
      </c>
      <c r="G1388" s="33" t="s">
        <v>124</v>
      </c>
      <c r="H1388" s="33" t="s">
        <v>69</v>
      </c>
      <c r="I1388" s="33" t="s">
        <v>197</v>
      </c>
      <c r="J1388" s="34">
        <v>2247.6</v>
      </c>
      <c r="K1388" s="34"/>
      <c r="L1388" s="34">
        <v>2247.6</v>
      </c>
    </row>
    <row r="1389" spans="2:12" x14ac:dyDescent="0.3">
      <c r="B1389" s="25">
        <v>1393</v>
      </c>
      <c r="C1389" s="33">
        <v>50529</v>
      </c>
      <c r="D1389" s="33" t="s">
        <v>400</v>
      </c>
      <c r="E1389" s="35">
        <v>44596</v>
      </c>
      <c r="F1389" s="33">
        <v>1</v>
      </c>
      <c r="G1389" s="33" t="s">
        <v>231</v>
      </c>
      <c r="H1389" s="33" t="s">
        <v>69</v>
      </c>
      <c r="I1389" s="33" t="s">
        <v>198</v>
      </c>
      <c r="J1389" s="34">
        <v>502.2</v>
      </c>
      <c r="K1389" s="34"/>
      <c r="L1389" s="34">
        <v>502.2</v>
      </c>
    </row>
    <row r="1390" spans="2:12" x14ac:dyDescent="0.3">
      <c r="B1390" s="25">
        <v>1394</v>
      </c>
      <c r="C1390" s="33">
        <v>50530</v>
      </c>
      <c r="D1390" s="33" t="s">
        <v>400</v>
      </c>
      <c r="E1390" s="35">
        <v>44596</v>
      </c>
      <c r="F1390" s="33">
        <v>1</v>
      </c>
      <c r="G1390" s="33" t="s">
        <v>231</v>
      </c>
      <c r="H1390" s="33" t="s">
        <v>69</v>
      </c>
      <c r="I1390" s="33" t="s">
        <v>198</v>
      </c>
      <c r="J1390" s="34">
        <v>2604.15</v>
      </c>
      <c r="K1390" s="34"/>
      <c r="L1390" s="34">
        <v>2604.15</v>
      </c>
    </row>
    <row r="1391" spans="2:12" x14ac:dyDescent="0.3">
      <c r="B1391" s="25">
        <v>1395</v>
      </c>
      <c r="C1391" s="33">
        <v>50531</v>
      </c>
      <c r="D1391" s="33" t="s">
        <v>400</v>
      </c>
      <c r="E1391" s="35">
        <v>44596</v>
      </c>
      <c r="F1391" s="33">
        <v>1</v>
      </c>
      <c r="G1391" s="33" t="s">
        <v>231</v>
      </c>
      <c r="H1391" s="33" t="s">
        <v>69</v>
      </c>
      <c r="I1391" s="33" t="s">
        <v>198</v>
      </c>
      <c r="J1391" s="34">
        <v>1319.19</v>
      </c>
      <c r="K1391" s="34"/>
      <c r="L1391" s="34">
        <v>1319.19</v>
      </c>
    </row>
    <row r="1392" spans="2:12" x14ac:dyDescent="0.3">
      <c r="B1392" s="25">
        <v>1396</v>
      </c>
      <c r="C1392" s="33">
        <v>50532</v>
      </c>
      <c r="D1392" s="33" t="s">
        <v>400</v>
      </c>
      <c r="E1392" s="35">
        <v>44596</v>
      </c>
      <c r="F1392" s="33">
        <v>1</v>
      </c>
      <c r="G1392" s="33" t="s">
        <v>231</v>
      </c>
      <c r="H1392" s="33" t="s">
        <v>69</v>
      </c>
      <c r="I1392" s="33" t="s">
        <v>198</v>
      </c>
      <c r="J1392" s="34">
        <v>44.62</v>
      </c>
      <c r="K1392" s="34"/>
      <c r="L1392" s="34">
        <v>44.62</v>
      </c>
    </row>
    <row r="1393" spans="2:12" x14ac:dyDescent="0.3">
      <c r="B1393" s="25">
        <v>1397</v>
      </c>
      <c r="C1393" s="33" t="s">
        <v>811</v>
      </c>
      <c r="D1393" s="33" t="s">
        <v>282</v>
      </c>
      <c r="E1393" s="35">
        <v>44590</v>
      </c>
      <c r="F1393" s="33">
        <v>1</v>
      </c>
      <c r="G1393" s="33" t="s">
        <v>124</v>
      </c>
      <c r="H1393" s="33" t="s">
        <v>69</v>
      </c>
      <c r="I1393" s="33" t="s">
        <v>197</v>
      </c>
      <c r="J1393" s="34">
        <v>200.05</v>
      </c>
      <c r="K1393" s="34"/>
      <c r="L1393" s="34">
        <v>200.05</v>
      </c>
    </row>
    <row r="1394" spans="2:12" x14ac:dyDescent="0.3">
      <c r="B1394" s="25">
        <v>1398</v>
      </c>
      <c r="C1394" s="33" t="s">
        <v>812</v>
      </c>
      <c r="D1394" s="33" t="s">
        <v>437</v>
      </c>
      <c r="E1394" s="35">
        <v>44568</v>
      </c>
      <c r="F1394" s="33">
        <v>1</v>
      </c>
      <c r="G1394" s="33" t="s">
        <v>122</v>
      </c>
      <c r="H1394" s="33" t="s">
        <v>73</v>
      </c>
      <c r="I1394" s="33" t="s">
        <v>196</v>
      </c>
      <c r="J1394" s="34">
        <v>219.87</v>
      </c>
      <c r="K1394" s="34"/>
      <c r="L1394" s="34">
        <v>219.87</v>
      </c>
    </row>
    <row r="1395" spans="2:12" x14ac:dyDescent="0.3">
      <c r="B1395" s="25">
        <v>1399</v>
      </c>
      <c r="C1395" s="33">
        <v>528</v>
      </c>
      <c r="D1395" s="33" t="s">
        <v>410</v>
      </c>
      <c r="E1395" s="35">
        <v>44579</v>
      </c>
      <c r="F1395" s="33">
        <v>1</v>
      </c>
      <c r="G1395" s="33" t="s">
        <v>231</v>
      </c>
      <c r="H1395" s="33" t="s">
        <v>73</v>
      </c>
      <c r="I1395" s="33" t="s">
        <v>198</v>
      </c>
      <c r="J1395" s="34">
        <v>1804.5</v>
      </c>
      <c r="K1395" s="34"/>
      <c r="L1395" s="34">
        <v>1804.5</v>
      </c>
    </row>
    <row r="1396" spans="2:12" x14ac:dyDescent="0.3">
      <c r="B1396" s="25">
        <v>1400</v>
      </c>
      <c r="C1396" s="33">
        <v>50053</v>
      </c>
      <c r="D1396" s="33" t="s">
        <v>443</v>
      </c>
      <c r="E1396" s="35">
        <v>44574</v>
      </c>
      <c r="F1396" s="33">
        <v>1</v>
      </c>
      <c r="G1396" s="33" t="s">
        <v>122</v>
      </c>
      <c r="H1396" s="33" t="s">
        <v>73</v>
      </c>
      <c r="I1396" s="33" t="s">
        <v>196</v>
      </c>
      <c r="J1396" s="34">
        <v>289</v>
      </c>
      <c r="K1396" s="34"/>
      <c r="L1396" s="34">
        <v>289</v>
      </c>
    </row>
    <row r="1397" spans="2:12" x14ac:dyDescent="0.3">
      <c r="B1397" s="25">
        <v>1401</v>
      </c>
      <c r="C1397" s="33">
        <v>50160</v>
      </c>
      <c r="D1397" s="33" t="s">
        <v>411</v>
      </c>
      <c r="E1397" s="35">
        <v>44581</v>
      </c>
      <c r="F1397" s="33">
        <v>1</v>
      </c>
      <c r="G1397" s="33" t="s">
        <v>122</v>
      </c>
      <c r="H1397" s="33">
        <v>53</v>
      </c>
      <c r="I1397" s="33" t="s">
        <v>196</v>
      </c>
      <c r="J1397" s="34">
        <v>65</v>
      </c>
      <c r="K1397" s="34"/>
      <c r="L1397" s="34">
        <v>65</v>
      </c>
    </row>
    <row r="1398" spans="2:12" x14ac:dyDescent="0.3">
      <c r="B1398" s="25">
        <v>1402</v>
      </c>
      <c r="C1398" s="33" t="s">
        <v>813</v>
      </c>
      <c r="D1398" s="33" t="s">
        <v>400</v>
      </c>
      <c r="E1398" s="35">
        <v>44581</v>
      </c>
      <c r="F1398" s="33">
        <v>1</v>
      </c>
      <c r="G1398" s="33" t="s">
        <v>231</v>
      </c>
      <c r="H1398" s="33" t="s">
        <v>73</v>
      </c>
      <c r="I1398" s="33" t="s">
        <v>198</v>
      </c>
      <c r="J1398" s="34">
        <v>119.25</v>
      </c>
      <c r="K1398" s="34"/>
      <c r="L1398" s="34">
        <v>119.25</v>
      </c>
    </row>
    <row r="1399" spans="2:12" x14ac:dyDescent="0.3">
      <c r="B1399" s="25">
        <v>1403</v>
      </c>
      <c r="C1399" s="33" t="s">
        <v>814</v>
      </c>
      <c r="D1399" s="33" t="s">
        <v>400</v>
      </c>
      <c r="E1399" s="35">
        <v>44581</v>
      </c>
      <c r="F1399" s="33">
        <v>1</v>
      </c>
      <c r="G1399" s="33" t="s">
        <v>231</v>
      </c>
      <c r="H1399" s="33">
        <v>53</v>
      </c>
      <c r="I1399" s="33" t="s">
        <v>198</v>
      </c>
      <c r="J1399" s="34">
        <v>895.95</v>
      </c>
      <c r="K1399" s="34"/>
      <c r="L1399" s="34">
        <v>895.95</v>
      </c>
    </row>
    <row r="1400" spans="2:12" x14ac:dyDescent="0.3">
      <c r="B1400" s="25">
        <v>1404</v>
      </c>
      <c r="C1400" s="33" t="s">
        <v>815</v>
      </c>
      <c r="D1400" s="33" t="s">
        <v>400</v>
      </c>
      <c r="E1400" s="35">
        <v>44581</v>
      </c>
      <c r="F1400" s="33">
        <v>1</v>
      </c>
      <c r="G1400" s="33" t="s">
        <v>231</v>
      </c>
      <c r="H1400" s="33">
        <v>53</v>
      </c>
      <c r="I1400" s="33" t="s">
        <v>198</v>
      </c>
      <c r="J1400" s="34">
        <v>87.3</v>
      </c>
      <c r="K1400" s="34"/>
      <c r="L1400" s="34">
        <v>87.3</v>
      </c>
    </row>
    <row r="1401" spans="2:12" x14ac:dyDescent="0.3">
      <c r="B1401" s="25">
        <v>1405</v>
      </c>
      <c r="C1401" s="33" t="s">
        <v>816</v>
      </c>
      <c r="D1401" s="33" t="s">
        <v>400</v>
      </c>
      <c r="E1401" s="35">
        <v>44588</v>
      </c>
      <c r="F1401" s="33">
        <v>1</v>
      </c>
      <c r="G1401" s="33" t="s">
        <v>231</v>
      </c>
      <c r="H1401" s="33">
        <v>53</v>
      </c>
      <c r="I1401" s="33" t="s">
        <v>198</v>
      </c>
      <c r="J1401" s="34">
        <v>1224.45</v>
      </c>
      <c r="K1401" s="34"/>
      <c r="L1401" s="34">
        <v>1224.45</v>
      </c>
    </row>
    <row r="1402" spans="2:12" x14ac:dyDescent="0.3">
      <c r="B1402" s="25">
        <v>1406</v>
      </c>
      <c r="C1402" s="33" t="s">
        <v>817</v>
      </c>
      <c r="D1402" s="33" t="s">
        <v>400</v>
      </c>
      <c r="E1402" s="35">
        <v>44588</v>
      </c>
      <c r="F1402" s="33">
        <v>1</v>
      </c>
      <c r="G1402" s="33" t="s">
        <v>231</v>
      </c>
      <c r="H1402" s="33">
        <v>53</v>
      </c>
      <c r="I1402" s="33" t="s">
        <v>198</v>
      </c>
      <c r="J1402" s="34">
        <v>195.94</v>
      </c>
      <c r="K1402" s="34"/>
      <c r="L1402" s="34">
        <v>195.94</v>
      </c>
    </row>
    <row r="1403" spans="2:12" x14ac:dyDescent="0.3">
      <c r="B1403" s="25">
        <v>1407</v>
      </c>
      <c r="C1403" s="33">
        <v>50396</v>
      </c>
      <c r="D1403" s="33" t="s">
        <v>400</v>
      </c>
      <c r="E1403" s="35">
        <v>44596</v>
      </c>
      <c r="F1403" s="33">
        <v>1</v>
      </c>
      <c r="G1403" s="33" t="s">
        <v>231</v>
      </c>
      <c r="H1403" s="33">
        <v>53</v>
      </c>
      <c r="I1403" s="33" t="s">
        <v>198</v>
      </c>
      <c r="J1403" s="34">
        <v>126</v>
      </c>
      <c r="K1403" s="34"/>
      <c r="L1403" s="34">
        <v>126</v>
      </c>
    </row>
    <row r="1404" spans="2:12" x14ac:dyDescent="0.3">
      <c r="B1404" s="25">
        <v>1408</v>
      </c>
      <c r="C1404" s="33" t="s">
        <v>818</v>
      </c>
      <c r="D1404" s="33" t="s">
        <v>441</v>
      </c>
      <c r="E1404" s="35">
        <v>44596</v>
      </c>
      <c r="F1404" s="33">
        <v>1</v>
      </c>
      <c r="G1404" s="33" t="s">
        <v>122</v>
      </c>
      <c r="H1404" s="33">
        <v>53</v>
      </c>
      <c r="I1404" s="33" t="s">
        <v>196</v>
      </c>
      <c r="J1404" s="34">
        <v>440.5</v>
      </c>
      <c r="K1404" s="34"/>
      <c r="L1404" s="34">
        <v>440.5</v>
      </c>
    </row>
    <row r="1405" spans="2:12" x14ac:dyDescent="0.3">
      <c r="B1405" s="25">
        <v>1409</v>
      </c>
      <c r="C1405" s="33">
        <v>50443</v>
      </c>
      <c r="D1405" s="33" t="s">
        <v>400</v>
      </c>
      <c r="E1405" s="35">
        <v>44602</v>
      </c>
      <c r="F1405" s="33">
        <v>1</v>
      </c>
      <c r="G1405" s="33" t="s">
        <v>231</v>
      </c>
      <c r="H1405" s="33">
        <v>53</v>
      </c>
      <c r="I1405" s="33" t="s">
        <v>198</v>
      </c>
      <c r="J1405" s="34">
        <v>827.1</v>
      </c>
      <c r="K1405" s="34"/>
      <c r="L1405" s="34">
        <v>827.1</v>
      </c>
    </row>
    <row r="1406" spans="2:12" x14ac:dyDescent="0.3">
      <c r="B1406" s="25">
        <v>1410</v>
      </c>
      <c r="C1406" s="33">
        <v>50444</v>
      </c>
      <c r="D1406" s="33" t="s">
        <v>400</v>
      </c>
      <c r="E1406" s="35">
        <v>44602</v>
      </c>
      <c r="F1406" s="33">
        <v>1</v>
      </c>
      <c r="G1406" s="33" t="s">
        <v>231</v>
      </c>
      <c r="H1406" s="33" t="s">
        <v>73</v>
      </c>
      <c r="I1406" s="33" t="s">
        <v>198</v>
      </c>
      <c r="J1406" s="34">
        <v>549.9</v>
      </c>
      <c r="K1406" s="34"/>
      <c r="L1406" s="34">
        <v>549.9</v>
      </c>
    </row>
    <row r="1407" spans="2:12" x14ac:dyDescent="0.3">
      <c r="B1407" s="25">
        <v>1411</v>
      </c>
      <c r="C1407" s="33">
        <v>50445</v>
      </c>
      <c r="D1407" s="33" t="s">
        <v>400</v>
      </c>
      <c r="E1407" s="35">
        <v>44602</v>
      </c>
      <c r="F1407" s="33">
        <v>1</v>
      </c>
      <c r="G1407" s="33" t="s">
        <v>231</v>
      </c>
      <c r="H1407" s="33">
        <v>53</v>
      </c>
      <c r="I1407" s="33" t="s">
        <v>198</v>
      </c>
      <c r="J1407" s="34">
        <v>478.35</v>
      </c>
      <c r="K1407" s="34"/>
      <c r="L1407" s="34">
        <v>478.35</v>
      </c>
    </row>
    <row r="1408" spans="2:12" x14ac:dyDescent="0.3">
      <c r="B1408" s="25">
        <v>1412</v>
      </c>
      <c r="C1408" s="33">
        <v>50446</v>
      </c>
      <c r="D1408" s="33" t="s">
        <v>400</v>
      </c>
      <c r="E1408" s="35">
        <v>44602</v>
      </c>
      <c r="F1408" s="33">
        <v>1</v>
      </c>
      <c r="G1408" s="33" t="s">
        <v>231</v>
      </c>
      <c r="H1408" s="33">
        <v>53</v>
      </c>
      <c r="I1408" s="33" t="s">
        <v>198</v>
      </c>
      <c r="J1408" s="34">
        <v>833.4</v>
      </c>
      <c r="K1408" s="34"/>
      <c r="L1408" s="34">
        <v>833.4</v>
      </c>
    </row>
    <row r="1409" spans="2:12" x14ac:dyDescent="0.3">
      <c r="B1409" s="25">
        <v>1413</v>
      </c>
      <c r="C1409" s="33">
        <v>50447</v>
      </c>
      <c r="D1409" s="33" t="s">
        <v>400</v>
      </c>
      <c r="E1409" s="35">
        <v>44602</v>
      </c>
      <c r="F1409" s="33">
        <v>1</v>
      </c>
      <c r="G1409" s="33" t="s">
        <v>231</v>
      </c>
      <c r="H1409" s="33">
        <v>53</v>
      </c>
      <c r="I1409" s="33" t="s">
        <v>198</v>
      </c>
      <c r="J1409" s="34">
        <v>646.65</v>
      </c>
      <c r="K1409" s="34"/>
      <c r="L1409" s="34">
        <v>646.65</v>
      </c>
    </row>
    <row r="1410" spans="2:12" x14ac:dyDescent="0.3">
      <c r="B1410" s="25">
        <v>1414</v>
      </c>
      <c r="C1410" s="33">
        <v>50448</v>
      </c>
      <c r="D1410" s="33" t="s">
        <v>412</v>
      </c>
      <c r="E1410" s="35">
        <v>44602</v>
      </c>
      <c r="F1410" s="33">
        <v>1</v>
      </c>
      <c r="G1410" s="33" t="s">
        <v>231</v>
      </c>
      <c r="H1410" s="33">
        <v>53</v>
      </c>
      <c r="I1410" s="33" t="s">
        <v>198</v>
      </c>
      <c r="J1410" s="34">
        <v>1445</v>
      </c>
      <c r="K1410" s="34"/>
      <c r="L1410" s="34">
        <v>1445</v>
      </c>
    </row>
    <row r="1411" spans="2:12" x14ac:dyDescent="0.3">
      <c r="B1411" s="25">
        <v>1415</v>
      </c>
      <c r="C1411" s="33">
        <v>400</v>
      </c>
      <c r="D1411" s="33" t="s">
        <v>819</v>
      </c>
      <c r="E1411" s="35">
        <v>44592</v>
      </c>
      <c r="F1411" s="33">
        <v>1</v>
      </c>
      <c r="G1411" s="33" t="s">
        <v>122</v>
      </c>
      <c r="H1411" s="33" t="s">
        <v>71</v>
      </c>
      <c r="I1411" s="33" t="s">
        <v>196</v>
      </c>
      <c r="J1411" s="34">
        <v>490.81</v>
      </c>
      <c r="K1411" s="34">
        <v>80</v>
      </c>
      <c r="L1411" s="34">
        <v>410.81</v>
      </c>
    </row>
    <row r="1412" spans="2:12" x14ac:dyDescent="0.3">
      <c r="B1412" s="25">
        <v>1416</v>
      </c>
      <c r="C1412" s="33" t="s">
        <v>820</v>
      </c>
      <c r="D1412" s="33" t="s">
        <v>819</v>
      </c>
      <c r="E1412" s="35">
        <v>44592</v>
      </c>
      <c r="F1412" s="33">
        <v>1</v>
      </c>
      <c r="G1412" s="33" t="s">
        <v>628</v>
      </c>
      <c r="H1412" s="33" t="s">
        <v>71</v>
      </c>
      <c r="I1412" s="33" t="s">
        <v>75</v>
      </c>
      <c r="J1412" s="34">
        <v>669.68</v>
      </c>
      <c r="K1412" s="34">
        <v>80</v>
      </c>
      <c r="L1412" s="34">
        <v>589.67999999999995</v>
      </c>
    </row>
    <row r="1413" spans="2:12" x14ac:dyDescent="0.3">
      <c r="B1413" s="25">
        <v>1417</v>
      </c>
      <c r="C1413" s="33">
        <v>576</v>
      </c>
      <c r="D1413" s="33" t="s">
        <v>821</v>
      </c>
      <c r="E1413" s="35">
        <v>44607</v>
      </c>
      <c r="F1413" s="33">
        <v>1</v>
      </c>
      <c r="G1413" s="33" t="s">
        <v>122</v>
      </c>
      <c r="H1413" s="33" t="s">
        <v>71</v>
      </c>
      <c r="I1413" s="33" t="s">
        <v>196</v>
      </c>
      <c r="J1413" s="34">
        <v>925.08</v>
      </c>
      <c r="K1413" s="34">
        <v>80</v>
      </c>
      <c r="L1413" s="34">
        <v>845.08</v>
      </c>
    </row>
    <row r="1414" spans="2:12" x14ac:dyDescent="0.3">
      <c r="B1414" s="25">
        <v>1418</v>
      </c>
      <c r="C1414" s="33">
        <v>4327</v>
      </c>
      <c r="D1414" s="33" t="s">
        <v>822</v>
      </c>
      <c r="E1414" s="35">
        <v>44617</v>
      </c>
      <c r="F1414" s="33">
        <v>1</v>
      </c>
      <c r="G1414" s="33" t="s">
        <v>122</v>
      </c>
      <c r="H1414" s="33" t="s">
        <v>630</v>
      </c>
      <c r="I1414" s="33" t="s">
        <v>196</v>
      </c>
      <c r="J1414" s="34">
        <v>144.4</v>
      </c>
      <c r="K1414" s="34"/>
      <c r="L1414" s="34">
        <v>144.4</v>
      </c>
    </row>
    <row r="1415" spans="2:12" x14ac:dyDescent="0.3">
      <c r="B1415" s="25">
        <v>1419</v>
      </c>
      <c r="C1415" s="33">
        <v>806</v>
      </c>
      <c r="D1415" s="33" t="s">
        <v>823</v>
      </c>
      <c r="E1415" s="35">
        <v>44608</v>
      </c>
      <c r="F1415" s="33">
        <v>1</v>
      </c>
      <c r="G1415" s="33" t="s">
        <v>124</v>
      </c>
      <c r="H1415" s="33" t="s">
        <v>201</v>
      </c>
      <c r="I1415" s="33" t="s">
        <v>197</v>
      </c>
      <c r="J1415" s="34">
        <v>5392.8</v>
      </c>
      <c r="K1415" s="34"/>
      <c r="L1415" s="34">
        <v>5392.8</v>
      </c>
    </row>
    <row r="1416" spans="2:12" x14ac:dyDescent="0.3">
      <c r="B1416" s="25">
        <v>1420</v>
      </c>
      <c r="C1416" s="33">
        <v>808</v>
      </c>
      <c r="D1416" s="33" t="s">
        <v>394</v>
      </c>
      <c r="E1416" s="35">
        <v>44608</v>
      </c>
      <c r="F1416" s="33">
        <v>1</v>
      </c>
      <c r="G1416" s="33" t="s">
        <v>122</v>
      </c>
      <c r="H1416" s="33" t="s">
        <v>201</v>
      </c>
      <c r="I1416" s="33" t="s">
        <v>196</v>
      </c>
      <c r="J1416" s="34">
        <v>2858.9</v>
      </c>
      <c r="K1416" s="34"/>
      <c r="L1416" s="34">
        <v>2858.9</v>
      </c>
    </row>
    <row r="1417" spans="2:12" x14ac:dyDescent="0.3">
      <c r="B1417" s="25">
        <v>1421</v>
      </c>
      <c r="C1417" s="33">
        <v>809</v>
      </c>
      <c r="D1417" s="33" t="s">
        <v>551</v>
      </c>
      <c r="E1417" s="35">
        <v>44608</v>
      </c>
      <c r="F1417" s="33">
        <v>1</v>
      </c>
      <c r="G1417" s="33" t="s">
        <v>231</v>
      </c>
      <c r="H1417" s="33" t="s">
        <v>201</v>
      </c>
      <c r="I1417" s="33" t="s">
        <v>198</v>
      </c>
      <c r="J1417" s="34">
        <v>2673.44</v>
      </c>
      <c r="K1417" s="34"/>
      <c r="L1417" s="34">
        <v>2673.44</v>
      </c>
    </row>
    <row r="1418" spans="2:12" x14ac:dyDescent="0.3">
      <c r="B1418" s="25">
        <v>1422</v>
      </c>
      <c r="C1418" s="33">
        <v>810</v>
      </c>
      <c r="D1418" s="33" t="s">
        <v>800</v>
      </c>
      <c r="E1418" s="35">
        <v>44608</v>
      </c>
      <c r="F1418" s="33">
        <v>1</v>
      </c>
      <c r="G1418" s="33" t="s">
        <v>628</v>
      </c>
      <c r="H1418" s="33" t="s">
        <v>201</v>
      </c>
      <c r="I1418" s="33" t="s">
        <v>75</v>
      </c>
      <c r="J1418" s="34">
        <v>3418.8</v>
      </c>
      <c r="K1418" s="34"/>
      <c r="L1418" s="34">
        <v>3418.8</v>
      </c>
    </row>
    <row r="1419" spans="2:12" x14ac:dyDescent="0.3">
      <c r="B1419" s="25">
        <v>1423</v>
      </c>
      <c r="C1419" s="33">
        <v>811</v>
      </c>
      <c r="D1419" s="33" t="s">
        <v>824</v>
      </c>
      <c r="E1419" s="35">
        <v>44608</v>
      </c>
      <c r="F1419" s="33">
        <v>1</v>
      </c>
      <c r="G1419" s="33" t="s">
        <v>231</v>
      </c>
      <c r="H1419" s="33" t="s">
        <v>201</v>
      </c>
      <c r="I1419" s="33" t="s">
        <v>198</v>
      </c>
      <c r="J1419" s="34">
        <v>2853.95</v>
      </c>
      <c r="K1419" s="34"/>
      <c r="L1419" s="34">
        <v>2853.95</v>
      </c>
    </row>
    <row r="1420" spans="2:12" x14ac:dyDescent="0.3">
      <c r="B1420" s="25">
        <v>1424</v>
      </c>
      <c r="C1420" s="33">
        <v>812</v>
      </c>
      <c r="D1420" s="33" t="s">
        <v>566</v>
      </c>
      <c r="E1420" s="35">
        <v>44608</v>
      </c>
      <c r="F1420" s="33">
        <v>1</v>
      </c>
      <c r="G1420" s="33" t="s">
        <v>122</v>
      </c>
      <c r="H1420" s="33" t="s">
        <v>201</v>
      </c>
      <c r="I1420" s="33" t="s">
        <v>196</v>
      </c>
      <c r="J1420" s="34">
        <v>2600.14</v>
      </c>
      <c r="K1420" s="34"/>
      <c r="L1420" s="34">
        <v>2600.14</v>
      </c>
    </row>
    <row r="1421" spans="2:12" x14ac:dyDescent="0.3">
      <c r="B1421" s="25">
        <v>1425</v>
      </c>
      <c r="C1421" s="33" t="s">
        <v>825</v>
      </c>
      <c r="D1421" s="33" t="s">
        <v>411</v>
      </c>
      <c r="E1421" s="35">
        <v>44608</v>
      </c>
      <c r="F1421" s="33">
        <v>1</v>
      </c>
      <c r="G1421" s="33" t="s">
        <v>122</v>
      </c>
      <c r="H1421" s="33" t="s">
        <v>201</v>
      </c>
      <c r="I1421" s="33" t="s">
        <v>196</v>
      </c>
      <c r="J1421" s="34">
        <v>3156.93</v>
      </c>
      <c r="K1421" s="34"/>
      <c r="L1421" s="34">
        <v>3156.93</v>
      </c>
    </row>
    <row r="1422" spans="2:12" x14ac:dyDescent="0.3">
      <c r="B1422" s="25">
        <v>1426</v>
      </c>
      <c r="C1422" s="33">
        <v>814</v>
      </c>
      <c r="D1422" s="33" t="s">
        <v>826</v>
      </c>
      <c r="E1422" s="35">
        <v>44608</v>
      </c>
      <c r="F1422" s="33">
        <v>1</v>
      </c>
      <c r="G1422" s="33" t="s">
        <v>122</v>
      </c>
      <c r="H1422" s="33" t="s">
        <v>201</v>
      </c>
      <c r="I1422" s="33" t="s">
        <v>198</v>
      </c>
      <c r="J1422" s="34">
        <v>6863.69</v>
      </c>
      <c r="K1422" s="34"/>
      <c r="L1422" s="34">
        <v>6863.69</v>
      </c>
    </row>
    <row r="1423" spans="2:12" x14ac:dyDescent="0.3">
      <c r="B1423" s="25">
        <v>1427</v>
      </c>
      <c r="C1423" s="33">
        <v>32969</v>
      </c>
      <c r="D1423" s="33" t="s">
        <v>449</v>
      </c>
      <c r="E1423" s="35">
        <v>44614</v>
      </c>
      <c r="F1423" s="33">
        <v>1</v>
      </c>
      <c r="G1423" s="33" t="s">
        <v>628</v>
      </c>
      <c r="H1423" s="33" t="s">
        <v>72</v>
      </c>
      <c r="I1423" s="33" t="s">
        <v>75</v>
      </c>
      <c r="J1423" s="34">
        <v>2270.4</v>
      </c>
      <c r="K1423" s="34"/>
      <c r="L1423" s="34">
        <v>2270.4</v>
      </c>
    </row>
    <row r="1424" spans="2:12" x14ac:dyDescent="0.3">
      <c r="B1424" s="25">
        <v>1428</v>
      </c>
      <c r="C1424" s="33">
        <v>32970</v>
      </c>
      <c r="D1424" s="33" t="s">
        <v>449</v>
      </c>
      <c r="E1424" s="35">
        <v>44614</v>
      </c>
      <c r="F1424" s="33">
        <v>1</v>
      </c>
      <c r="G1424" s="33" t="s">
        <v>628</v>
      </c>
      <c r="H1424" s="33" t="s">
        <v>72</v>
      </c>
      <c r="I1424" s="33" t="s">
        <v>75</v>
      </c>
      <c r="J1424" s="34">
        <v>1135.2</v>
      </c>
      <c r="K1424" s="34"/>
      <c r="L1424" s="34">
        <v>1135.2</v>
      </c>
    </row>
    <row r="1425" spans="2:12" x14ac:dyDescent="0.3">
      <c r="B1425" s="25">
        <v>1429</v>
      </c>
      <c r="C1425" s="33">
        <v>32971</v>
      </c>
      <c r="D1425" s="33" t="s">
        <v>449</v>
      </c>
      <c r="E1425" s="35">
        <v>44614</v>
      </c>
      <c r="F1425" s="33">
        <v>1</v>
      </c>
      <c r="G1425" s="33" t="s">
        <v>628</v>
      </c>
      <c r="H1425" s="33" t="s">
        <v>72</v>
      </c>
      <c r="I1425" s="33" t="s">
        <v>75</v>
      </c>
      <c r="J1425" s="34">
        <v>1235.2</v>
      </c>
      <c r="K1425" s="34"/>
      <c r="L1425" s="34">
        <v>1235.2</v>
      </c>
    </row>
    <row r="1426" spans="2:12" x14ac:dyDescent="0.3">
      <c r="B1426" s="25">
        <v>1430</v>
      </c>
      <c r="C1426" s="33">
        <v>33026</v>
      </c>
      <c r="D1426" s="33" t="s">
        <v>450</v>
      </c>
      <c r="E1426" s="35">
        <v>44620</v>
      </c>
      <c r="F1426" s="33">
        <v>1</v>
      </c>
      <c r="G1426" s="33" t="s">
        <v>122</v>
      </c>
      <c r="H1426" s="33" t="s">
        <v>72</v>
      </c>
      <c r="I1426" s="33" t="s">
        <v>196</v>
      </c>
      <c r="J1426" s="34">
        <v>11035.7</v>
      </c>
      <c r="K1426" s="34"/>
      <c r="L1426" s="34">
        <v>11035.7</v>
      </c>
    </row>
    <row r="1427" spans="2:12" x14ac:dyDescent="0.3">
      <c r="B1427" s="25">
        <v>1431</v>
      </c>
      <c r="C1427" s="33">
        <v>2839</v>
      </c>
      <c r="D1427" s="33" t="s">
        <v>827</v>
      </c>
      <c r="E1427" s="35">
        <v>44620</v>
      </c>
      <c r="F1427" s="33">
        <v>1</v>
      </c>
      <c r="G1427" s="33" t="s">
        <v>122</v>
      </c>
      <c r="H1427" s="33" t="s">
        <v>69</v>
      </c>
      <c r="I1427" s="33" t="s">
        <v>196</v>
      </c>
      <c r="J1427" s="34">
        <v>1136.6600000000001</v>
      </c>
      <c r="K1427" s="34"/>
      <c r="L1427" s="34">
        <v>1136.6600000000001</v>
      </c>
    </row>
    <row r="1428" spans="2:12" x14ac:dyDescent="0.3">
      <c r="B1428" s="25">
        <v>1432</v>
      </c>
      <c r="C1428" s="33" t="s">
        <v>828</v>
      </c>
      <c r="D1428" s="33" t="s">
        <v>827</v>
      </c>
      <c r="E1428" s="35">
        <v>44620</v>
      </c>
      <c r="F1428" s="33">
        <v>1</v>
      </c>
      <c r="G1428" s="33" t="s">
        <v>231</v>
      </c>
      <c r="H1428" s="33" t="s">
        <v>69</v>
      </c>
      <c r="I1428" s="33" t="s">
        <v>198</v>
      </c>
      <c r="J1428" s="34">
        <v>1757.74</v>
      </c>
      <c r="K1428" s="34"/>
      <c r="L1428" s="34">
        <v>1757.74</v>
      </c>
    </row>
    <row r="1429" spans="2:12" x14ac:dyDescent="0.3">
      <c r="B1429" s="25">
        <v>1433</v>
      </c>
      <c r="C1429" s="33">
        <v>901</v>
      </c>
      <c r="D1429" s="33" t="s">
        <v>829</v>
      </c>
      <c r="E1429" s="35">
        <v>44620</v>
      </c>
      <c r="F1429" s="33">
        <v>1</v>
      </c>
      <c r="G1429" s="33" t="s">
        <v>122</v>
      </c>
      <c r="H1429" s="33" t="s">
        <v>71</v>
      </c>
      <c r="I1429" s="33" t="s">
        <v>196</v>
      </c>
      <c r="J1429" s="34">
        <v>631.54999999999995</v>
      </c>
      <c r="K1429" s="34">
        <v>80</v>
      </c>
      <c r="L1429" s="34">
        <v>551.54999999999995</v>
      </c>
    </row>
    <row r="1430" spans="2:12" x14ac:dyDescent="0.3">
      <c r="B1430" s="25">
        <v>1434</v>
      </c>
      <c r="C1430" s="33">
        <v>937</v>
      </c>
      <c r="D1430" s="33" t="s">
        <v>830</v>
      </c>
      <c r="E1430" s="35">
        <v>44622</v>
      </c>
      <c r="F1430" s="33">
        <v>1</v>
      </c>
      <c r="G1430" s="33" t="s">
        <v>122</v>
      </c>
      <c r="H1430" s="33" t="s">
        <v>71</v>
      </c>
      <c r="I1430" s="33" t="s">
        <v>196</v>
      </c>
      <c r="J1430" s="34">
        <v>627.25</v>
      </c>
      <c r="K1430" s="34">
        <v>80</v>
      </c>
      <c r="L1430" s="34">
        <v>547.25</v>
      </c>
    </row>
    <row r="1431" spans="2:12" x14ac:dyDescent="0.3">
      <c r="B1431" s="25">
        <v>1435</v>
      </c>
      <c r="C1431" s="33">
        <v>1195</v>
      </c>
      <c r="D1431" s="33" t="s">
        <v>831</v>
      </c>
      <c r="E1431" s="35">
        <v>44622</v>
      </c>
      <c r="F1431" s="33">
        <v>1</v>
      </c>
      <c r="G1431" s="33" t="s">
        <v>122</v>
      </c>
      <c r="H1431" s="33" t="s">
        <v>201</v>
      </c>
      <c r="I1431" s="33" t="s">
        <v>196</v>
      </c>
      <c r="J1431" s="34">
        <v>4422.17</v>
      </c>
      <c r="K1431" s="34"/>
      <c r="L1431" s="34">
        <v>4422.17</v>
      </c>
    </row>
    <row r="1432" spans="2:12" x14ac:dyDescent="0.3">
      <c r="B1432" s="25">
        <v>1436</v>
      </c>
      <c r="C1432" s="33">
        <v>427</v>
      </c>
      <c r="D1432" s="33" t="s">
        <v>832</v>
      </c>
      <c r="E1432" s="35">
        <v>44594</v>
      </c>
      <c r="F1432" s="33">
        <v>1</v>
      </c>
      <c r="G1432" s="33" t="s">
        <v>231</v>
      </c>
      <c r="H1432" s="33" t="s">
        <v>71</v>
      </c>
      <c r="I1432" s="33" t="s">
        <v>198</v>
      </c>
      <c r="J1432" s="34">
        <v>1118.3399999999999</v>
      </c>
      <c r="K1432" s="34"/>
      <c r="L1432" s="34">
        <v>1118.3399999999999</v>
      </c>
    </row>
    <row r="1433" spans="2:12" x14ac:dyDescent="0.3">
      <c r="B1433" s="25">
        <v>1437</v>
      </c>
      <c r="C1433" s="33">
        <v>428</v>
      </c>
      <c r="D1433" s="33" t="s">
        <v>277</v>
      </c>
      <c r="E1433" s="35">
        <v>44594</v>
      </c>
      <c r="F1433" s="33">
        <v>1</v>
      </c>
      <c r="G1433" s="33" t="s">
        <v>124</v>
      </c>
      <c r="H1433" s="33" t="s">
        <v>71</v>
      </c>
      <c r="I1433" s="33" t="s">
        <v>197</v>
      </c>
      <c r="J1433" s="34">
        <v>1006.89</v>
      </c>
      <c r="K1433" s="34"/>
      <c r="L1433" s="34">
        <v>1006.89</v>
      </c>
    </row>
    <row r="1434" spans="2:12" x14ac:dyDescent="0.3">
      <c r="B1434" s="25">
        <v>1438</v>
      </c>
      <c r="C1434" s="33">
        <v>429</v>
      </c>
      <c r="D1434" s="33" t="s">
        <v>277</v>
      </c>
      <c r="E1434" s="35">
        <v>44594</v>
      </c>
      <c r="F1434" s="33">
        <v>1</v>
      </c>
      <c r="G1434" s="33" t="s">
        <v>124</v>
      </c>
      <c r="H1434" s="33" t="s">
        <v>71</v>
      </c>
      <c r="I1434" s="33" t="s">
        <v>197</v>
      </c>
      <c r="J1434" s="34">
        <v>583.78</v>
      </c>
      <c r="K1434" s="34"/>
      <c r="L1434" s="34">
        <v>583.78</v>
      </c>
    </row>
    <row r="1435" spans="2:12" x14ac:dyDescent="0.3">
      <c r="B1435" s="25">
        <v>1439</v>
      </c>
      <c r="C1435" s="33">
        <v>462</v>
      </c>
      <c r="D1435" s="33" t="s">
        <v>363</v>
      </c>
      <c r="E1435" s="35">
        <v>44596</v>
      </c>
      <c r="F1435" s="33">
        <v>1</v>
      </c>
      <c r="G1435" s="33" t="s">
        <v>124</v>
      </c>
      <c r="H1435" s="33" t="s">
        <v>71</v>
      </c>
      <c r="I1435" s="33" t="s">
        <v>197</v>
      </c>
      <c r="J1435" s="34">
        <v>1538.14</v>
      </c>
      <c r="K1435" s="34"/>
      <c r="L1435" s="34">
        <v>1538.14</v>
      </c>
    </row>
    <row r="1436" spans="2:12" x14ac:dyDescent="0.3">
      <c r="B1436" s="25">
        <v>1440</v>
      </c>
      <c r="C1436" s="33">
        <v>463</v>
      </c>
      <c r="D1436" s="33" t="s">
        <v>384</v>
      </c>
      <c r="E1436" s="35">
        <v>44596</v>
      </c>
      <c r="F1436" s="33">
        <v>1</v>
      </c>
      <c r="G1436" s="33" t="s">
        <v>124</v>
      </c>
      <c r="H1436" s="33" t="s">
        <v>71</v>
      </c>
      <c r="I1436" s="33" t="s">
        <v>197</v>
      </c>
      <c r="J1436" s="34">
        <v>1031.78</v>
      </c>
      <c r="K1436" s="34"/>
      <c r="L1436" s="34">
        <v>1031.78</v>
      </c>
    </row>
    <row r="1437" spans="2:12" x14ac:dyDescent="0.3">
      <c r="B1437" s="25">
        <v>1441</v>
      </c>
      <c r="C1437" s="33">
        <v>464</v>
      </c>
      <c r="D1437" s="33" t="s">
        <v>384</v>
      </c>
      <c r="E1437" s="35">
        <v>44596</v>
      </c>
      <c r="F1437" s="33">
        <v>1</v>
      </c>
      <c r="G1437" s="33" t="s">
        <v>124</v>
      </c>
      <c r="H1437" s="33" t="s">
        <v>71</v>
      </c>
      <c r="I1437" s="33" t="s">
        <v>197</v>
      </c>
      <c r="J1437" s="34">
        <v>1340.46</v>
      </c>
      <c r="K1437" s="34"/>
      <c r="L1437" s="34">
        <v>1340.46</v>
      </c>
    </row>
    <row r="1438" spans="2:12" x14ac:dyDescent="0.3">
      <c r="B1438" s="25">
        <v>1442</v>
      </c>
      <c r="C1438" s="33" t="s">
        <v>833</v>
      </c>
      <c r="D1438" s="33" t="s">
        <v>421</v>
      </c>
      <c r="E1438" s="35">
        <v>44599</v>
      </c>
      <c r="F1438" s="33">
        <v>1</v>
      </c>
      <c r="G1438" s="33" t="s">
        <v>628</v>
      </c>
      <c r="H1438" s="33" t="s">
        <v>71</v>
      </c>
      <c r="I1438" s="33" t="s">
        <v>75</v>
      </c>
      <c r="J1438" s="34">
        <v>705.63</v>
      </c>
      <c r="K1438" s="34">
        <v>80</v>
      </c>
      <c r="L1438" s="34">
        <v>625.63</v>
      </c>
    </row>
    <row r="1439" spans="2:12" x14ac:dyDescent="0.3">
      <c r="B1439" s="25">
        <v>1443</v>
      </c>
      <c r="C1439" s="33" t="s">
        <v>834</v>
      </c>
      <c r="D1439" s="33" t="s">
        <v>421</v>
      </c>
      <c r="E1439" s="35">
        <v>44599</v>
      </c>
      <c r="F1439" s="33">
        <v>1</v>
      </c>
      <c r="G1439" s="33" t="s">
        <v>628</v>
      </c>
      <c r="H1439" s="33" t="s">
        <v>71</v>
      </c>
      <c r="I1439" s="33" t="s">
        <v>75</v>
      </c>
      <c r="J1439" s="34">
        <v>1733.13</v>
      </c>
      <c r="K1439" s="34"/>
      <c r="L1439" s="34">
        <v>1733.13</v>
      </c>
    </row>
    <row r="1440" spans="2:12" x14ac:dyDescent="0.3">
      <c r="B1440" s="25">
        <v>1444</v>
      </c>
      <c r="C1440" s="33">
        <v>493</v>
      </c>
      <c r="D1440" s="33" t="s">
        <v>518</v>
      </c>
      <c r="E1440" s="35">
        <v>44600</v>
      </c>
      <c r="F1440" s="33">
        <v>1</v>
      </c>
      <c r="G1440" s="33" t="s">
        <v>628</v>
      </c>
      <c r="H1440" s="33" t="s">
        <v>71</v>
      </c>
      <c r="I1440" s="33" t="s">
        <v>75</v>
      </c>
      <c r="J1440" s="34">
        <v>553.38</v>
      </c>
      <c r="K1440" s="34">
        <v>80</v>
      </c>
      <c r="L1440" s="34">
        <v>473.38</v>
      </c>
    </row>
    <row r="1441" spans="2:12" x14ac:dyDescent="0.3">
      <c r="B1441" s="25">
        <v>1445</v>
      </c>
      <c r="C1441" s="33">
        <v>505</v>
      </c>
      <c r="D1441" s="33" t="s">
        <v>277</v>
      </c>
      <c r="E1441" s="35">
        <v>44602</v>
      </c>
      <c r="F1441" s="33">
        <v>1</v>
      </c>
      <c r="G1441" s="33" t="s">
        <v>124</v>
      </c>
      <c r="H1441" s="33" t="s">
        <v>71</v>
      </c>
      <c r="I1441" s="33" t="s">
        <v>197</v>
      </c>
      <c r="J1441" s="34">
        <v>1373.38</v>
      </c>
      <c r="K1441" s="34"/>
      <c r="L1441" s="34">
        <v>1373.38</v>
      </c>
    </row>
    <row r="1442" spans="2:12" x14ac:dyDescent="0.3">
      <c r="B1442" s="25">
        <v>1446</v>
      </c>
      <c r="C1442" s="33">
        <v>518</v>
      </c>
      <c r="D1442" s="33" t="s">
        <v>835</v>
      </c>
      <c r="E1442" s="35">
        <v>44603</v>
      </c>
      <c r="F1442" s="33">
        <v>1</v>
      </c>
      <c r="G1442" s="33" t="s">
        <v>628</v>
      </c>
      <c r="H1442" s="33" t="s">
        <v>71</v>
      </c>
      <c r="I1442" s="33" t="s">
        <v>75</v>
      </c>
      <c r="J1442" s="34">
        <v>1607.04</v>
      </c>
      <c r="K1442" s="34"/>
      <c r="L1442" s="34">
        <v>1607.04</v>
      </c>
    </row>
    <row r="1443" spans="2:12" x14ac:dyDescent="0.3">
      <c r="B1443" s="25">
        <v>1447</v>
      </c>
      <c r="C1443" s="33">
        <v>521</v>
      </c>
      <c r="D1443" s="33" t="s">
        <v>836</v>
      </c>
      <c r="E1443" s="35">
        <v>44603</v>
      </c>
      <c r="F1443" s="33">
        <v>1</v>
      </c>
      <c r="G1443" s="33" t="s">
        <v>628</v>
      </c>
      <c r="H1443" s="33" t="s">
        <v>71</v>
      </c>
      <c r="I1443" s="33" t="s">
        <v>75</v>
      </c>
      <c r="J1443" s="34">
        <v>680.6</v>
      </c>
      <c r="K1443" s="34">
        <v>80</v>
      </c>
      <c r="L1443" s="34">
        <v>600.6</v>
      </c>
    </row>
    <row r="1444" spans="2:12" x14ac:dyDescent="0.3">
      <c r="B1444" s="25">
        <v>1448</v>
      </c>
      <c r="C1444" s="33">
        <v>522</v>
      </c>
      <c r="D1444" s="33" t="s">
        <v>837</v>
      </c>
      <c r="E1444" s="35">
        <v>44603</v>
      </c>
      <c r="F1444" s="33">
        <v>1</v>
      </c>
      <c r="G1444" s="33" t="s">
        <v>122</v>
      </c>
      <c r="H1444" s="33" t="s">
        <v>71</v>
      </c>
      <c r="I1444" s="33" t="s">
        <v>196</v>
      </c>
      <c r="J1444" s="34">
        <v>2293.1999999999998</v>
      </c>
      <c r="K1444" s="34"/>
      <c r="L1444" s="34">
        <v>2293.1999999999998</v>
      </c>
    </row>
    <row r="1445" spans="2:12" x14ac:dyDescent="0.3">
      <c r="B1445" s="25">
        <v>1449</v>
      </c>
      <c r="C1445" s="33">
        <v>538</v>
      </c>
      <c r="D1445" s="33" t="s">
        <v>838</v>
      </c>
      <c r="E1445" s="35">
        <v>44606</v>
      </c>
      <c r="F1445" s="33">
        <v>1</v>
      </c>
      <c r="G1445" s="33" t="s">
        <v>124</v>
      </c>
      <c r="H1445" s="33" t="s">
        <v>71</v>
      </c>
      <c r="I1445" s="33" t="s">
        <v>197</v>
      </c>
      <c r="J1445" s="34">
        <v>755.68</v>
      </c>
      <c r="K1445" s="34">
        <v>80</v>
      </c>
      <c r="L1445" s="34">
        <v>675.68</v>
      </c>
    </row>
    <row r="1446" spans="2:12" x14ac:dyDescent="0.3">
      <c r="B1446" s="25">
        <v>1450</v>
      </c>
      <c r="C1446" s="33">
        <v>540</v>
      </c>
      <c r="D1446" s="33" t="s">
        <v>839</v>
      </c>
      <c r="E1446" s="35">
        <v>44606</v>
      </c>
      <c r="F1446" s="33">
        <v>1</v>
      </c>
      <c r="G1446" s="33" t="s">
        <v>628</v>
      </c>
      <c r="H1446" s="33" t="s">
        <v>71</v>
      </c>
      <c r="I1446" s="33" t="s">
        <v>75</v>
      </c>
      <c r="J1446" s="34">
        <v>1523.34</v>
      </c>
      <c r="K1446" s="34"/>
      <c r="L1446" s="34">
        <v>1523.34</v>
      </c>
    </row>
    <row r="1447" spans="2:12" x14ac:dyDescent="0.3">
      <c r="B1447" s="25">
        <v>1451</v>
      </c>
      <c r="C1447" s="33">
        <v>543</v>
      </c>
      <c r="D1447" s="33" t="s">
        <v>362</v>
      </c>
      <c r="E1447" s="35">
        <v>44607</v>
      </c>
      <c r="F1447" s="33">
        <v>1</v>
      </c>
      <c r="G1447" s="33" t="s">
        <v>124</v>
      </c>
      <c r="H1447" s="33" t="s">
        <v>71</v>
      </c>
      <c r="I1447" s="33" t="s">
        <v>197</v>
      </c>
      <c r="J1447" s="34">
        <v>755.68</v>
      </c>
      <c r="K1447" s="34">
        <v>80</v>
      </c>
      <c r="L1447" s="34">
        <v>675.68</v>
      </c>
    </row>
    <row r="1448" spans="2:12" x14ac:dyDescent="0.3">
      <c r="B1448" s="25">
        <v>1452</v>
      </c>
      <c r="C1448" s="33" t="s">
        <v>840</v>
      </c>
      <c r="D1448" s="33" t="s">
        <v>748</v>
      </c>
      <c r="E1448" s="35">
        <v>44608</v>
      </c>
      <c r="F1448" s="33">
        <v>1</v>
      </c>
      <c r="G1448" s="33" t="s">
        <v>122</v>
      </c>
      <c r="H1448" s="33" t="s">
        <v>71</v>
      </c>
      <c r="I1448" s="33" t="s">
        <v>196</v>
      </c>
      <c r="J1448" s="34">
        <v>2042.04</v>
      </c>
      <c r="K1448" s="34"/>
      <c r="L1448" s="34">
        <v>2042.04</v>
      </c>
    </row>
    <row r="1449" spans="2:12" x14ac:dyDescent="0.3">
      <c r="B1449" s="25">
        <v>1453</v>
      </c>
      <c r="C1449" s="33">
        <v>585</v>
      </c>
      <c r="D1449" s="33" t="s">
        <v>403</v>
      </c>
      <c r="E1449" s="35">
        <v>44609</v>
      </c>
      <c r="F1449" s="33">
        <v>1</v>
      </c>
      <c r="G1449" s="33" t="s">
        <v>122</v>
      </c>
      <c r="H1449" s="33" t="s">
        <v>71</v>
      </c>
      <c r="I1449" s="33" t="s">
        <v>196</v>
      </c>
      <c r="J1449" s="34">
        <v>888.89</v>
      </c>
      <c r="K1449" s="34"/>
      <c r="L1449" s="34">
        <v>888.89</v>
      </c>
    </row>
    <row r="1450" spans="2:12" x14ac:dyDescent="0.3">
      <c r="B1450" s="25">
        <v>1454</v>
      </c>
      <c r="C1450" s="33">
        <v>608</v>
      </c>
      <c r="D1450" s="33" t="s">
        <v>361</v>
      </c>
      <c r="E1450" s="35">
        <v>44600</v>
      </c>
      <c r="F1450" s="33">
        <v>1</v>
      </c>
      <c r="G1450" s="33" t="s">
        <v>124</v>
      </c>
      <c r="H1450" s="33" t="s">
        <v>71</v>
      </c>
      <c r="I1450" s="33" t="s">
        <v>197</v>
      </c>
      <c r="J1450" s="34">
        <v>1245.74</v>
      </c>
      <c r="K1450" s="34"/>
      <c r="L1450" s="34">
        <v>1245.74</v>
      </c>
    </row>
    <row r="1451" spans="2:12" x14ac:dyDescent="0.3">
      <c r="B1451" s="25">
        <v>1455</v>
      </c>
      <c r="C1451" s="33">
        <v>851</v>
      </c>
      <c r="D1451" s="33" t="s">
        <v>656</v>
      </c>
      <c r="E1451" s="35">
        <v>44616</v>
      </c>
      <c r="F1451" s="33">
        <v>1</v>
      </c>
      <c r="G1451" s="33" t="s">
        <v>124</v>
      </c>
      <c r="H1451" s="33" t="s">
        <v>71</v>
      </c>
      <c r="I1451" s="33" t="s">
        <v>197</v>
      </c>
      <c r="J1451" s="34">
        <v>926.56</v>
      </c>
      <c r="K1451" s="34"/>
      <c r="L1451" s="34">
        <v>926.56</v>
      </c>
    </row>
    <row r="1452" spans="2:12" x14ac:dyDescent="0.3">
      <c r="B1452" s="25">
        <v>1456</v>
      </c>
      <c r="C1452" s="33">
        <v>861</v>
      </c>
      <c r="D1452" s="33" t="s">
        <v>384</v>
      </c>
      <c r="E1452" s="35">
        <v>44617</v>
      </c>
      <c r="F1452" s="33">
        <v>1</v>
      </c>
      <c r="G1452" s="33" t="s">
        <v>124</v>
      </c>
      <c r="H1452" s="33" t="s">
        <v>71</v>
      </c>
      <c r="I1452" s="33" t="s">
        <v>197</v>
      </c>
      <c r="J1452" s="34">
        <v>1638.23</v>
      </c>
      <c r="K1452" s="34"/>
      <c r="L1452" s="34">
        <v>1638.23</v>
      </c>
    </row>
    <row r="1453" spans="2:12" x14ac:dyDescent="0.3">
      <c r="B1453" s="25">
        <v>1457</v>
      </c>
      <c r="C1453" s="33">
        <v>33043</v>
      </c>
      <c r="D1453" s="33" t="s">
        <v>392</v>
      </c>
      <c r="E1453" s="35">
        <v>44627</v>
      </c>
      <c r="F1453" s="33">
        <v>1</v>
      </c>
      <c r="G1453" s="33" t="s">
        <v>122</v>
      </c>
      <c r="H1453" s="33" t="s">
        <v>72</v>
      </c>
      <c r="I1453" s="33" t="s">
        <v>196</v>
      </c>
      <c r="J1453" s="34">
        <v>9691</v>
      </c>
      <c r="K1453" s="34"/>
      <c r="L1453" s="34">
        <v>9691</v>
      </c>
    </row>
    <row r="1454" spans="2:12" x14ac:dyDescent="0.3">
      <c r="B1454" s="25">
        <v>1458</v>
      </c>
      <c r="C1454" s="33">
        <v>33088</v>
      </c>
      <c r="D1454" s="33" t="s">
        <v>553</v>
      </c>
      <c r="E1454" s="35">
        <v>44629</v>
      </c>
      <c r="F1454" s="33">
        <v>1</v>
      </c>
      <c r="G1454" s="33" t="s">
        <v>122</v>
      </c>
      <c r="H1454" s="33" t="s">
        <v>72</v>
      </c>
      <c r="I1454" s="33" t="s">
        <v>196</v>
      </c>
      <c r="J1454" s="34">
        <v>1414</v>
      </c>
      <c r="K1454" s="34"/>
      <c r="L1454" s="34">
        <v>1414</v>
      </c>
    </row>
    <row r="1455" spans="2:12" x14ac:dyDescent="0.3">
      <c r="B1455" s="25">
        <v>1459</v>
      </c>
      <c r="C1455" s="33" t="s">
        <v>841</v>
      </c>
      <c r="D1455" s="33" t="s">
        <v>596</v>
      </c>
      <c r="E1455" s="35">
        <v>44630</v>
      </c>
      <c r="F1455" s="33">
        <v>1</v>
      </c>
      <c r="G1455" s="33" t="s">
        <v>122</v>
      </c>
      <c r="H1455" s="33" t="s">
        <v>72</v>
      </c>
      <c r="I1455" s="33" t="s">
        <v>196</v>
      </c>
      <c r="J1455" s="34">
        <v>-400</v>
      </c>
      <c r="K1455" s="34"/>
      <c r="L1455" s="34">
        <v>-400</v>
      </c>
    </row>
    <row r="1456" spans="2:12" x14ac:dyDescent="0.3">
      <c r="B1456" s="25">
        <v>1460</v>
      </c>
      <c r="C1456" s="33">
        <v>33116</v>
      </c>
      <c r="D1456" s="33" t="s">
        <v>532</v>
      </c>
      <c r="E1456" s="35">
        <v>44631</v>
      </c>
      <c r="F1456" s="33">
        <v>1</v>
      </c>
      <c r="G1456" s="33" t="s">
        <v>122</v>
      </c>
      <c r="H1456" s="33" t="s">
        <v>72</v>
      </c>
      <c r="I1456" s="33" t="s">
        <v>196</v>
      </c>
      <c r="J1456" s="34">
        <v>800</v>
      </c>
      <c r="K1456" s="34"/>
      <c r="L1456" s="34">
        <v>800</v>
      </c>
    </row>
    <row r="1457" spans="2:12" x14ac:dyDescent="0.3">
      <c r="B1457" s="25">
        <v>1461</v>
      </c>
      <c r="C1457" s="33">
        <v>33136</v>
      </c>
      <c r="D1457" s="33" t="s">
        <v>394</v>
      </c>
      <c r="E1457" s="35">
        <v>44637</v>
      </c>
      <c r="F1457" s="33">
        <v>1</v>
      </c>
      <c r="G1457" s="33" t="s">
        <v>122</v>
      </c>
      <c r="H1457" s="33" t="s">
        <v>72</v>
      </c>
      <c r="I1457" s="33" t="s">
        <v>196</v>
      </c>
      <c r="J1457" s="34">
        <v>775.9</v>
      </c>
      <c r="K1457" s="34"/>
      <c r="L1457" s="34">
        <v>775.9</v>
      </c>
    </row>
    <row r="1458" spans="2:12" x14ac:dyDescent="0.3">
      <c r="B1458" s="25">
        <v>1462</v>
      </c>
      <c r="C1458" s="33">
        <v>33137</v>
      </c>
      <c r="D1458" s="33" t="s">
        <v>394</v>
      </c>
      <c r="E1458" s="35">
        <v>44637</v>
      </c>
      <c r="F1458" s="33">
        <v>1</v>
      </c>
      <c r="G1458" s="33" t="s">
        <v>122</v>
      </c>
      <c r="H1458" s="33" t="s">
        <v>72</v>
      </c>
      <c r="I1458" s="33" t="s">
        <v>196</v>
      </c>
      <c r="J1458" s="34">
        <v>1053.9000000000001</v>
      </c>
      <c r="K1458" s="34"/>
      <c r="L1458" s="34">
        <v>1053.9000000000001</v>
      </c>
    </row>
    <row r="1459" spans="2:12" x14ac:dyDescent="0.3">
      <c r="B1459" s="25">
        <v>1463</v>
      </c>
      <c r="C1459" s="33">
        <v>33138</v>
      </c>
      <c r="D1459" s="33" t="s">
        <v>394</v>
      </c>
      <c r="E1459" s="35">
        <v>44637</v>
      </c>
      <c r="F1459" s="33">
        <v>1</v>
      </c>
      <c r="G1459" s="33" t="s">
        <v>122</v>
      </c>
      <c r="H1459" s="33" t="s">
        <v>72</v>
      </c>
      <c r="I1459" s="33" t="s">
        <v>196</v>
      </c>
      <c r="J1459" s="34">
        <v>2661.7</v>
      </c>
      <c r="K1459" s="34"/>
      <c r="L1459" s="34">
        <v>2661.7</v>
      </c>
    </row>
    <row r="1460" spans="2:12" x14ac:dyDescent="0.3">
      <c r="B1460" s="25">
        <v>1464</v>
      </c>
      <c r="C1460" s="33">
        <v>33139</v>
      </c>
      <c r="D1460" s="33" t="s">
        <v>394</v>
      </c>
      <c r="E1460" s="35">
        <v>44637</v>
      </c>
      <c r="F1460" s="33">
        <v>1</v>
      </c>
      <c r="G1460" s="33" t="s">
        <v>122</v>
      </c>
      <c r="H1460" s="33" t="s">
        <v>72</v>
      </c>
      <c r="I1460" s="33" t="s">
        <v>196</v>
      </c>
      <c r="J1460" s="34">
        <v>1330.9</v>
      </c>
      <c r="K1460" s="34"/>
      <c r="L1460" s="34">
        <v>1330.9</v>
      </c>
    </row>
    <row r="1461" spans="2:12" x14ac:dyDescent="0.3">
      <c r="B1461" s="25">
        <v>1465</v>
      </c>
      <c r="C1461" s="33">
        <v>33140</v>
      </c>
      <c r="D1461" s="33" t="s">
        <v>394</v>
      </c>
      <c r="E1461" s="35">
        <v>44637</v>
      </c>
      <c r="F1461" s="33">
        <v>1</v>
      </c>
      <c r="G1461" s="33" t="s">
        <v>122</v>
      </c>
      <c r="H1461" s="33" t="s">
        <v>72</v>
      </c>
      <c r="I1461" s="33" t="s">
        <v>196</v>
      </c>
      <c r="J1461" s="34">
        <v>1996.3</v>
      </c>
      <c r="K1461" s="34"/>
      <c r="L1461" s="34">
        <v>1996.3</v>
      </c>
    </row>
    <row r="1462" spans="2:12" x14ac:dyDescent="0.3">
      <c r="B1462" s="25">
        <v>1466</v>
      </c>
      <c r="C1462" s="33">
        <v>33141</v>
      </c>
      <c r="D1462" s="33" t="s">
        <v>394</v>
      </c>
      <c r="E1462" s="35">
        <v>44637</v>
      </c>
      <c r="F1462" s="33">
        <v>1</v>
      </c>
      <c r="G1462" s="33" t="s">
        <v>122</v>
      </c>
      <c r="H1462" s="33" t="s">
        <v>72</v>
      </c>
      <c r="I1462" s="33" t="s">
        <v>196</v>
      </c>
      <c r="J1462" s="34">
        <v>2661.7</v>
      </c>
      <c r="K1462" s="34"/>
      <c r="L1462" s="34">
        <v>2661.7</v>
      </c>
    </row>
    <row r="1463" spans="2:12" x14ac:dyDescent="0.3">
      <c r="B1463" s="25">
        <v>1467</v>
      </c>
      <c r="C1463" s="33">
        <v>33142</v>
      </c>
      <c r="D1463" s="33" t="s">
        <v>394</v>
      </c>
      <c r="E1463" s="35">
        <v>44637</v>
      </c>
      <c r="F1463" s="33">
        <v>1</v>
      </c>
      <c r="G1463" s="33" t="s">
        <v>122</v>
      </c>
      <c r="H1463" s="33" t="s">
        <v>72</v>
      </c>
      <c r="I1463" s="33" t="s">
        <v>196</v>
      </c>
      <c r="J1463" s="34">
        <v>1330.9</v>
      </c>
      <c r="K1463" s="34"/>
      <c r="L1463" s="34">
        <v>1330.9</v>
      </c>
    </row>
    <row r="1464" spans="2:12" x14ac:dyDescent="0.3">
      <c r="B1464" s="25">
        <v>1468</v>
      </c>
      <c r="C1464" s="33">
        <v>33143</v>
      </c>
      <c r="D1464" s="33" t="s">
        <v>394</v>
      </c>
      <c r="E1464" s="35">
        <v>44637</v>
      </c>
      <c r="F1464" s="33">
        <v>1</v>
      </c>
      <c r="G1464" s="33" t="s">
        <v>122</v>
      </c>
      <c r="H1464" s="33" t="s">
        <v>72</v>
      </c>
      <c r="I1464" s="33" t="s">
        <v>196</v>
      </c>
      <c r="J1464" s="34">
        <v>2661.7</v>
      </c>
      <c r="K1464" s="34"/>
      <c r="L1464" s="34">
        <v>2661.7</v>
      </c>
    </row>
    <row r="1465" spans="2:12" x14ac:dyDescent="0.3">
      <c r="B1465" s="25">
        <v>1469</v>
      </c>
      <c r="C1465" s="33">
        <v>33144</v>
      </c>
      <c r="D1465" s="33" t="s">
        <v>394</v>
      </c>
      <c r="E1465" s="35">
        <v>44637</v>
      </c>
      <c r="F1465" s="33">
        <v>1</v>
      </c>
      <c r="G1465" s="33" t="s">
        <v>122</v>
      </c>
      <c r="H1465" s="33" t="s">
        <v>72</v>
      </c>
      <c r="I1465" s="33" t="s">
        <v>196</v>
      </c>
      <c r="J1465" s="34">
        <v>1996.3</v>
      </c>
      <c r="K1465" s="34"/>
      <c r="L1465" s="34">
        <v>1996.3</v>
      </c>
    </row>
    <row r="1466" spans="2:12" x14ac:dyDescent="0.3">
      <c r="B1466" s="25">
        <v>1470</v>
      </c>
      <c r="C1466" s="33">
        <v>4349</v>
      </c>
      <c r="D1466" s="33" t="s">
        <v>842</v>
      </c>
      <c r="E1466" s="35">
        <v>44629</v>
      </c>
      <c r="F1466" s="33">
        <v>1</v>
      </c>
      <c r="G1466" s="33" t="s">
        <v>231</v>
      </c>
      <c r="H1466" s="33" t="s">
        <v>630</v>
      </c>
      <c r="I1466" s="33" t="s">
        <v>198</v>
      </c>
      <c r="J1466" s="34">
        <v>715.6</v>
      </c>
      <c r="K1466" s="34">
        <v>40</v>
      </c>
      <c r="L1466" s="34">
        <v>675.6</v>
      </c>
    </row>
    <row r="1467" spans="2:12" x14ac:dyDescent="0.3">
      <c r="B1467" s="25">
        <v>1471</v>
      </c>
      <c r="C1467" s="33">
        <v>4359</v>
      </c>
      <c r="D1467" s="33" t="s">
        <v>843</v>
      </c>
      <c r="E1467" s="35">
        <v>44631</v>
      </c>
      <c r="F1467" s="33">
        <v>1</v>
      </c>
      <c r="G1467" s="33" t="s">
        <v>628</v>
      </c>
      <c r="H1467" s="33" t="s">
        <v>630</v>
      </c>
      <c r="I1467" s="33" t="s">
        <v>75</v>
      </c>
      <c r="J1467" s="34">
        <v>354</v>
      </c>
      <c r="K1467" s="34">
        <v>40</v>
      </c>
      <c r="L1467" s="34">
        <v>314</v>
      </c>
    </row>
    <row r="1468" spans="2:12" x14ac:dyDescent="0.3">
      <c r="B1468" s="25">
        <v>1472</v>
      </c>
      <c r="C1468" s="33">
        <v>968</v>
      </c>
      <c r="D1468" s="33" t="s">
        <v>844</v>
      </c>
      <c r="E1468" s="35">
        <v>44615</v>
      </c>
      <c r="F1468" s="33">
        <v>1</v>
      </c>
      <c r="G1468" s="33" t="s">
        <v>628</v>
      </c>
      <c r="H1468" s="33" t="s">
        <v>201</v>
      </c>
      <c r="I1468" s="33" t="s">
        <v>75</v>
      </c>
      <c r="J1468" s="34">
        <v>1432.2</v>
      </c>
      <c r="K1468" s="34"/>
      <c r="L1468" s="34">
        <v>1432.2</v>
      </c>
    </row>
    <row r="1469" spans="2:12" x14ac:dyDescent="0.3">
      <c r="B1469" s="25">
        <v>1473</v>
      </c>
      <c r="C1469" s="33">
        <v>972</v>
      </c>
      <c r="D1469" s="33" t="s">
        <v>551</v>
      </c>
      <c r="E1469" s="35">
        <v>44615</v>
      </c>
      <c r="F1469" s="33">
        <v>1</v>
      </c>
      <c r="G1469" s="33" t="s">
        <v>231</v>
      </c>
      <c r="H1469" s="33" t="s">
        <v>201</v>
      </c>
      <c r="I1469" s="33" t="s">
        <v>198</v>
      </c>
      <c r="J1469" s="34">
        <v>2708.8</v>
      </c>
      <c r="K1469" s="34"/>
      <c r="L1469" s="34">
        <v>2708.8</v>
      </c>
    </row>
    <row r="1470" spans="2:12" x14ac:dyDescent="0.3">
      <c r="B1470" s="25">
        <v>1474</v>
      </c>
      <c r="C1470" s="33">
        <v>974</v>
      </c>
      <c r="D1470" s="33" t="s">
        <v>473</v>
      </c>
      <c r="E1470" s="35">
        <v>44614</v>
      </c>
      <c r="F1470" s="33">
        <v>1</v>
      </c>
      <c r="G1470" s="33" t="s">
        <v>122</v>
      </c>
      <c r="H1470" s="33" t="s">
        <v>201</v>
      </c>
      <c r="I1470" s="33" t="s">
        <v>196</v>
      </c>
      <c r="J1470" s="34">
        <v>4095.38</v>
      </c>
      <c r="K1470" s="34"/>
      <c r="L1470" s="34">
        <v>4095.38</v>
      </c>
    </row>
    <row r="1471" spans="2:12" x14ac:dyDescent="0.3">
      <c r="B1471" s="25">
        <v>1475</v>
      </c>
      <c r="C1471" s="33">
        <v>975</v>
      </c>
      <c r="D1471" s="33" t="s">
        <v>565</v>
      </c>
      <c r="E1471" s="35">
        <v>44614</v>
      </c>
      <c r="F1471" s="33">
        <v>1</v>
      </c>
      <c r="G1471" s="33" t="s">
        <v>124</v>
      </c>
      <c r="H1471" s="33" t="s">
        <v>201</v>
      </c>
      <c r="I1471" s="33" t="s">
        <v>197</v>
      </c>
      <c r="J1471" s="34">
        <v>8734.2199999999993</v>
      </c>
      <c r="K1471" s="34"/>
      <c r="L1471" s="34">
        <v>8734.2199999999993</v>
      </c>
    </row>
    <row r="1472" spans="2:12" x14ac:dyDescent="0.3">
      <c r="B1472" s="25">
        <v>1476</v>
      </c>
      <c r="C1472" s="33">
        <v>976</v>
      </c>
      <c r="D1472" s="33" t="s">
        <v>566</v>
      </c>
      <c r="E1472" s="35">
        <v>44615</v>
      </c>
      <c r="F1472" s="33">
        <v>1</v>
      </c>
      <c r="G1472" s="33" t="s">
        <v>122</v>
      </c>
      <c r="H1472" s="33" t="s">
        <v>201</v>
      </c>
      <c r="I1472" s="33" t="s">
        <v>196</v>
      </c>
      <c r="J1472" s="34">
        <v>1950.1</v>
      </c>
      <c r="K1472" s="34"/>
      <c r="L1472" s="34">
        <v>1950.1</v>
      </c>
    </row>
    <row r="1473" spans="2:12" x14ac:dyDescent="0.3">
      <c r="B1473" s="25">
        <v>1477</v>
      </c>
      <c r="C1473" s="33">
        <v>978</v>
      </c>
      <c r="D1473" s="33" t="s">
        <v>584</v>
      </c>
      <c r="E1473" s="35">
        <v>44615</v>
      </c>
      <c r="F1473" s="33">
        <v>1</v>
      </c>
      <c r="G1473" s="33" t="s">
        <v>122</v>
      </c>
      <c r="H1473" s="33" t="s">
        <v>201</v>
      </c>
      <c r="I1473" s="33" t="s">
        <v>196</v>
      </c>
      <c r="J1473" s="34">
        <v>3053.33</v>
      </c>
      <c r="K1473" s="34"/>
      <c r="L1473" s="34">
        <v>3053.33</v>
      </c>
    </row>
    <row r="1474" spans="2:12" x14ac:dyDescent="0.3">
      <c r="B1474" s="25">
        <v>1478</v>
      </c>
      <c r="C1474" s="33">
        <v>980</v>
      </c>
      <c r="D1474" s="33" t="s">
        <v>362</v>
      </c>
      <c r="E1474" s="35">
        <v>44615</v>
      </c>
      <c r="F1474" s="33">
        <v>1</v>
      </c>
      <c r="G1474" s="33" t="s">
        <v>124</v>
      </c>
      <c r="H1474" s="33" t="s">
        <v>201</v>
      </c>
      <c r="I1474" s="33" t="s">
        <v>197</v>
      </c>
      <c r="J1474" s="34">
        <v>1049.69</v>
      </c>
      <c r="K1474" s="34"/>
      <c r="L1474" s="34">
        <v>1049.69</v>
      </c>
    </row>
    <row r="1475" spans="2:12" x14ac:dyDescent="0.3">
      <c r="B1475" s="25">
        <v>1479</v>
      </c>
      <c r="C1475" s="33">
        <v>981</v>
      </c>
      <c r="D1475" s="33" t="s">
        <v>401</v>
      </c>
      <c r="E1475" s="35">
        <v>44615</v>
      </c>
      <c r="F1475" s="33">
        <v>1</v>
      </c>
      <c r="G1475" s="33" t="s">
        <v>231</v>
      </c>
      <c r="H1475" s="33" t="s">
        <v>201</v>
      </c>
      <c r="I1475" s="33" t="s">
        <v>198</v>
      </c>
      <c r="J1475" s="34">
        <v>4682.4799999999996</v>
      </c>
      <c r="K1475" s="34"/>
      <c r="L1475" s="34">
        <v>4682.4799999999996</v>
      </c>
    </row>
    <row r="1476" spans="2:12" x14ac:dyDescent="0.3">
      <c r="B1476" s="25">
        <v>1480</v>
      </c>
      <c r="C1476" s="33">
        <v>983</v>
      </c>
      <c r="D1476" s="33" t="s">
        <v>411</v>
      </c>
      <c r="E1476" s="35">
        <v>44615</v>
      </c>
      <c r="F1476" s="33">
        <v>1</v>
      </c>
      <c r="G1476" s="33" t="s">
        <v>122</v>
      </c>
      <c r="H1476" s="33" t="s">
        <v>201</v>
      </c>
      <c r="I1476" s="33" t="s">
        <v>196</v>
      </c>
      <c r="J1476" s="34">
        <v>1468.66</v>
      </c>
      <c r="K1476" s="34"/>
      <c r="L1476" s="34">
        <v>1468.66</v>
      </c>
    </row>
    <row r="1477" spans="2:12" x14ac:dyDescent="0.3">
      <c r="B1477" s="25">
        <v>1481</v>
      </c>
      <c r="C1477" s="33">
        <v>984</v>
      </c>
      <c r="D1477" s="33" t="s">
        <v>411</v>
      </c>
      <c r="E1477" s="35">
        <v>44615</v>
      </c>
      <c r="F1477" s="33">
        <v>1</v>
      </c>
      <c r="G1477" s="33" t="s">
        <v>122</v>
      </c>
      <c r="H1477" s="33" t="s">
        <v>201</v>
      </c>
      <c r="I1477" s="33" t="s">
        <v>196</v>
      </c>
      <c r="J1477" s="34">
        <v>2310.66</v>
      </c>
      <c r="K1477" s="34"/>
      <c r="L1477" s="34">
        <v>2310.66</v>
      </c>
    </row>
    <row r="1478" spans="2:12" x14ac:dyDescent="0.3">
      <c r="B1478" s="25">
        <v>1482</v>
      </c>
      <c r="C1478" s="33">
        <v>985</v>
      </c>
      <c r="D1478" s="33" t="s">
        <v>372</v>
      </c>
      <c r="E1478" s="35">
        <v>44615</v>
      </c>
      <c r="F1478" s="33">
        <v>1</v>
      </c>
      <c r="G1478" s="33" t="s">
        <v>124</v>
      </c>
      <c r="H1478" s="33" t="s">
        <v>201</v>
      </c>
      <c r="I1478" s="33" t="s">
        <v>197</v>
      </c>
      <c r="J1478" s="34">
        <v>749.14</v>
      </c>
      <c r="K1478" s="34">
        <v>80</v>
      </c>
      <c r="L1478" s="34">
        <v>669.14</v>
      </c>
    </row>
    <row r="1479" spans="2:12" x14ac:dyDescent="0.3">
      <c r="B1479" s="25">
        <v>1483</v>
      </c>
      <c r="C1479" s="33">
        <v>1190</v>
      </c>
      <c r="D1479" s="33" t="s">
        <v>565</v>
      </c>
      <c r="E1479" s="35">
        <v>44622</v>
      </c>
      <c r="F1479" s="33">
        <v>1</v>
      </c>
      <c r="G1479" s="33" t="s">
        <v>124</v>
      </c>
      <c r="H1479" s="33" t="s">
        <v>201</v>
      </c>
      <c r="I1479" s="33" t="s">
        <v>197</v>
      </c>
      <c r="J1479" s="34">
        <v>3238.53</v>
      </c>
      <c r="K1479" s="34"/>
      <c r="L1479" s="34">
        <v>3238.53</v>
      </c>
    </row>
    <row r="1480" spans="2:12" x14ac:dyDescent="0.3">
      <c r="B1480" s="25">
        <v>1484</v>
      </c>
      <c r="C1480" s="33">
        <v>1191</v>
      </c>
      <c r="D1480" s="33" t="s">
        <v>556</v>
      </c>
      <c r="E1480" s="35">
        <v>44622</v>
      </c>
      <c r="F1480" s="33">
        <v>1</v>
      </c>
      <c r="G1480" s="33" t="s">
        <v>124</v>
      </c>
      <c r="H1480" s="33" t="s">
        <v>201</v>
      </c>
      <c r="I1480" s="33" t="s">
        <v>197</v>
      </c>
      <c r="J1480" s="34">
        <v>1870.33</v>
      </c>
      <c r="K1480" s="34"/>
      <c r="L1480" s="34">
        <v>1870.33</v>
      </c>
    </row>
    <row r="1481" spans="2:12" x14ac:dyDescent="0.3">
      <c r="B1481" s="25">
        <v>1485</v>
      </c>
      <c r="C1481" s="33">
        <v>1192</v>
      </c>
      <c r="D1481" s="33" t="s">
        <v>584</v>
      </c>
      <c r="E1481" s="35">
        <v>44622</v>
      </c>
      <c r="F1481" s="33">
        <v>1</v>
      </c>
      <c r="G1481" s="33" t="s">
        <v>122</v>
      </c>
      <c r="H1481" s="33" t="s">
        <v>201</v>
      </c>
      <c r="I1481" s="33" t="s">
        <v>196</v>
      </c>
      <c r="J1481" s="34">
        <v>2610.35</v>
      </c>
      <c r="K1481" s="34"/>
      <c r="L1481" s="34">
        <v>2610.35</v>
      </c>
    </row>
    <row r="1482" spans="2:12" x14ac:dyDescent="0.3">
      <c r="B1482" s="25">
        <v>1486</v>
      </c>
      <c r="C1482" s="33">
        <v>1194</v>
      </c>
      <c r="D1482" s="33" t="s">
        <v>557</v>
      </c>
      <c r="E1482" s="35">
        <v>44622</v>
      </c>
      <c r="F1482" s="33">
        <v>1</v>
      </c>
      <c r="G1482" s="33" t="s">
        <v>124</v>
      </c>
      <c r="H1482" s="33" t="s">
        <v>201</v>
      </c>
      <c r="I1482" s="33" t="s">
        <v>197</v>
      </c>
      <c r="J1482" s="34">
        <v>350</v>
      </c>
      <c r="K1482" s="34">
        <v>80</v>
      </c>
      <c r="L1482" s="34">
        <v>270</v>
      </c>
    </row>
    <row r="1483" spans="2:12" x14ac:dyDescent="0.3">
      <c r="B1483" s="25">
        <v>1487</v>
      </c>
      <c r="C1483" s="33">
        <v>1196</v>
      </c>
      <c r="D1483" s="33" t="s">
        <v>401</v>
      </c>
      <c r="E1483" s="35">
        <v>44622</v>
      </c>
      <c r="F1483" s="33">
        <v>1</v>
      </c>
      <c r="G1483" s="33" t="s">
        <v>231</v>
      </c>
      <c r="H1483" s="33" t="s">
        <v>201</v>
      </c>
      <c r="I1483" s="33" t="s">
        <v>198</v>
      </c>
      <c r="J1483" s="34">
        <v>2179.7600000000002</v>
      </c>
      <c r="K1483" s="34"/>
      <c r="L1483" s="34">
        <v>2179.7600000000002</v>
      </c>
    </row>
    <row r="1484" spans="2:12" x14ac:dyDescent="0.3">
      <c r="B1484" s="25">
        <v>1488</v>
      </c>
      <c r="C1484" s="33">
        <v>4407</v>
      </c>
      <c r="D1484" s="33" t="s">
        <v>845</v>
      </c>
      <c r="E1484" s="35">
        <v>44638</v>
      </c>
      <c r="F1484" s="33">
        <v>1</v>
      </c>
      <c r="G1484" s="33" t="s">
        <v>122</v>
      </c>
      <c r="H1484" s="33" t="s">
        <v>630</v>
      </c>
      <c r="I1484" s="33" t="s">
        <v>196</v>
      </c>
      <c r="J1484" s="34">
        <v>486.8</v>
      </c>
      <c r="K1484" s="34">
        <v>40</v>
      </c>
      <c r="L1484" s="34">
        <v>446.8</v>
      </c>
    </row>
    <row r="1485" spans="2:12" x14ac:dyDescent="0.3">
      <c r="B1485" s="25">
        <v>1489</v>
      </c>
      <c r="C1485" s="33">
        <v>50654</v>
      </c>
      <c r="D1485" s="33" t="s">
        <v>400</v>
      </c>
      <c r="E1485" s="35">
        <v>44602</v>
      </c>
      <c r="F1485" s="33">
        <v>1</v>
      </c>
      <c r="G1485" s="33" t="s">
        <v>231</v>
      </c>
      <c r="H1485" s="33" t="s">
        <v>69</v>
      </c>
      <c r="I1485" s="33" t="s">
        <v>198</v>
      </c>
      <c r="J1485" s="34">
        <v>495.65</v>
      </c>
      <c r="K1485" s="34"/>
      <c r="L1485" s="34">
        <v>495.65</v>
      </c>
    </row>
    <row r="1486" spans="2:12" x14ac:dyDescent="0.3">
      <c r="B1486" s="25">
        <v>1490</v>
      </c>
      <c r="C1486" s="33">
        <v>50655</v>
      </c>
      <c r="D1486" s="33" t="s">
        <v>400</v>
      </c>
      <c r="E1486" s="35">
        <v>44602</v>
      </c>
      <c r="F1486" s="33">
        <v>1</v>
      </c>
      <c r="G1486" s="33" t="s">
        <v>231</v>
      </c>
      <c r="H1486" s="33" t="s">
        <v>69</v>
      </c>
      <c r="I1486" s="33" t="s">
        <v>198</v>
      </c>
      <c r="J1486" s="34">
        <v>1413.01</v>
      </c>
      <c r="K1486" s="34"/>
      <c r="L1486" s="34">
        <v>1413.01</v>
      </c>
    </row>
    <row r="1487" spans="2:12" x14ac:dyDescent="0.3">
      <c r="B1487" s="25">
        <v>1491</v>
      </c>
      <c r="C1487" s="33">
        <v>50656</v>
      </c>
      <c r="D1487" s="33" t="s">
        <v>400</v>
      </c>
      <c r="E1487" s="35">
        <v>44602</v>
      </c>
      <c r="F1487" s="33">
        <v>1</v>
      </c>
      <c r="G1487" s="33" t="s">
        <v>231</v>
      </c>
      <c r="H1487" s="33" t="s">
        <v>69</v>
      </c>
      <c r="I1487" s="33" t="s">
        <v>198</v>
      </c>
      <c r="J1487" s="34">
        <v>1207.8</v>
      </c>
      <c r="K1487" s="34"/>
      <c r="L1487" s="34">
        <v>1207.8</v>
      </c>
    </row>
    <row r="1488" spans="2:12" x14ac:dyDescent="0.3">
      <c r="B1488" s="25">
        <v>1492</v>
      </c>
      <c r="C1488" s="33">
        <v>50657</v>
      </c>
      <c r="D1488" s="33" t="s">
        <v>400</v>
      </c>
      <c r="E1488" s="35">
        <v>44602</v>
      </c>
      <c r="F1488" s="33">
        <v>1</v>
      </c>
      <c r="G1488" s="33" t="s">
        <v>231</v>
      </c>
      <c r="H1488" s="33" t="s">
        <v>69</v>
      </c>
      <c r="I1488" s="33" t="s">
        <v>198</v>
      </c>
      <c r="J1488" s="34">
        <v>808.2</v>
      </c>
      <c r="K1488" s="34"/>
      <c r="L1488" s="34">
        <v>808.2</v>
      </c>
    </row>
    <row r="1489" spans="2:12" x14ac:dyDescent="0.3">
      <c r="B1489" s="25">
        <v>1493</v>
      </c>
      <c r="C1489" s="33" t="s">
        <v>846</v>
      </c>
      <c r="D1489" s="33" t="s">
        <v>400</v>
      </c>
      <c r="E1489" s="35">
        <v>44602</v>
      </c>
      <c r="F1489" s="33">
        <v>1</v>
      </c>
      <c r="G1489" s="33" t="s">
        <v>231</v>
      </c>
      <c r="H1489" s="33" t="s">
        <v>69</v>
      </c>
      <c r="I1489" s="33" t="s">
        <v>198</v>
      </c>
      <c r="J1489" s="34">
        <v>1129.04</v>
      </c>
      <c r="K1489" s="34"/>
      <c r="L1489" s="34">
        <v>1129.04</v>
      </c>
    </row>
    <row r="1490" spans="2:12" x14ac:dyDescent="0.3">
      <c r="B1490" s="25">
        <v>1494</v>
      </c>
      <c r="C1490" s="33">
        <v>50660</v>
      </c>
      <c r="D1490" s="33" t="s">
        <v>401</v>
      </c>
      <c r="E1490" s="35">
        <v>44602</v>
      </c>
      <c r="F1490" s="33">
        <v>1</v>
      </c>
      <c r="G1490" s="33" t="s">
        <v>231</v>
      </c>
      <c r="H1490" s="33" t="s">
        <v>69</v>
      </c>
      <c r="I1490" s="33" t="s">
        <v>198</v>
      </c>
      <c r="J1490" s="34">
        <v>3622</v>
      </c>
      <c r="K1490" s="34"/>
      <c r="L1490" s="34">
        <v>3622</v>
      </c>
    </row>
    <row r="1491" spans="2:12" x14ac:dyDescent="0.3">
      <c r="B1491" s="25">
        <v>1495</v>
      </c>
      <c r="C1491" s="33" t="s">
        <v>847</v>
      </c>
      <c r="D1491" s="33" t="s">
        <v>411</v>
      </c>
      <c r="E1491" s="35">
        <v>44602</v>
      </c>
      <c r="F1491" s="33">
        <v>1</v>
      </c>
      <c r="G1491" s="33" t="s">
        <v>122</v>
      </c>
      <c r="H1491" s="33" t="s">
        <v>69</v>
      </c>
      <c r="I1491" s="33" t="s">
        <v>196</v>
      </c>
      <c r="J1491" s="34">
        <v>3644</v>
      </c>
      <c r="K1491" s="34"/>
      <c r="L1491" s="34">
        <v>3644</v>
      </c>
    </row>
    <row r="1492" spans="2:12" x14ac:dyDescent="0.3">
      <c r="B1492" s="25">
        <v>1496</v>
      </c>
      <c r="C1492" s="33">
        <v>50674</v>
      </c>
      <c r="D1492" s="33" t="s">
        <v>281</v>
      </c>
      <c r="E1492" s="35">
        <v>44602</v>
      </c>
      <c r="F1492" s="33">
        <v>1</v>
      </c>
      <c r="G1492" s="33" t="s">
        <v>124</v>
      </c>
      <c r="H1492" s="33" t="s">
        <v>69</v>
      </c>
      <c r="I1492" s="33" t="s">
        <v>197</v>
      </c>
      <c r="J1492" s="34">
        <v>607</v>
      </c>
      <c r="K1492" s="34"/>
      <c r="L1492" s="34">
        <v>607</v>
      </c>
    </row>
    <row r="1493" spans="2:12" x14ac:dyDescent="0.3">
      <c r="B1493" s="25">
        <v>1497</v>
      </c>
      <c r="C1493" s="33">
        <v>50676</v>
      </c>
      <c r="D1493" s="33" t="s">
        <v>805</v>
      </c>
      <c r="E1493" s="35">
        <v>44602</v>
      </c>
      <c r="F1493" s="33">
        <v>1</v>
      </c>
      <c r="G1493" s="33" t="s">
        <v>231</v>
      </c>
      <c r="H1493" s="33" t="s">
        <v>69</v>
      </c>
      <c r="I1493" s="33" t="s">
        <v>198</v>
      </c>
      <c r="J1493" s="34">
        <v>1019.5</v>
      </c>
      <c r="K1493" s="34"/>
      <c r="L1493" s="34">
        <v>1019.5</v>
      </c>
    </row>
    <row r="1494" spans="2:12" x14ac:dyDescent="0.3">
      <c r="B1494" s="25">
        <v>1498</v>
      </c>
      <c r="C1494" s="33">
        <v>50801</v>
      </c>
      <c r="D1494" s="33" t="s">
        <v>593</v>
      </c>
      <c r="E1494" s="35">
        <v>44609</v>
      </c>
      <c r="F1494" s="33">
        <v>1</v>
      </c>
      <c r="G1494" s="33" t="s">
        <v>122</v>
      </c>
      <c r="H1494" s="33" t="s">
        <v>69</v>
      </c>
      <c r="I1494" s="33" t="s">
        <v>196</v>
      </c>
      <c r="J1494" s="34">
        <v>5160</v>
      </c>
      <c r="K1494" s="34"/>
      <c r="L1494" s="34">
        <v>5160</v>
      </c>
    </row>
    <row r="1495" spans="2:12" x14ac:dyDescent="0.3">
      <c r="B1495" s="25">
        <v>1499</v>
      </c>
      <c r="C1495" s="33" t="s">
        <v>848</v>
      </c>
      <c r="D1495" s="33" t="s">
        <v>411</v>
      </c>
      <c r="E1495" s="35">
        <v>44609</v>
      </c>
      <c r="F1495" s="33">
        <v>1</v>
      </c>
      <c r="G1495" s="33" t="s">
        <v>122</v>
      </c>
      <c r="H1495" s="33" t="s">
        <v>69</v>
      </c>
      <c r="I1495" s="33" t="s">
        <v>196</v>
      </c>
      <c r="J1495" s="34">
        <v>1401.5</v>
      </c>
      <c r="K1495" s="34"/>
      <c r="L1495" s="34">
        <v>1401.5</v>
      </c>
    </row>
    <row r="1496" spans="2:12" x14ac:dyDescent="0.3">
      <c r="B1496" s="25">
        <v>1500</v>
      </c>
      <c r="C1496" s="33">
        <v>50822</v>
      </c>
      <c r="D1496" s="33" t="s">
        <v>400</v>
      </c>
      <c r="E1496" s="35">
        <v>44610</v>
      </c>
      <c r="F1496" s="33">
        <v>1</v>
      </c>
      <c r="G1496" s="33" t="s">
        <v>231</v>
      </c>
      <c r="H1496" s="33" t="s">
        <v>69</v>
      </c>
      <c r="I1496" s="33" t="s">
        <v>198</v>
      </c>
      <c r="J1496" s="34">
        <v>1426.05</v>
      </c>
      <c r="K1496" s="34"/>
      <c r="L1496" s="34">
        <v>1426.05</v>
      </c>
    </row>
    <row r="1497" spans="2:12" x14ac:dyDescent="0.3">
      <c r="B1497" s="25">
        <v>1501</v>
      </c>
      <c r="C1497" s="33">
        <v>50823</v>
      </c>
      <c r="D1497" s="33" t="s">
        <v>400</v>
      </c>
      <c r="E1497" s="35">
        <v>44610</v>
      </c>
      <c r="F1497" s="33">
        <v>1</v>
      </c>
      <c r="G1497" s="33" t="s">
        <v>231</v>
      </c>
      <c r="H1497" s="33" t="s">
        <v>69</v>
      </c>
      <c r="I1497" s="33" t="s">
        <v>198</v>
      </c>
      <c r="J1497" s="34">
        <v>1921.05</v>
      </c>
      <c r="K1497" s="34"/>
      <c r="L1497" s="34">
        <v>1921.05</v>
      </c>
    </row>
    <row r="1498" spans="2:12" x14ac:dyDescent="0.3">
      <c r="B1498" s="25">
        <v>1502</v>
      </c>
      <c r="C1498" s="33">
        <v>50824</v>
      </c>
      <c r="D1498" s="33" t="s">
        <v>400</v>
      </c>
      <c r="E1498" s="35">
        <v>44610</v>
      </c>
      <c r="F1498" s="33">
        <v>1</v>
      </c>
      <c r="G1498" s="33" t="s">
        <v>231</v>
      </c>
      <c r="H1498" s="33" t="s">
        <v>69</v>
      </c>
      <c r="I1498" s="33" t="s">
        <v>198</v>
      </c>
      <c r="J1498" s="34">
        <v>188.18</v>
      </c>
      <c r="K1498" s="34"/>
      <c r="L1498" s="34">
        <v>188.18</v>
      </c>
    </row>
    <row r="1499" spans="2:12" x14ac:dyDescent="0.3">
      <c r="B1499" s="25">
        <v>1503</v>
      </c>
      <c r="C1499" s="33">
        <v>50825</v>
      </c>
      <c r="D1499" s="33" t="s">
        <v>400</v>
      </c>
      <c r="E1499" s="35">
        <v>44610</v>
      </c>
      <c r="F1499" s="33">
        <v>1</v>
      </c>
      <c r="G1499" s="33" t="s">
        <v>231</v>
      </c>
      <c r="H1499" s="33" t="s">
        <v>69</v>
      </c>
      <c r="I1499" s="33" t="s">
        <v>198</v>
      </c>
      <c r="J1499" s="34">
        <v>166.84</v>
      </c>
      <c r="K1499" s="34"/>
      <c r="L1499" s="34">
        <v>166.84</v>
      </c>
    </row>
    <row r="1500" spans="2:12" x14ac:dyDescent="0.3">
      <c r="B1500" s="25">
        <v>1504</v>
      </c>
      <c r="C1500" s="33">
        <v>50951</v>
      </c>
      <c r="D1500" s="33" t="s">
        <v>416</v>
      </c>
      <c r="E1500" s="35">
        <v>44617</v>
      </c>
      <c r="F1500" s="33">
        <v>1</v>
      </c>
      <c r="G1500" s="33" t="s">
        <v>231</v>
      </c>
      <c r="H1500" s="33" t="s">
        <v>69</v>
      </c>
      <c r="I1500" s="33" t="s">
        <v>198</v>
      </c>
      <c r="J1500" s="34">
        <v>1586.5</v>
      </c>
      <c r="K1500" s="34"/>
      <c r="L1500" s="34">
        <v>1586.5</v>
      </c>
    </row>
    <row r="1501" spans="2:12" x14ac:dyDescent="0.3">
      <c r="B1501" s="25">
        <v>1505</v>
      </c>
      <c r="C1501" s="33">
        <v>50953</v>
      </c>
      <c r="D1501" s="33" t="s">
        <v>369</v>
      </c>
      <c r="E1501" s="35">
        <v>44617</v>
      </c>
      <c r="F1501" s="33">
        <v>1</v>
      </c>
      <c r="G1501" s="33" t="s">
        <v>124</v>
      </c>
      <c r="H1501" s="33" t="s">
        <v>69</v>
      </c>
      <c r="I1501" s="33" t="s">
        <v>197</v>
      </c>
      <c r="J1501" s="34">
        <v>225.99</v>
      </c>
      <c r="K1501" s="34"/>
      <c r="L1501" s="34">
        <v>225.99</v>
      </c>
    </row>
    <row r="1502" spans="2:12" x14ac:dyDescent="0.3">
      <c r="B1502" s="25">
        <v>1506</v>
      </c>
      <c r="C1502" s="33">
        <v>50954</v>
      </c>
      <c r="D1502" s="33" t="s">
        <v>404</v>
      </c>
      <c r="E1502" s="35">
        <v>44617</v>
      </c>
      <c r="F1502" s="33">
        <v>1</v>
      </c>
      <c r="G1502" s="33" t="s">
        <v>122</v>
      </c>
      <c r="H1502" s="33" t="s">
        <v>69</v>
      </c>
      <c r="I1502" s="33" t="s">
        <v>196</v>
      </c>
      <c r="J1502" s="34">
        <v>620.51</v>
      </c>
      <c r="K1502" s="34"/>
      <c r="L1502" s="34">
        <v>620.51</v>
      </c>
    </row>
    <row r="1503" spans="2:12" x14ac:dyDescent="0.3">
      <c r="B1503" s="25">
        <v>1507</v>
      </c>
      <c r="C1503" s="33">
        <v>50957</v>
      </c>
      <c r="D1503" s="33" t="s">
        <v>412</v>
      </c>
      <c r="E1503" s="35">
        <v>44617</v>
      </c>
      <c r="F1503" s="33">
        <v>1</v>
      </c>
      <c r="G1503" s="33" t="s">
        <v>231</v>
      </c>
      <c r="H1503" s="33" t="s">
        <v>69</v>
      </c>
      <c r="I1503" s="33" t="s">
        <v>198</v>
      </c>
      <c r="J1503" s="34">
        <v>827.5</v>
      </c>
      <c r="K1503" s="34"/>
      <c r="L1503" s="34">
        <v>827.5</v>
      </c>
    </row>
    <row r="1504" spans="2:12" x14ac:dyDescent="0.3">
      <c r="B1504" s="25">
        <v>1508</v>
      </c>
      <c r="C1504" s="33">
        <v>50959</v>
      </c>
      <c r="D1504" s="33" t="s">
        <v>805</v>
      </c>
      <c r="E1504" s="35">
        <v>44617</v>
      </c>
      <c r="F1504" s="33">
        <v>1</v>
      </c>
      <c r="G1504" s="33" t="s">
        <v>231</v>
      </c>
      <c r="H1504" s="33" t="s">
        <v>69</v>
      </c>
      <c r="I1504" s="33" t="s">
        <v>198</v>
      </c>
      <c r="J1504" s="34">
        <v>1974.49</v>
      </c>
      <c r="K1504" s="34"/>
      <c r="L1504" s="34">
        <v>1974.49</v>
      </c>
    </row>
    <row r="1505" spans="2:12" x14ac:dyDescent="0.3">
      <c r="B1505" s="25">
        <v>1509</v>
      </c>
      <c r="C1505" s="33">
        <v>50960</v>
      </c>
      <c r="D1505" s="33" t="s">
        <v>693</v>
      </c>
      <c r="E1505" s="35">
        <v>44617</v>
      </c>
      <c r="F1505" s="33">
        <v>1</v>
      </c>
      <c r="G1505" s="33" t="s">
        <v>124</v>
      </c>
      <c r="H1505" s="33" t="s">
        <v>69</v>
      </c>
      <c r="I1505" s="33" t="s">
        <v>197</v>
      </c>
      <c r="J1505" s="34">
        <v>400.14</v>
      </c>
      <c r="K1505" s="34"/>
      <c r="L1505" s="34">
        <v>400.14</v>
      </c>
    </row>
    <row r="1506" spans="2:12" x14ac:dyDescent="0.3">
      <c r="B1506" s="25">
        <v>1510</v>
      </c>
      <c r="C1506" s="33" t="s">
        <v>849</v>
      </c>
      <c r="D1506" s="33" t="s">
        <v>400</v>
      </c>
      <c r="E1506" s="35">
        <v>44617</v>
      </c>
      <c r="F1506" s="33">
        <v>1</v>
      </c>
      <c r="G1506" s="33" t="s">
        <v>231</v>
      </c>
      <c r="H1506" s="33" t="s">
        <v>69</v>
      </c>
      <c r="I1506" s="33" t="s">
        <v>198</v>
      </c>
      <c r="J1506" s="34">
        <v>2355.09</v>
      </c>
      <c r="K1506" s="34"/>
      <c r="L1506" s="34">
        <v>2355.09</v>
      </c>
    </row>
    <row r="1507" spans="2:12" x14ac:dyDescent="0.3">
      <c r="B1507" s="25">
        <v>1511</v>
      </c>
      <c r="C1507" s="33" t="s">
        <v>850</v>
      </c>
      <c r="D1507" s="33" t="s">
        <v>400</v>
      </c>
      <c r="E1507" s="35">
        <v>44617</v>
      </c>
      <c r="F1507" s="33">
        <v>1</v>
      </c>
      <c r="G1507" s="33" t="s">
        <v>231</v>
      </c>
      <c r="H1507" s="33" t="s">
        <v>69</v>
      </c>
      <c r="I1507" s="33" t="s">
        <v>198</v>
      </c>
      <c r="J1507" s="34">
        <v>690.14</v>
      </c>
      <c r="K1507" s="34"/>
      <c r="L1507" s="34">
        <v>690.14</v>
      </c>
    </row>
    <row r="1508" spans="2:12" x14ac:dyDescent="0.3">
      <c r="B1508" s="25">
        <v>1512</v>
      </c>
      <c r="C1508" s="33">
        <v>50965</v>
      </c>
      <c r="D1508" s="33" t="s">
        <v>400</v>
      </c>
      <c r="E1508" s="35">
        <v>44617</v>
      </c>
      <c r="F1508" s="33">
        <v>1</v>
      </c>
      <c r="G1508" s="33" t="s">
        <v>231</v>
      </c>
      <c r="H1508" s="33" t="s">
        <v>69</v>
      </c>
      <c r="I1508" s="33" t="s">
        <v>198</v>
      </c>
      <c r="J1508" s="34">
        <v>714.38</v>
      </c>
      <c r="K1508" s="34"/>
      <c r="L1508" s="34">
        <v>714.38</v>
      </c>
    </row>
    <row r="1509" spans="2:12" x14ac:dyDescent="0.3">
      <c r="B1509" s="25">
        <v>1513</v>
      </c>
      <c r="C1509" s="33">
        <v>50966</v>
      </c>
      <c r="D1509" s="33" t="s">
        <v>400</v>
      </c>
      <c r="E1509" s="35">
        <v>44617</v>
      </c>
      <c r="F1509" s="33">
        <v>1</v>
      </c>
      <c r="G1509" s="33" t="s">
        <v>231</v>
      </c>
      <c r="H1509" s="33" t="s">
        <v>69</v>
      </c>
      <c r="I1509" s="33" t="s">
        <v>198</v>
      </c>
      <c r="J1509" s="34">
        <v>940.88</v>
      </c>
      <c r="K1509" s="34"/>
      <c r="L1509" s="34">
        <v>940.88</v>
      </c>
    </row>
    <row r="1510" spans="2:12" x14ac:dyDescent="0.3">
      <c r="B1510" s="25">
        <v>1514</v>
      </c>
      <c r="C1510" s="33">
        <v>50967</v>
      </c>
      <c r="D1510" s="33" t="s">
        <v>400</v>
      </c>
      <c r="E1510" s="35">
        <v>44617</v>
      </c>
      <c r="F1510" s="33">
        <v>1</v>
      </c>
      <c r="G1510" s="33" t="s">
        <v>231</v>
      </c>
      <c r="H1510" s="33" t="s">
        <v>69</v>
      </c>
      <c r="I1510" s="33" t="s">
        <v>198</v>
      </c>
      <c r="J1510" s="34">
        <v>919.35</v>
      </c>
      <c r="K1510" s="34"/>
      <c r="L1510" s="34">
        <v>919.35</v>
      </c>
    </row>
    <row r="1511" spans="2:12" x14ac:dyDescent="0.3">
      <c r="B1511" s="25">
        <v>1515</v>
      </c>
      <c r="C1511" s="33">
        <v>50968</v>
      </c>
      <c r="D1511" s="33" t="s">
        <v>400</v>
      </c>
      <c r="E1511" s="35">
        <v>44617</v>
      </c>
      <c r="F1511" s="33">
        <v>1</v>
      </c>
      <c r="G1511" s="33" t="s">
        <v>231</v>
      </c>
      <c r="H1511" s="33" t="s">
        <v>69</v>
      </c>
      <c r="I1511" s="33" t="s">
        <v>198</v>
      </c>
      <c r="J1511" s="34">
        <v>3857.85</v>
      </c>
      <c r="K1511" s="34"/>
      <c r="L1511" s="34">
        <v>3857.85</v>
      </c>
    </row>
    <row r="1512" spans="2:12" x14ac:dyDescent="0.3">
      <c r="B1512" s="25">
        <v>1516</v>
      </c>
      <c r="C1512" s="33" t="s">
        <v>851</v>
      </c>
      <c r="D1512" s="33" t="s">
        <v>400</v>
      </c>
      <c r="E1512" s="35">
        <v>44617</v>
      </c>
      <c r="F1512" s="33">
        <v>1</v>
      </c>
      <c r="G1512" s="33" t="s">
        <v>231</v>
      </c>
      <c r="H1512" s="33" t="s">
        <v>69</v>
      </c>
      <c r="I1512" s="33" t="s">
        <v>198</v>
      </c>
      <c r="J1512" s="34">
        <v>834.3</v>
      </c>
      <c r="K1512" s="34"/>
      <c r="L1512" s="34">
        <v>834.3</v>
      </c>
    </row>
    <row r="1513" spans="2:12" x14ac:dyDescent="0.3">
      <c r="B1513" s="25">
        <v>1517</v>
      </c>
      <c r="C1513" s="33">
        <v>51055</v>
      </c>
      <c r="D1513" s="33" t="s">
        <v>400</v>
      </c>
      <c r="E1513" s="35">
        <v>44623</v>
      </c>
      <c r="F1513" s="33">
        <v>1</v>
      </c>
      <c r="G1513" s="33" t="s">
        <v>231</v>
      </c>
      <c r="H1513" s="33" t="s">
        <v>69</v>
      </c>
      <c r="I1513" s="33" t="s">
        <v>198</v>
      </c>
      <c r="J1513" s="34">
        <v>941.38</v>
      </c>
      <c r="K1513" s="34"/>
      <c r="L1513" s="34">
        <v>941.38</v>
      </c>
    </row>
    <row r="1514" spans="2:12" x14ac:dyDescent="0.3">
      <c r="B1514" s="25">
        <v>1518</v>
      </c>
      <c r="C1514" s="33">
        <v>51056</v>
      </c>
      <c r="D1514" s="33" t="s">
        <v>400</v>
      </c>
      <c r="E1514" s="35">
        <v>44623</v>
      </c>
      <c r="F1514" s="33">
        <v>1</v>
      </c>
      <c r="G1514" s="33" t="s">
        <v>231</v>
      </c>
      <c r="H1514" s="33" t="s">
        <v>69</v>
      </c>
      <c r="I1514" s="33" t="s">
        <v>198</v>
      </c>
      <c r="J1514" s="34">
        <v>1770.73</v>
      </c>
      <c r="K1514" s="34"/>
      <c r="L1514" s="34">
        <v>1770.73</v>
      </c>
    </row>
    <row r="1515" spans="2:12" x14ac:dyDescent="0.3">
      <c r="B1515" s="25">
        <v>1519</v>
      </c>
      <c r="C1515" s="33">
        <v>51071</v>
      </c>
      <c r="D1515" s="33" t="s">
        <v>416</v>
      </c>
      <c r="E1515" s="35">
        <v>44624</v>
      </c>
      <c r="F1515" s="33">
        <v>1</v>
      </c>
      <c r="G1515" s="33" t="s">
        <v>231</v>
      </c>
      <c r="H1515" s="33" t="s">
        <v>69</v>
      </c>
      <c r="I1515" s="33" t="s">
        <v>198</v>
      </c>
      <c r="J1515" s="34">
        <v>2115.0100000000002</v>
      </c>
      <c r="K1515" s="34"/>
      <c r="L1515" s="34">
        <v>2115.0100000000002</v>
      </c>
    </row>
    <row r="1516" spans="2:12" x14ac:dyDescent="0.3">
      <c r="B1516" s="25">
        <v>1520</v>
      </c>
      <c r="C1516" s="33">
        <v>51057</v>
      </c>
      <c r="D1516" s="33" t="s">
        <v>400</v>
      </c>
      <c r="E1516" s="35">
        <v>44623</v>
      </c>
      <c r="F1516" s="33">
        <v>1</v>
      </c>
      <c r="G1516" s="33" t="s">
        <v>231</v>
      </c>
      <c r="H1516" s="33" t="s">
        <v>69</v>
      </c>
      <c r="I1516" s="33" t="s">
        <v>198</v>
      </c>
      <c r="J1516" s="34">
        <v>65.959999999999994</v>
      </c>
      <c r="K1516" s="34"/>
      <c r="L1516" s="34">
        <v>65.959999999999994</v>
      </c>
    </row>
    <row r="1517" spans="2:12" x14ac:dyDescent="0.3">
      <c r="B1517" s="25">
        <v>1521</v>
      </c>
      <c r="C1517" s="33">
        <v>51173</v>
      </c>
      <c r="D1517" s="33" t="s">
        <v>405</v>
      </c>
      <c r="E1517" s="35">
        <v>44630</v>
      </c>
      <c r="F1517" s="33">
        <v>1</v>
      </c>
      <c r="G1517" s="33" t="s">
        <v>122</v>
      </c>
      <c r="H1517" s="33" t="s">
        <v>69</v>
      </c>
      <c r="I1517" s="33" t="s">
        <v>196</v>
      </c>
      <c r="J1517" s="34">
        <v>691.12</v>
      </c>
      <c r="K1517" s="34"/>
      <c r="L1517" s="34">
        <v>691.12</v>
      </c>
    </row>
    <row r="1518" spans="2:12" x14ac:dyDescent="0.3">
      <c r="B1518" s="25">
        <v>1522</v>
      </c>
      <c r="C1518" s="33">
        <v>51226</v>
      </c>
      <c r="D1518" s="33" t="s">
        <v>805</v>
      </c>
      <c r="E1518" s="35">
        <v>44631</v>
      </c>
      <c r="F1518" s="33">
        <v>1</v>
      </c>
      <c r="G1518" s="33" t="s">
        <v>231</v>
      </c>
      <c r="H1518" s="33" t="s">
        <v>69</v>
      </c>
      <c r="I1518" s="33" t="s">
        <v>198</v>
      </c>
      <c r="J1518" s="34">
        <v>1072.5</v>
      </c>
      <c r="K1518" s="34"/>
      <c r="L1518" s="34">
        <v>1072.5</v>
      </c>
    </row>
    <row r="1519" spans="2:12" x14ac:dyDescent="0.3">
      <c r="B1519" s="25">
        <v>1523</v>
      </c>
      <c r="C1519" s="33">
        <v>3658</v>
      </c>
      <c r="D1519" s="33" t="s">
        <v>402</v>
      </c>
      <c r="E1519" s="35">
        <v>44614</v>
      </c>
      <c r="F1519" s="33">
        <v>1</v>
      </c>
      <c r="G1519" s="33" t="s">
        <v>122</v>
      </c>
      <c r="H1519" s="33" t="s">
        <v>73</v>
      </c>
      <c r="I1519" s="33" t="s">
        <v>196</v>
      </c>
      <c r="J1519" s="34">
        <v>2620.0300000000002</v>
      </c>
      <c r="K1519" s="34"/>
      <c r="L1519" s="34">
        <v>2620.0300000000002</v>
      </c>
    </row>
    <row r="1520" spans="2:12" x14ac:dyDescent="0.3">
      <c r="B1520" s="25">
        <v>1524</v>
      </c>
      <c r="C1520" s="33">
        <v>50534</v>
      </c>
      <c r="D1520" s="33" t="s">
        <v>400</v>
      </c>
      <c r="E1520" s="35">
        <v>44609</v>
      </c>
      <c r="F1520" s="33">
        <v>1</v>
      </c>
      <c r="G1520" s="33" t="s">
        <v>231</v>
      </c>
      <c r="H1520" s="33">
        <v>53</v>
      </c>
      <c r="I1520" s="33" t="s">
        <v>198</v>
      </c>
      <c r="J1520" s="34">
        <v>1872.9</v>
      </c>
      <c r="K1520" s="34"/>
      <c r="L1520" s="34">
        <v>1872.9</v>
      </c>
    </row>
    <row r="1521" spans="2:12" x14ac:dyDescent="0.3">
      <c r="B1521" s="25">
        <v>1525</v>
      </c>
      <c r="C1521" s="33">
        <v>50535</v>
      </c>
      <c r="D1521" s="33" t="s">
        <v>369</v>
      </c>
      <c r="E1521" s="35">
        <v>44609</v>
      </c>
      <c r="F1521" s="33">
        <v>1</v>
      </c>
      <c r="G1521" s="33" t="s">
        <v>124</v>
      </c>
      <c r="H1521" s="33" t="s">
        <v>73</v>
      </c>
      <c r="I1521" s="33" t="s">
        <v>197</v>
      </c>
      <c r="J1521" s="34">
        <v>120.27</v>
      </c>
      <c r="K1521" s="34"/>
      <c r="L1521" s="34">
        <v>120.27</v>
      </c>
    </row>
    <row r="1522" spans="2:12" x14ac:dyDescent="0.3">
      <c r="B1522" s="25">
        <v>1526</v>
      </c>
      <c r="C1522" s="33">
        <v>50633</v>
      </c>
      <c r="D1522" s="33" t="s">
        <v>394</v>
      </c>
      <c r="E1522" s="35">
        <v>44616</v>
      </c>
      <c r="F1522" s="33">
        <v>1</v>
      </c>
      <c r="G1522" s="33" t="s">
        <v>122</v>
      </c>
      <c r="H1522" s="33" t="s">
        <v>73</v>
      </c>
      <c r="I1522" s="33" t="s">
        <v>196</v>
      </c>
      <c r="J1522" s="34">
        <v>279.5</v>
      </c>
      <c r="K1522" s="34"/>
      <c r="L1522" s="34">
        <v>279.5</v>
      </c>
    </row>
    <row r="1523" spans="2:12" x14ac:dyDescent="0.3">
      <c r="B1523" s="25">
        <v>1527</v>
      </c>
      <c r="C1523" s="33">
        <v>50634</v>
      </c>
      <c r="D1523" s="33" t="s">
        <v>394</v>
      </c>
      <c r="E1523" s="35">
        <v>44616</v>
      </c>
      <c r="F1523" s="33">
        <v>1</v>
      </c>
      <c r="G1523" s="33" t="s">
        <v>122</v>
      </c>
      <c r="H1523" s="33" t="s">
        <v>73</v>
      </c>
      <c r="I1523" s="33" t="s">
        <v>196</v>
      </c>
      <c r="J1523" s="34">
        <v>213.74</v>
      </c>
      <c r="K1523" s="34"/>
      <c r="L1523" s="34">
        <v>213.74</v>
      </c>
    </row>
    <row r="1524" spans="2:12" x14ac:dyDescent="0.3">
      <c r="B1524" s="25">
        <v>1528</v>
      </c>
      <c r="C1524" s="33">
        <v>50642</v>
      </c>
      <c r="D1524" s="33" t="s">
        <v>400</v>
      </c>
      <c r="E1524" s="35">
        <v>44616</v>
      </c>
      <c r="F1524" s="33">
        <v>1</v>
      </c>
      <c r="G1524" s="33" t="s">
        <v>231</v>
      </c>
      <c r="H1524" s="33">
        <v>53</v>
      </c>
      <c r="I1524" s="33" t="s">
        <v>198</v>
      </c>
      <c r="J1524" s="34">
        <v>370.57</v>
      </c>
      <c r="K1524" s="34"/>
      <c r="L1524" s="34">
        <v>370.57</v>
      </c>
    </row>
    <row r="1525" spans="2:12" x14ac:dyDescent="0.3">
      <c r="B1525" s="25">
        <v>1529</v>
      </c>
      <c r="C1525" s="33">
        <v>50814</v>
      </c>
      <c r="D1525" s="33" t="s">
        <v>411</v>
      </c>
      <c r="E1525" s="35">
        <v>44630</v>
      </c>
      <c r="F1525" s="33">
        <v>1</v>
      </c>
      <c r="G1525" s="33" t="s">
        <v>122</v>
      </c>
      <c r="H1525" s="33">
        <v>53</v>
      </c>
      <c r="I1525" s="33" t="s">
        <v>196</v>
      </c>
      <c r="J1525" s="34">
        <v>582.5</v>
      </c>
      <c r="K1525" s="34"/>
      <c r="L1525" s="34">
        <v>582.5</v>
      </c>
    </row>
    <row r="1526" spans="2:12" x14ac:dyDescent="0.3">
      <c r="B1526" s="25">
        <v>1530</v>
      </c>
      <c r="C1526" s="33">
        <v>50820</v>
      </c>
      <c r="D1526" s="33" t="s">
        <v>400</v>
      </c>
      <c r="E1526" s="35">
        <v>44630</v>
      </c>
      <c r="F1526" s="33">
        <v>1</v>
      </c>
      <c r="G1526" s="33" t="s">
        <v>231</v>
      </c>
      <c r="H1526" s="33">
        <v>53</v>
      </c>
      <c r="I1526" s="33" t="s">
        <v>198</v>
      </c>
      <c r="J1526" s="34">
        <v>584.41999999999996</v>
      </c>
      <c r="K1526" s="34"/>
      <c r="L1526" s="34">
        <v>584.41999999999996</v>
      </c>
    </row>
    <row r="1527" spans="2:12" x14ac:dyDescent="0.3">
      <c r="B1527" s="25">
        <v>1531</v>
      </c>
      <c r="C1527" s="33">
        <v>50836</v>
      </c>
      <c r="D1527" s="33" t="s">
        <v>401</v>
      </c>
      <c r="E1527" s="35">
        <v>44630</v>
      </c>
      <c r="F1527" s="33">
        <v>1</v>
      </c>
      <c r="G1527" s="33" t="s">
        <v>231</v>
      </c>
      <c r="H1527" s="33">
        <v>53</v>
      </c>
      <c r="I1527" s="33" t="s">
        <v>198</v>
      </c>
      <c r="J1527" s="34">
        <v>762</v>
      </c>
      <c r="K1527" s="34"/>
      <c r="L1527" s="34">
        <v>762</v>
      </c>
    </row>
    <row r="1528" spans="2:12" x14ac:dyDescent="0.3">
      <c r="B1528" s="25">
        <v>1532</v>
      </c>
      <c r="C1528" s="33">
        <v>1376</v>
      </c>
      <c r="D1528" s="33" t="s">
        <v>473</v>
      </c>
      <c r="E1528" s="35">
        <v>44629</v>
      </c>
      <c r="F1528" s="33">
        <v>1</v>
      </c>
      <c r="G1528" s="33" t="s">
        <v>122</v>
      </c>
      <c r="H1528" s="33" t="s">
        <v>201</v>
      </c>
      <c r="I1528" s="33" t="s">
        <v>196</v>
      </c>
      <c r="J1528" s="34">
        <v>3524.44</v>
      </c>
      <c r="K1528" s="34"/>
      <c r="L1528" s="34">
        <v>3524.44</v>
      </c>
    </row>
    <row r="1529" spans="2:12" x14ac:dyDescent="0.3">
      <c r="B1529" s="25">
        <v>1533</v>
      </c>
      <c r="C1529" s="33">
        <v>1377</v>
      </c>
      <c r="D1529" s="33" t="s">
        <v>566</v>
      </c>
      <c r="E1529" s="35">
        <v>44629</v>
      </c>
      <c r="F1529" s="33">
        <v>1</v>
      </c>
      <c r="G1529" s="33" t="s">
        <v>122</v>
      </c>
      <c r="H1529" s="33" t="s">
        <v>201</v>
      </c>
      <c r="I1529" s="33" t="s">
        <v>196</v>
      </c>
      <c r="J1529" s="34">
        <v>6233</v>
      </c>
      <c r="K1529" s="34"/>
      <c r="L1529" s="34">
        <v>6233</v>
      </c>
    </row>
    <row r="1530" spans="2:12" x14ac:dyDescent="0.3">
      <c r="B1530" s="25">
        <v>1534</v>
      </c>
      <c r="C1530" s="33">
        <v>1378</v>
      </c>
      <c r="D1530" s="33" t="s">
        <v>852</v>
      </c>
      <c r="E1530" s="35">
        <v>44629</v>
      </c>
      <c r="F1530" s="33">
        <v>1</v>
      </c>
      <c r="G1530" s="33" t="s">
        <v>124</v>
      </c>
      <c r="H1530" s="33" t="s">
        <v>201</v>
      </c>
      <c r="I1530" s="33" t="s">
        <v>197</v>
      </c>
      <c r="J1530" s="34">
        <v>1214.4000000000001</v>
      </c>
      <c r="K1530" s="34"/>
      <c r="L1530" s="34">
        <v>1214.4000000000001</v>
      </c>
    </row>
    <row r="1531" spans="2:12" x14ac:dyDescent="0.3">
      <c r="B1531" s="25">
        <v>1535</v>
      </c>
      <c r="C1531" s="33" t="s">
        <v>853</v>
      </c>
      <c r="D1531" s="33" t="s">
        <v>584</v>
      </c>
      <c r="E1531" s="35">
        <v>44629</v>
      </c>
      <c r="F1531" s="33">
        <v>1</v>
      </c>
      <c r="G1531" s="33" t="s">
        <v>122</v>
      </c>
      <c r="H1531" s="33" t="s">
        <v>201</v>
      </c>
      <c r="I1531" s="33" t="s">
        <v>196</v>
      </c>
      <c r="J1531" s="34">
        <v>4173.62</v>
      </c>
      <c r="K1531" s="34"/>
      <c r="L1531" s="34">
        <v>4173.62</v>
      </c>
    </row>
    <row r="1532" spans="2:12" x14ac:dyDescent="0.3">
      <c r="B1532" s="25">
        <v>1536</v>
      </c>
      <c r="C1532" s="33">
        <v>1381</v>
      </c>
      <c r="D1532" s="33" t="s">
        <v>854</v>
      </c>
      <c r="E1532" s="35">
        <v>44629</v>
      </c>
      <c r="F1532" s="33">
        <v>1</v>
      </c>
      <c r="G1532" s="33" t="s">
        <v>122</v>
      </c>
      <c r="H1532" s="33" t="s">
        <v>201</v>
      </c>
      <c r="I1532" s="33" t="s">
        <v>196</v>
      </c>
      <c r="J1532" s="34">
        <v>1990.8</v>
      </c>
      <c r="K1532" s="34"/>
      <c r="L1532" s="34">
        <v>1990.8</v>
      </c>
    </row>
    <row r="1533" spans="2:12" x14ac:dyDescent="0.3">
      <c r="B1533" s="25">
        <v>1537</v>
      </c>
      <c r="C1533" s="33">
        <v>1382</v>
      </c>
      <c r="D1533" s="33" t="s">
        <v>411</v>
      </c>
      <c r="E1533" s="35">
        <v>44629</v>
      </c>
      <c r="F1533" s="33">
        <v>1</v>
      </c>
      <c r="G1533" s="33" t="s">
        <v>122</v>
      </c>
      <c r="H1533" s="33" t="s">
        <v>201</v>
      </c>
      <c r="I1533" s="33" t="s">
        <v>196</v>
      </c>
      <c r="J1533" s="34">
        <v>2626.96</v>
      </c>
      <c r="K1533" s="34"/>
      <c r="L1533" s="34">
        <v>2626.96</v>
      </c>
    </row>
    <row r="1534" spans="2:12" x14ac:dyDescent="0.3">
      <c r="B1534" s="25">
        <v>1538</v>
      </c>
      <c r="C1534" s="33">
        <v>1384</v>
      </c>
      <c r="D1534" s="33" t="s">
        <v>690</v>
      </c>
      <c r="E1534" s="35">
        <v>44629</v>
      </c>
      <c r="F1534" s="33">
        <v>1</v>
      </c>
      <c r="G1534" s="33" t="s">
        <v>122</v>
      </c>
      <c r="H1534" s="33" t="s">
        <v>201</v>
      </c>
      <c r="I1534" s="33" t="s">
        <v>196</v>
      </c>
      <c r="J1534" s="34">
        <v>2443.1</v>
      </c>
      <c r="K1534" s="34"/>
      <c r="L1534" s="34">
        <v>2443.1</v>
      </c>
    </row>
    <row r="1535" spans="2:12" x14ac:dyDescent="0.3">
      <c r="B1535" s="25">
        <v>1539</v>
      </c>
      <c r="C1535" s="33" t="s">
        <v>855</v>
      </c>
      <c r="D1535" s="33" t="s">
        <v>856</v>
      </c>
      <c r="E1535" s="35">
        <v>44629</v>
      </c>
      <c r="F1535" s="33">
        <v>1</v>
      </c>
      <c r="G1535" s="33" t="s">
        <v>628</v>
      </c>
      <c r="H1535" s="33" t="s">
        <v>201</v>
      </c>
      <c r="I1535" s="33" t="s">
        <v>75</v>
      </c>
      <c r="J1535" s="34">
        <v>1323.3</v>
      </c>
      <c r="K1535" s="34"/>
      <c r="L1535" s="34">
        <v>1323.3</v>
      </c>
    </row>
    <row r="1536" spans="2:12" x14ac:dyDescent="0.3">
      <c r="B1536" s="25">
        <v>1540</v>
      </c>
      <c r="C1536" s="33">
        <v>1527</v>
      </c>
      <c r="D1536" s="33" t="s">
        <v>394</v>
      </c>
      <c r="E1536" s="35">
        <v>44636</v>
      </c>
      <c r="F1536" s="33">
        <v>1</v>
      </c>
      <c r="G1536" s="33" t="s">
        <v>122</v>
      </c>
      <c r="H1536" s="33" t="s">
        <v>201</v>
      </c>
      <c r="I1536" s="33" t="s">
        <v>196</v>
      </c>
      <c r="J1536" s="34">
        <v>286.8</v>
      </c>
      <c r="K1536" s="34">
        <v>80</v>
      </c>
      <c r="L1536" s="34">
        <v>206.8</v>
      </c>
    </row>
    <row r="1537" spans="2:12" x14ac:dyDescent="0.3">
      <c r="B1537" s="25">
        <v>1541</v>
      </c>
      <c r="C1537" s="33">
        <v>1529</v>
      </c>
      <c r="D1537" s="33" t="s">
        <v>857</v>
      </c>
      <c r="E1537" s="35">
        <v>44636</v>
      </c>
      <c r="F1537" s="33">
        <v>1</v>
      </c>
      <c r="G1537" s="33" t="s">
        <v>231</v>
      </c>
      <c r="H1537" s="33" t="s">
        <v>201</v>
      </c>
      <c r="I1537" s="33" t="s">
        <v>198</v>
      </c>
      <c r="J1537" s="34">
        <v>2961.6</v>
      </c>
      <c r="K1537" s="34"/>
      <c r="L1537" s="34">
        <v>2961.6</v>
      </c>
    </row>
    <row r="1538" spans="2:12" x14ac:dyDescent="0.3">
      <c r="B1538" s="25">
        <v>1542</v>
      </c>
      <c r="C1538" s="33">
        <v>1530</v>
      </c>
      <c r="D1538" s="33" t="s">
        <v>793</v>
      </c>
      <c r="E1538" s="35">
        <v>44636</v>
      </c>
      <c r="F1538" s="33">
        <v>1</v>
      </c>
      <c r="G1538" s="33" t="s">
        <v>124</v>
      </c>
      <c r="H1538" s="33" t="s">
        <v>201</v>
      </c>
      <c r="I1538" s="33" t="s">
        <v>197</v>
      </c>
      <c r="J1538" s="34">
        <v>1221.5999999999999</v>
      </c>
      <c r="K1538" s="34"/>
      <c r="L1538" s="34">
        <v>1221.5999999999999</v>
      </c>
    </row>
    <row r="1539" spans="2:12" x14ac:dyDescent="0.3">
      <c r="B1539" s="25">
        <v>1543</v>
      </c>
      <c r="C1539" s="33">
        <v>1532</v>
      </c>
      <c r="D1539" s="33" t="s">
        <v>596</v>
      </c>
      <c r="E1539" s="35">
        <v>44636</v>
      </c>
      <c r="F1539" s="33">
        <v>1</v>
      </c>
      <c r="G1539" s="33" t="s">
        <v>122</v>
      </c>
      <c r="H1539" s="33" t="s">
        <v>201</v>
      </c>
      <c r="I1539" s="33" t="s">
        <v>196</v>
      </c>
      <c r="J1539" s="34">
        <v>2741.75</v>
      </c>
      <c r="K1539" s="34"/>
      <c r="L1539" s="34">
        <v>2741.75</v>
      </c>
    </row>
    <row r="1540" spans="2:12" x14ac:dyDescent="0.3">
      <c r="B1540" s="25">
        <v>1544</v>
      </c>
      <c r="C1540" s="33">
        <v>1535</v>
      </c>
      <c r="D1540" s="33" t="s">
        <v>584</v>
      </c>
      <c r="E1540" s="35">
        <v>44636</v>
      </c>
      <c r="F1540" s="33">
        <v>1</v>
      </c>
      <c r="G1540" s="33" t="s">
        <v>122</v>
      </c>
      <c r="H1540" s="33" t="s">
        <v>201</v>
      </c>
      <c r="I1540" s="33" t="s">
        <v>196</v>
      </c>
      <c r="J1540" s="34">
        <v>8502.01</v>
      </c>
      <c r="K1540" s="34"/>
      <c r="L1540" s="34">
        <v>8502.01</v>
      </c>
    </row>
    <row r="1541" spans="2:12" x14ac:dyDescent="0.3">
      <c r="B1541" s="25">
        <v>1545</v>
      </c>
      <c r="C1541" s="33">
        <v>1536</v>
      </c>
      <c r="D1541" s="33" t="s">
        <v>562</v>
      </c>
      <c r="E1541" s="35">
        <v>44636</v>
      </c>
      <c r="F1541" s="33">
        <v>1</v>
      </c>
      <c r="G1541" s="33" t="s">
        <v>231</v>
      </c>
      <c r="H1541" s="33" t="s">
        <v>201</v>
      </c>
      <c r="I1541" s="33" t="s">
        <v>198</v>
      </c>
      <c r="J1541" s="34">
        <v>778.8</v>
      </c>
      <c r="K1541" s="34"/>
      <c r="L1541" s="34">
        <v>778.8</v>
      </c>
    </row>
    <row r="1542" spans="2:12" x14ac:dyDescent="0.3">
      <c r="B1542" s="25">
        <v>1546</v>
      </c>
      <c r="C1542" s="33">
        <v>1537</v>
      </c>
      <c r="D1542" s="33" t="s">
        <v>401</v>
      </c>
      <c r="E1542" s="35">
        <v>44636</v>
      </c>
      <c r="F1542" s="33">
        <v>1</v>
      </c>
      <c r="G1542" s="33" t="s">
        <v>231</v>
      </c>
      <c r="H1542" s="33" t="s">
        <v>201</v>
      </c>
      <c r="I1542" s="33" t="s">
        <v>198</v>
      </c>
      <c r="J1542" s="34">
        <v>4364.03</v>
      </c>
      <c r="K1542" s="34"/>
      <c r="L1542" s="34">
        <v>4364.03</v>
      </c>
    </row>
    <row r="1543" spans="2:12" x14ac:dyDescent="0.3">
      <c r="B1543" s="25">
        <v>1547</v>
      </c>
      <c r="C1543" s="33">
        <v>33164</v>
      </c>
      <c r="D1543" s="33" t="s">
        <v>858</v>
      </c>
      <c r="E1543" s="35">
        <v>44638</v>
      </c>
      <c r="F1543" s="33">
        <v>1</v>
      </c>
      <c r="G1543" s="33" t="s">
        <v>122</v>
      </c>
      <c r="H1543" s="33" t="s">
        <v>72</v>
      </c>
      <c r="I1543" s="33" t="s">
        <v>196</v>
      </c>
      <c r="J1543" s="34">
        <v>8984</v>
      </c>
      <c r="K1543" s="34"/>
      <c r="L1543" s="34">
        <v>8984</v>
      </c>
    </row>
    <row r="1544" spans="2:12" x14ac:dyDescent="0.3">
      <c r="B1544" s="25">
        <v>1548</v>
      </c>
      <c r="C1544" s="33">
        <v>33170</v>
      </c>
      <c r="D1544" s="33" t="s">
        <v>470</v>
      </c>
      <c r="E1544" s="35">
        <v>44644</v>
      </c>
      <c r="F1544" s="33">
        <v>1</v>
      </c>
      <c r="G1544" s="33" t="s">
        <v>628</v>
      </c>
      <c r="H1544" s="33" t="s">
        <v>72</v>
      </c>
      <c r="I1544" s="33" t="s">
        <v>75</v>
      </c>
      <c r="J1544" s="34">
        <v>8911.1</v>
      </c>
      <c r="K1544" s="34"/>
      <c r="L1544" s="34">
        <v>8911.1</v>
      </c>
    </row>
    <row r="1545" spans="2:12" x14ac:dyDescent="0.3">
      <c r="B1545" s="25">
        <v>1549</v>
      </c>
      <c r="C1545" s="33">
        <v>4429</v>
      </c>
      <c r="D1545" s="33" t="s">
        <v>859</v>
      </c>
      <c r="E1545" s="35">
        <v>44644</v>
      </c>
      <c r="F1545" s="33">
        <v>1</v>
      </c>
      <c r="G1545" s="33" t="s">
        <v>628</v>
      </c>
      <c r="H1545" s="33" t="s">
        <v>630</v>
      </c>
      <c r="I1545" s="33" t="s">
        <v>75</v>
      </c>
      <c r="J1545" s="34">
        <v>900.8</v>
      </c>
      <c r="K1545" s="34">
        <v>40</v>
      </c>
      <c r="L1545" s="34">
        <v>860.8</v>
      </c>
    </row>
    <row r="1546" spans="2:12" x14ac:dyDescent="0.3">
      <c r="B1546" s="25">
        <v>1550</v>
      </c>
      <c r="C1546" s="33">
        <v>4326</v>
      </c>
      <c r="D1546" s="33" t="s">
        <v>889</v>
      </c>
      <c r="E1546" s="35">
        <v>44648</v>
      </c>
      <c r="F1546" s="33">
        <v>1</v>
      </c>
      <c r="G1546" s="33" t="s">
        <v>122</v>
      </c>
      <c r="H1546" s="33" t="s">
        <v>69</v>
      </c>
      <c r="I1546" s="33" t="s">
        <v>196</v>
      </c>
      <c r="J1546" s="34">
        <v>1174.6400000000001</v>
      </c>
      <c r="K1546" s="34"/>
      <c r="L1546" s="34">
        <v>1174.6400000000001</v>
      </c>
    </row>
    <row r="1547" spans="2:12" x14ac:dyDescent="0.3">
      <c r="B1547" s="25">
        <v>1551</v>
      </c>
      <c r="C1547" s="33">
        <v>4401</v>
      </c>
      <c r="D1547" s="33" t="s">
        <v>890</v>
      </c>
      <c r="E1547" s="35">
        <v>44649</v>
      </c>
      <c r="F1547" s="33">
        <v>1</v>
      </c>
      <c r="G1547" s="33" t="s">
        <v>122</v>
      </c>
      <c r="H1547" s="33" t="s">
        <v>69</v>
      </c>
      <c r="I1547" s="33" t="s">
        <v>196</v>
      </c>
      <c r="J1547" s="34">
        <v>1160.4100000000001</v>
      </c>
      <c r="K1547" s="34"/>
      <c r="L1547" s="34">
        <v>1160.4100000000001</v>
      </c>
    </row>
    <row r="1548" spans="2:12" x14ac:dyDescent="0.3">
      <c r="B1548" s="25">
        <v>1552</v>
      </c>
      <c r="C1548" s="33">
        <v>1505</v>
      </c>
      <c r="D1548" s="33" t="s">
        <v>891</v>
      </c>
      <c r="E1548" s="35">
        <v>44652</v>
      </c>
      <c r="F1548" s="33">
        <v>2</v>
      </c>
      <c r="G1548" s="33" t="s">
        <v>122</v>
      </c>
      <c r="H1548" s="33" t="s">
        <v>71</v>
      </c>
      <c r="I1548" s="33" t="s">
        <v>196</v>
      </c>
      <c r="J1548" s="34">
        <v>636.30999999999995</v>
      </c>
      <c r="K1548" s="34"/>
      <c r="L1548" s="34">
        <v>636.30999999999995</v>
      </c>
    </row>
    <row r="1549" spans="2:12" x14ac:dyDescent="0.3">
      <c r="B1549" s="25">
        <v>1554</v>
      </c>
      <c r="C1549" s="33">
        <v>33208</v>
      </c>
      <c r="D1549" s="33" t="s">
        <v>892</v>
      </c>
      <c r="E1549" s="35">
        <v>44649</v>
      </c>
      <c r="F1549" s="33">
        <v>1</v>
      </c>
      <c r="G1549" s="33" t="s">
        <v>122</v>
      </c>
      <c r="H1549" s="33" t="s">
        <v>72</v>
      </c>
      <c r="I1549" s="33" t="s">
        <v>196</v>
      </c>
      <c r="J1549" s="34">
        <v>4644</v>
      </c>
      <c r="K1549" s="34"/>
      <c r="L1549" s="34">
        <v>4644</v>
      </c>
    </row>
    <row r="1550" spans="2:12" x14ac:dyDescent="0.3">
      <c r="B1550" s="25">
        <v>1555</v>
      </c>
      <c r="C1550" s="33">
        <v>910</v>
      </c>
      <c r="D1550" s="33" t="s">
        <v>363</v>
      </c>
      <c r="E1550" s="35">
        <v>44621</v>
      </c>
      <c r="F1550" s="33">
        <v>1</v>
      </c>
      <c r="G1550" s="33" t="s">
        <v>124</v>
      </c>
      <c r="H1550" s="33" t="s">
        <v>71</v>
      </c>
      <c r="I1550" s="33" t="s">
        <v>197</v>
      </c>
      <c r="J1550" s="34">
        <v>331.44</v>
      </c>
      <c r="K1550" s="34">
        <v>80</v>
      </c>
      <c r="L1550" s="34">
        <v>251.44</v>
      </c>
    </row>
    <row r="1551" spans="2:12" x14ac:dyDescent="0.3">
      <c r="B1551" s="25">
        <v>1556</v>
      </c>
      <c r="C1551" s="33">
        <v>967</v>
      </c>
      <c r="D1551" s="33" t="s">
        <v>377</v>
      </c>
      <c r="E1551" s="35">
        <v>44624</v>
      </c>
      <c r="F1551" s="33">
        <v>1</v>
      </c>
      <c r="G1551" s="33" t="s">
        <v>124</v>
      </c>
      <c r="H1551" s="33" t="s">
        <v>71</v>
      </c>
      <c r="I1551" s="33" t="s">
        <v>197</v>
      </c>
      <c r="J1551" s="34">
        <v>168.09</v>
      </c>
      <c r="K1551" s="34">
        <v>80</v>
      </c>
      <c r="L1551" s="34">
        <v>88.09</v>
      </c>
    </row>
    <row r="1552" spans="2:12" x14ac:dyDescent="0.3">
      <c r="B1552" s="25">
        <v>1557</v>
      </c>
      <c r="C1552" s="33">
        <v>969</v>
      </c>
      <c r="D1552" s="33" t="s">
        <v>470</v>
      </c>
      <c r="E1552" s="35">
        <v>44624</v>
      </c>
      <c r="F1552" s="33">
        <v>1</v>
      </c>
      <c r="G1552" s="33" t="s">
        <v>628</v>
      </c>
      <c r="H1552" s="33" t="s">
        <v>71</v>
      </c>
      <c r="I1552" s="33" t="s">
        <v>75</v>
      </c>
      <c r="J1552" s="34">
        <v>3360.86</v>
      </c>
      <c r="K1552" s="34"/>
      <c r="L1552" s="34">
        <v>3360.86</v>
      </c>
    </row>
    <row r="1553" spans="2:12" x14ac:dyDescent="0.3">
      <c r="B1553" s="25">
        <v>1558</v>
      </c>
      <c r="C1553" s="33" t="s">
        <v>893</v>
      </c>
      <c r="D1553" s="33" t="s">
        <v>832</v>
      </c>
      <c r="E1553" s="35">
        <v>44624</v>
      </c>
      <c r="F1553" s="33">
        <v>1</v>
      </c>
      <c r="G1553" s="33" t="s">
        <v>231</v>
      </c>
      <c r="H1553" s="33" t="s">
        <v>71</v>
      </c>
      <c r="I1553" s="33" t="s">
        <v>198</v>
      </c>
      <c r="J1553" s="34">
        <v>1946.84</v>
      </c>
      <c r="K1553" s="34"/>
      <c r="L1553" s="34">
        <v>1946.84</v>
      </c>
    </row>
    <row r="1554" spans="2:12" x14ac:dyDescent="0.3">
      <c r="B1554" s="25">
        <v>1559</v>
      </c>
      <c r="C1554" s="33">
        <v>977</v>
      </c>
      <c r="D1554" s="33" t="s">
        <v>364</v>
      </c>
      <c r="E1554" s="35">
        <v>44627</v>
      </c>
      <c r="F1554" s="33">
        <v>1</v>
      </c>
      <c r="G1554" s="33" t="s">
        <v>124</v>
      </c>
      <c r="H1554" s="33" t="s">
        <v>71</v>
      </c>
      <c r="I1554" s="33" t="s">
        <v>197</v>
      </c>
      <c r="J1554" s="34">
        <v>954.52</v>
      </c>
      <c r="K1554" s="34"/>
      <c r="L1554" s="34">
        <v>954.52</v>
      </c>
    </row>
    <row r="1555" spans="2:12" x14ac:dyDescent="0.3">
      <c r="B1555" s="25">
        <v>1560</v>
      </c>
      <c r="C1555" s="33">
        <v>1008</v>
      </c>
      <c r="D1555" s="33" t="s">
        <v>894</v>
      </c>
      <c r="E1555" s="35">
        <v>44628</v>
      </c>
      <c r="F1555" s="33">
        <v>1</v>
      </c>
      <c r="G1555" s="33" t="s">
        <v>231</v>
      </c>
      <c r="H1555" s="33" t="s">
        <v>71</v>
      </c>
      <c r="I1555" s="33" t="s">
        <v>198</v>
      </c>
      <c r="J1555" s="34">
        <v>2310.13</v>
      </c>
      <c r="K1555" s="34"/>
      <c r="L1555" s="34">
        <v>2310.13</v>
      </c>
    </row>
    <row r="1556" spans="2:12" x14ac:dyDescent="0.3">
      <c r="B1556" s="25">
        <v>1561</v>
      </c>
      <c r="C1556" s="33">
        <v>1662</v>
      </c>
      <c r="D1556" s="33" t="s">
        <v>895</v>
      </c>
      <c r="E1556" s="35">
        <v>44664</v>
      </c>
      <c r="F1556" s="33">
        <v>2</v>
      </c>
      <c r="G1556" s="33" t="s">
        <v>122</v>
      </c>
      <c r="H1556" s="33" t="s">
        <v>71</v>
      </c>
      <c r="I1556" s="33" t="s">
        <v>196</v>
      </c>
      <c r="J1556" s="34">
        <v>1219.5899999999999</v>
      </c>
      <c r="K1556" s="34"/>
      <c r="L1556" s="34">
        <v>1219.5899999999999</v>
      </c>
    </row>
    <row r="1557" spans="2:12" x14ac:dyDescent="0.3">
      <c r="B1557" s="25">
        <v>1562</v>
      </c>
      <c r="C1557" s="33">
        <v>1029</v>
      </c>
      <c r="D1557" s="33" t="s">
        <v>420</v>
      </c>
      <c r="E1557" s="35">
        <v>44629</v>
      </c>
      <c r="F1557" s="33">
        <v>1</v>
      </c>
      <c r="G1557" s="33" t="s">
        <v>628</v>
      </c>
      <c r="H1557" s="33" t="s">
        <v>71</v>
      </c>
      <c r="I1557" s="33" t="s">
        <v>75</v>
      </c>
      <c r="J1557" s="34">
        <v>255.4</v>
      </c>
      <c r="K1557" s="34">
        <v>80</v>
      </c>
      <c r="L1557" s="34">
        <v>175.4</v>
      </c>
    </row>
    <row r="1558" spans="2:12" x14ac:dyDescent="0.3">
      <c r="B1558" s="25">
        <v>1563</v>
      </c>
      <c r="C1558" s="33">
        <v>1053</v>
      </c>
      <c r="D1558" s="33" t="s">
        <v>677</v>
      </c>
      <c r="E1558" s="35">
        <v>44631</v>
      </c>
      <c r="F1558" s="33">
        <v>1</v>
      </c>
      <c r="G1558" s="33" t="s">
        <v>124</v>
      </c>
      <c r="H1558" s="33" t="s">
        <v>71</v>
      </c>
      <c r="I1558" s="33" t="s">
        <v>197</v>
      </c>
      <c r="J1558" s="34">
        <v>556.91999999999996</v>
      </c>
      <c r="K1558" s="34"/>
      <c r="L1558" s="34">
        <v>556.91999999999996</v>
      </c>
    </row>
    <row r="1559" spans="2:12" x14ac:dyDescent="0.3">
      <c r="B1559" s="25">
        <v>1564</v>
      </c>
      <c r="C1559" s="33">
        <v>1057</v>
      </c>
      <c r="D1559" s="33" t="s">
        <v>403</v>
      </c>
      <c r="E1559" s="35">
        <v>44631</v>
      </c>
      <c r="F1559" s="33">
        <v>1</v>
      </c>
      <c r="G1559" s="33" t="s">
        <v>122</v>
      </c>
      <c r="H1559" s="33" t="s">
        <v>71</v>
      </c>
      <c r="I1559" s="33" t="s">
        <v>196</v>
      </c>
      <c r="J1559" s="34">
        <v>707.85</v>
      </c>
      <c r="K1559" s="34"/>
      <c r="L1559" s="34">
        <v>707.85</v>
      </c>
    </row>
    <row r="1560" spans="2:12" x14ac:dyDescent="0.3">
      <c r="B1560" s="25">
        <v>1565</v>
      </c>
      <c r="C1560" s="33">
        <v>1062</v>
      </c>
      <c r="D1560" s="33" t="s">
        <v>412</v>
      </c>
      <c r="E1560" s="35">
        <v>44631</v>
      </c>
      <c r="F1560" s="33">
        <v>1</v>
      </c>
      <c r="G1560" s="33" t="s">
        <v>231</v>
      </c>
      <c r="H1560" s="33" t="s">
        <v>71</v>
      </c>
      <c r="I1560" s="33" t="s">
        <v>198</v>
      </c>
      <c r="J1560" s="34">
        <v>1433.93</v>
      </c>
      <c r="K1560" s="34"/>
      <c r="L1560" s="34">
        <v>1433.93</v>
      </c>
    </row>
    <row r="1561" spans="2:12" x14ac:dyDescent="0.3">
      <c r="B1561" s="25">
        <v>1566</v>
      </c>
      <c r="C1561" s="33">
        <v>1659</v>
      </c>
      <c r="D1561" s="33" t="s">
        <v>361</v>
      </c>
      <c r="E1561" s="35">
        <v>44644</v>
      </c>
      <c r="F1561" s="33">
        <v>1</v>
      </c>
      <c r="G1561" s="33" t="s">
        <v>124</v>
      </c>
      <c r="H1561" s="33" t="s">
        <v>71</v>
      </c>
      <c r="I1561" s="33" t="s">
        <v>197</v>
      </c>
      <c r="J1561" s="34">
        <v>904.35</v>
      </c>
      <c r="K1561" s="34"/>
      <c r="L1561" s="34">
        <v>904.35</v>
      </c>
    </row>
    <row r="1562" spans="2:12" x14ac:dyDescent="0.3">
      <c r="B1562" s="25">
        <v>1567</v>
      </c>
      <c r="C1562" s="33">
        <v>1477</v>
      </c>
      <c r="D1562" s="33" t="s">
        <v>790</v>
      </c>
      <c r="E1562" s="35">
        <v>44650</v>
      </c>
      <c r="F1562" s="33">
        <v>1</v>
      </c>
      <c r="G1562" s="33" t="s">
        <v>124</v>
      </c>
      <c r="H1562" s="33" t="s">
        <v>71</v>
      </c>
      <c r="I1562" s="33" t="s">
        <v>197</v>
      </c>
      <c r="J1562" s="34">
        <v>870.19</v>
      </c>
      <c r="K1562" s="34"/>
      <c r="L1562" s="34">
        <v>870.19</v>
      </c>
    </row>
    <row r="1563" spans="2:12" x14ac:dyDescent="0.3">
      <c r="B1563" s="25">
        <v>1568</v>
      </c>
      <c r="C1563" s="33">
        <v>1469</v>
      </c>
      <c r="D1563" s="33" t="s">
        <v>426</v>
      </c>
      <c r="E1563" s="35">
        <v>44650</v>
      </c>
      <c r="F1563" s="33">
        <v>1</v>
      </c>
      <c r="G1563" s="33" t="s">
        <v>628</v>
      </c>
      <c r="H1563" s="33" t="s">
        <v>71</v>
      </c>
      <c r="I1563" s="33" t="s">
        <v>75</v>
      </c>
      <c r="J1563" s="34">
        <v>1251.25</v>
      </c>
      <c r="K1563" s="34"/>
      <c r="L1563" s="34">
        <v>1251.25</v>
      </c>
    </row>
    <row r="1564" spans="2:12" x14ac:dyDescent="0.3">
      <c r="B1564" s="25">
        <v>1569</v>
      </c>
      <c r="C1564" s="33">
        <v>1468</v>
      </c>
      <c r="D1564" s="33" t="s">
        <v>426</v>
      </c>
      <c r="E1564" s="35">
        <v>44650</v>
      </c>
      <c r="F1564" s="33">
        <v>1</v>
      </c>
      <c r="G1564" s="33" t="s">
        <v>628</v>
      </c>
      <c r="H1564" s="33" t="s">
        <v>71</v>
      </c>
      <c r="I1564" s="33" t="s">
        <v>75</v>
      </c>
      <c r="J1564" s="34">
        <v>1140.1400000000001</v>
      </c>
      <c r="K1564" s="34"/>
      <c r="L1564" s="34">
        <v>1140.1400000000001</v>
      </c>
    </row>
    <row r="1565" spans="2:12" x14ac:dyDescent="0.3">
      <c r="B1565" s="25">
        <v>1570</v>
      </c>
      <c r="C1565" s="33">
        <v>1467</v>
      </c>
      <c r="D1565" s="33" t="s">
        <v>426</v>
      </c>
      <c r="E1565" s="35">
        <v>44650</v>
      </c>
      <c r="F1565" s="33">
        <v>1</v>
      </c>
      <c r="G1565" s="33" t="s">
        <v>628</v>
      </c>
      <c r="H1565" s="33" t="s">
        <v>71</v>
      </c>
      <c r="I1565" s="33" t="s">
        <v>75</v>
      </c>
      <c r="J1565" s="34">
        <v>979.98</v>
      </c>
      <c r="K1565" s="34"/>
      <c r="L1565" s="34">
        <v>979.98</v>
      </c>
    </row>
    <row r="1566" spans="2:12" x14ac:dyDescent="0.3">
      <c r="B1566" s="25">
        <v>1571</v>
      </c>
      <c r="C1566" s="33">
        <v>1459</v>
      </c>
      <c r="D1566" s="33" t="s">
        <v>278</v>
      </c>
      <c r="E1566" s="35">
        <v>44650</v>
      </c>
      <c r="F1566" s="33">
        <v>1</v>
      </c>
      <c r="G1566" s="33" t="s">
        <v>124</v>
      </c>
      <c r="H1566" s="33" t="s">
        <v>71</v>
      </c>
      <c r="I1566" s="33" t="s">
        <v>197</v>
      </c>
      <c r="J1566" s="34">
        <v>2082.09</v>
      </c>
      <c r="K1566" s="34"/>
      <c r="L1566" s="34">
        <v>2082.09</v>
      </c>
    </row>
    <row r="1567" spans="2:12" x14ac:dyDescent="0.3">
      <c r="B1567" s="25">
        <v>1572</v>
      </c>
      <c r="C1567" s="33">
        <v>1457</v>
      </c>
      <c r="D1567" s="33" t="s">
        <v>277</v>
      </c>
      <c r="E1567" s="35">
        <v>44650</v>
      </c>
      <c r="F1567" s="33">
        <v>1</v>
      </c>
      <c r="G1567" s="33" t="s">
        <v>124</v>
      </c>
      <c r="H1567" s="33" t="s">
        <v>71</v>
      </c>
      <c r="I1567" s="33" t="s">
        <v>197</v>
      </c>
      <c r="J1567" s="34">
        <v>1049.05</v>
      </c>
      <c r="K1567" s="34"/>
      <c r="L1567" s="34">
        <v>1049.05</v>
      </c>
    </row>
    <row r="1568" spans="2:12" x14ac:dyDescent="0.3">
      <c r="B1568" s="25">
        <v>1573</v>
      </c>
      <c r="C1568" s="33">
        <v>1453</v>
      </c>
      <c r="D1568" s="33" t="s">
        <v>677</v>
      </c>
      <c r="E1568" s="35">
        <v>44650</v>
      </c>
      <c r="F1568" s="33">
        <v>1</v>
      </c>
      <c r="G1568" s="33" t="s">
        <v>124</v>
      </c>
      <c r="H1568" s="33" t="s">
        <v>71</v>
      </c>
      <c r="I1568" s="33" t="s">
        <v>197</v>
      </c>
      <c r="J1568" s="34">
        <v>706.81</v>
      </c>
      <c r="K1568" s="34">
        <v>80</v>
      </c>
      <c r="L1568" s="34">
        <v>626.80999999999995</v>
      </c>
    </row>
    <row r="1569" spans="2:12" x14ac:dyDescent="0.3">
      <c r="B1569" s="25">
        <v>1574</v>
      </c>
      <c r="C1569" s="33">
        <v>1404</v>
      </c>
      <c r="D1569" s="33" t="s">
        <v>896</v>
      </c>
      <c r="E1569" s="35">
        <v>44648</v>
      </c>
      <c r="F1569" s="33">
        <v>1</v>
      </c>
      <c r="G1569" s="33" t="s">
        <v>231</v>
      </c>
      <c r="H1569" s="33" t="s">
        <v>71</v>
      </c>
      <c r="I1569" s="33" t="s">
        <v>198</v>
      </c>
      <c r="J1569" s="34">
        <v>1481.54</v>
      </c>
      <c r="K1569" s="34"/>
      <c r="L1569" s="34">
        <v>1481.54</v>
      </c>
    </row>
    <row r="1570" spans="2:12" x14ac:dyDescent="0.3">
      <c r="B1570" s="25">
        <v>1575</v>
      </c>
      <c r="C1570" s="33">
        <v>1063</v>
      </c>
      <c r="D1570" s="33" t="s">
        <v>746</v>
      </c>
      <c r="E1570" s="35">
        <v>44631</v>
      </c>
      <c r="F1570" s="33">
        <v>1</v>
      </c>
      <c r="G1570" s="33" t="s">
        <v>124</v>
      </c>
      <c r="H1570" s="33" t="s">
        <v>71</v>
      </c>
      <c r="I1570" s="33" t="s">
        <v>197</v>
      </c>
      <c r="J1570" s="34">
        <v>926.3</v>
      </c>
      <c r="K1570" s="34">
        <v>80</v>
      </c>
      <c r="L1570" s="34">
        <v>846.3</v>
      </c>
    </row>
    <row r="1571" spans="2:12" x14ac:dyDescent="0.3">
      <c r="B1571" s="25">
        <v>1576</v>
      </c>
      <c r="C1571" s="33">
        <v>1064</v>
      </c>
      <c r="D1571" s="33" t="s">
        <v>832</v>
      </c>
      <c r="E1571" s="35">
        <v>44631</v>
      </c>
      <c r="F1571" s="33">
        <v>1</v>
      </c>
      <c r="G1571" s="33" t="s">
        <v>231</v>
      </c>
      <c r="H1571" s="33" t="s">
        <v>71</v>
      </c>
      <c r="I1571" s="33" t="s">
        <v>198</v>
      </c>
      <c r="J1571" s="34">
        <v>1538.63</v>
      </c>
      <c r="K1571" s="34"/>
      <c r="L1571" s="34">
        <v>1538.63</v>
      </c>
    </row>
    <row r="1572" spans="2:12" x14ac:dyDescent="0.3">
      <c r="B1572" s="25">
        <v>1577</v>
      </c>
      <c r="C1572" s="33">
        <v>1145</v>
      </c>
      <c r="D1572" s="33" t="s">
        <v>897</v>
      </c>
      <c r="E1572" s="35">
        <v>44634</v>
      </c>
      <c r="F1572" s="33">
        <v>1</v>
      </c>
      <c r="G1572" s="33" t="s">
        <v>124</v>
      </c>
      <c r="H1572" s="33" t="s">
        <v>71</v>
      </c>
      <c r="I1572" s="33" t="s">
        <v>197</v>
      </c>
      <c r="J1572" s="34">
        <v>464.93</v>
      </c>
      <c r="K1572" s="34">
        <v>80</v>
      </c>
      <c r="L1572" s="34">
        <v>384.93</v>
      </c>
    </row>
    <row r="1573" spans="2:12" x14ac:dyDescent="0.3">
      <c r="B1573" s="25">
        <v>1578</v>
      </c>
      <c r="C1573" s="33">
        <v>1209</v>
      </c>
      <c r="D1573" s="33" t="s">
        <v>898</v>
      </c>
      <c r="E1573" s="35">
        <v>44637</v>
      </c>
      <c r="F1573" s="33">
        <v>1</v>
      </c>
      <c r="G1573" s="33" t="s">
        <v>628</v>
      </c>
      <c r="H1573" s="33" t="s">
        <v>71</v>
      </c>
      <c r="I1573" s="33" t="s">
        <v>75</v>
      </c>
      <c r="J1573" s="34">
        <v>435.52</v>
      </c>
      <c r="K1573" s="34">
        <v>80</v>
      </c>
      <c r="L1573" s="34">
        <v>355.52</v>
      </c>
    </row>
    <row r="1574" spans="2:12" x14ac:dyDescent="0.3">
      <c r="B1574" s="25">
        <v>1579</v>
      </c>
      <c r="C1574" s="33">
        <v>1222</v>
      </c>
      <c r="D1574" s="33" t="s">
        <v>386</v>
      </c>
      <c r="E1574" s="35">
        <v>44638</v>
      </c>
      <c r="F1574" s="33">
        <v>1</v>
      </c>
      <c r="G1574" s="33" t="s">
        <v>124</v>
      </c>
      <c r="H1574" s="33" t="s">
        <v>71</v>
      </c>
      <c r="I1574" s="33" t="s">
        <v>197</v>
      </c>
      <c r="J1574" s="34">
        <v>1558.28</v>
      </c>
      <c r="K1574" s="34"/>
      <c r="L1574" s="34">
        <v>1558.28</v>
      </c>
    </row>
    <row r="1575" spans="2:12" x14ac:dyDescent="0.3">
      <c r="B1575" s="25">
        <v>1580</v>
      </c>
      <c r="C1575" s="33">
        <v>1248</v>
      </c>
      <c r="D1575" s="33" t="s">
        <v>362</v>
      </c>
      <c r="E1575" s="35">
        <v>44641</v>
      </c>
      <c r="F1575" s="33">
        <v>1</v>
      </c>
      <c r="G1575" s="33" t="s">
        <v>124</v>
      </c>
      <c r="H1575" s="33" t="s">
        <v>71</v>
      </c>
      <c r="I1575" s="33" t="s">
        <v>197</v>
      </c>
      <c r="J1575" s="34">
        <v>3980.18</v>
      </c>
      <c r="K1575" s="34"/>
      <c r="L1575" s="34">
        <v>3980.18</v>
      </c>
    </row>
    <row r="1576" spans="2:12" x14ac:dyDescent="0.3">
      <c r="B1576" s="25">
        <v>1581</v>
      </c>
      <c r="C1576" s="33">
        <v>1258</v>
      </c>
      <c r="D1576" s="33" t="s">
        <v>426</v>
      </c>
      <c r="E1576" s="35">
        <v>44642</v>
      </c>
      <c r="F1576" s="33">
        <v>1</v>
      </c>
      <c r="G1576" s="33" t="s">
        <v>628</v>
      </c>
      <c r="H1576" s="33" t="s">
        <v>71</v>
      </c>
      <c r="I1576" s="33" t="s">
        <v>75</v>
      </c>
      <c r="J1576" s="34">
        <v>2268.56</v>
      </c>
      <c r="K1576" s="34"/>
      <c r="L1576" s="34">
        <v>2268.56</v>
      </c>
    </row>
    <row r="1577" spans="2:12" x14ac:dyDescent="0.3">
      <c r="B1577" s="25">
        <v>1582</v>
      </c>
      <c r="C1577" s="33">
        <v>1277</v>
      </c>
      <c r="D1577" s="33" t="s">
        <v>362</v>
      </c>
      <c r="E1577" s="35">
        <v>44643</v>
      </c>
      <c r="F1577" s="33">
        <v>1</v>
      </c>
      <c r="G1577" s="33" t="s">
        <v>124</v>
      </c>
      <c r="H1577" s="33" t="s">
        <v>71</v>
      </c>
      <c r="I1577" s="33" t="s">
        <v>197</v>
      </c>
      <c r="J1577" s="34">
        <v>793.21</v>
      </c>
      <c r="K1577" s="34">
        <v>80</v>
      </c>
      <c r="L1577" s="34">
        <v>713.21</v>
      </c>
    </row>
    <row r="1578" spans="2:12" x14ac:dyDescent="0.3">
      <c r="B1578" s="25">
        <v>1583</v>
      </c>
      <c r="C1578" s="33" t="s">
        <v>899</v>
      </c>
      <c r="D1578" s="33" t="s">
        <v>377</v>
      </c>
      <c r="E1578" s="35">
        <v>44645</v>
      </c>
      <c r="F1578" s="33">
        <v>1</v>
      </c>
      <c r="G1578" s="33" t="s">
        <v>124</v>
      </c>
      <c r="H1578" s="33" t="s">
        <v>71</v>
      </c>
      <c r="I1578" s="33" t="s">
        <v>197</v>
      </c>
      <c r="J1578" s="34">
        <v>2371.81</v>
      </c>
      <c r="K1578" s="34"/>
      <c r="L1578" s="34">
        <v>2371.81</v>
      </c>
    </row>
    <row r="1579" spans="2:12" x14ac:dyDescent="0.3">
      <c r="B1579" s="25">
        <v>1584</v>
      </c>
      <c r="C1579" s="33">
        <v>1395</v>
      </c>
      <c r="D1579" s="33" t="s">
        <v>277</v>
      </c>
      <c r="E1579" s="35">
        <v>44645</v>
      </c>
      <c r="F1579" s="33">
        <v>1</v>
      </c>
      <c r="G1579" s="33" t="s">
        <v>124</v>
      </c>
      <c r="H1579" s="33" t="s">
        <v>71</v>
      </c>
      <c r="I1579" s="33" t="s">
        <v>197</v>
      </c>
      <c r="J1579" s="34">
        <v>1416.42</v>
      </c>
      <c r="K1579" s="34"/>
      <c r="L1579" s="34">
        <v>1416.42</v>
      </c>
    </row>
    <row r="1580" spans="2:12" x14ac:dyDescent="0.3">
      <c r="B1580" s="25">
        <v>1585</v>
      </c>
      <c r="C1580" s="33">
        <v>1400</v>
      </c>
      <c r="D1580" s="33" t="s">
        <v>275</v>
      </c>
      <c r="E1580" s="35">
        <v>44645</v>
      </c>
      <c r="F1580" s="33">
        <v>1</v>
      </c>
      <c r="G1580" s="33" t="s">
        <v>124</v>
      </c>
      <c r="H1580" s="33" t="s">
        <v>71</v>
      </c>
      <c r="I1580" s="33" t="s">
        <v>197</v>
      </c>
      <c r="J1580" s="34">
        <v>785.13</v>
      </c>
      <c r="K1580" s="34">
        <v>80</v>
      </c>
      <c r="L1580" s="34">
        <v>705.13</v>
      </c>
    </row>
    <row r="1581" spans="2:12" x14ac:dyDescent="0.3">
      <c r="B1581" s="25">
        <v>1586</v>
      </c>
      <c r="C1581" s="33">
        <v>5964</v>
      </c>
      <c r="D1581" s="33" t="s">
        <v>565</v>
      </c>
      <c r="E1581" s="35">
        <v>44566</v>
      </c>
      <c r="F1581" s="33">
        <v>1</v>
      </c>
      <c r="G1581" s="33" t="s">
        <v>124</v>
      </c>
      <c r="H1581" s="33" t="s">
        <v>201</v>
      </c>
      <c r="I1581" s="33" t="s">
        <v>197</v>
      </c>
      <c r="J1581" s="34">
        <v>1262.06</v>
      </c>
      <c r="K1581" s="34"/>
      <c r="L1581" s="34">
        <v>1262.06</v>
      </c>
    </row>
    <row r="1582" spans="2:12" x14ac:dyDescent="0.3">
      <c r="B1582" s="25">
        <v>1587</v>
      </c>
      <c r="C1582" s="33">
        <v>1726</v>
      </c>
      <c r="D1582" s="33" t="s">
        <v>548</v>
      </c>
      <c r="E1582" s="35">
        <v>44643</v>
      </c>
      <c r="F1582" s="33">
        <v>1</v>
      </c>
      <c r="G1582" s="33" t="s">
        <v>122</v>
      </c>
      <c r="H1582" s="33" t="s">
        <v>201</v>
      </c>
      <c r="I1582" s="33" t="s">
        <v>196</v>
      </c>
      <c r="J1582" s="34">
        <v>3756.5</v>
      </c>
      <c r="K1582" s="34"/>
      <c r="L1582" s="34">
        <v>3756.5</v>
      </c>
    </row>
    <row r="1583" spans="2:12" x14ac:dyDescent="0.3">
      <c r="B1583" s="25">
        <v>1588</v>
      </c>
      <c r="C1583" s="33">
        <v>1727</v>
      </c>
      <c r="D1583" s="33" t="s">
        <v>473</v>
      </c>
      <c r="E1583" s="35">
        <v>44643</v>
      </c>
      <c r="F1583" s="33">
        <v>1</v>
      </c>
      <c r="G1583" s="33" t="s">
        <v>122</v>
      </c>
      <c r="H1583" s="33" t="s">
        <v>201</v>
      </c>
      <c r="I1583" s="33" t="s">
        <v>196</v>
      </c>
      <c r="J1583" s="34">
        <v>618.55999999999995</v>
      </c>
      <c r="K1583" s="34"/>
      <c r="L1583" s="34">
        <v>618.55999999999995</v>
      </c>
    </row>
    <row r="1584" spans="2:12" x14ac:dyDescent="0.3">
      <c r="B1584" s="25">
        <v>1589</v>
      </c>
      <c r="C1584" s="33">
        <v>1728</v>
      </c>
      <c r="D1584" s="33" t="s">
        <v>690</v>
      </c>
      <c r="E1584" s="35">
        <v>44643</v>
      </c>
      <c r="F1584" s="33">
        <v>1</v>
      </c>
      <c r="G1584" s="33" t="s">
        <v>122</v>
      </c>
      <c r="H1584" s="33" t="s">
        <v>201</v>
      </c>
      <c r="I1584" s="33" t="s">
        <v>196</v>
      </c>
      <c r="J1584" s="34">
        <v>1567.19</v>
      </c>
      <c r="K1584" s="34"/>
      <c r="L1584" s="34">
        <v>1567.19</v>
      </c>
    </row>
    <row r="1585" spans="2:12" x14ac:dyDescent="0.3">
      <c r="B1585" s="25">
        <v>1590</v>
      </c>
      <c r="C1585" s="33">
        <v>1913</v>
      </c>
      <c r="D1585" s="33" t="s">
        <v>900</v>
      </c>
      <c r="E1585" s="35">
        <v>44650</v>
      </c>
      <c r="F1585" s="33">
        <v>1</v>
      </c>
      <c r="G1585" s="33" t="s">
        <v>124</v>
      </c>
      <c r="H1585" s="33" t="s">
        <v>201</v>
      </c>
      <c r="I1585" s="33" t="s">
        <v>197</v>
      </c>
      <c r="J1585" s="34">
        <v>11735.35</v>
      </c>
      <c r="K1585" s="34"/>
      <c r="L1585" s="34">
        <v>11735.35</v>
      </c>
    </row>
    <row r="1586" spans="2:12" x14ac:dyDescent="0.3">
      <c r="B1586" s="25">
        <v>1591</v>
      </c>
      <c r="C1586" s="33">
        <v>1912</v>
      </c>
      <c r="D1586" s="33" t="s">
        <v>403</v>
      </c>
      <c r="E1586" s="35">
        <v>44650</v>
      </c>
      <c r="F1586" s="33">
        <v>1</v>
      </c>
      <c r="G1586" s="33" t="s">
        <v>122</v>
      </c>
      <c r="H1586" s="33" t="s">
        <v>201</v>
      </c>
      <c r="I1586" s="33" t="s">
        <v>196</v>
      </c>
      <c r="J1586" s="34">
        <v>743.49</v>
      </c>
      <c r="K1586" s="34"/>
      <c r="L1586" s="34">
        <v>743.49</v>
      </c>
    </row>
    <row r="1587" spans="2:12" x14ac:dyDescent="0.3">
      <c r="B1587" s="25">
        <v>1592</v>
      </c>
      <c r="C1587" s="33">
        <v>1910</v>
      </c>
      <c r="D1587" s="33" t="s">
        <v>584</v>
      </c>
      <c r="E1587" s="35">
        <v>44650</v>
      </c>
      <c r="F1587" s="33">
        <v>1</v>
      </c>
      <c r="G1587" s="33" t="s">
        <v>122</v>
      </c>
      <c r="H1587" s="33" t="s">
        <v>201</v>
      </c>
      <c r="I1587" s="33" t="s">
        <v>196</v>
      </c>
      <c r="J1587" s="34">
        <v>1146</v>
      </c>
      <c r="K1587" s="34"/>
      <c r="L1587" s="34">
        <v>1146</v>
      </c>
    </row>
    <row r="1588" spans="2:12" x14ac:dyDescent="0.3">
      <c r="B1588" s="25">
        <v>1593</v>
      </c>
      <c r="C1588" s="33">
        <v>1909</v>
      </c>
      <c r="D1588" s="33" t="s">
        <v>556</v>
      </c>
      <c r="E1588" s="35">
        <v>44650</v>
      </c>
      <c r="F1588" s="33">
        <v>1</v>
      </c>
      <c r="G1588" s="33" t="s">
        <v>124</v>
      </c>
      <c r="H1588" s="33" t="s">
        <v>201</v>
      </c>
      <c r="I1588" s="33" t="s">
        <v>197</v>
      </c>
      <c r="J1588" s="34">
        <v>2067.06</v>
      </c>
      <c r="K1588" s="34"/>
      <c r="L1588" s="34">
        <v>2067.06</v>
      </c>
    </row>
    <row r="1589" spans="2:12" x14ac:dyDescent="0.3">
      <c r="B1589" s="25">
        <v>1594</v>
      </c>
      <c r="C1589" s="33">
        <v>1908</v>
      </c>
      <c r="D1589" s="33" t="s">
        <v>566</v>
      </c>
      <c r="E1589" s="35">
        <v>44650</v>
      </c>
      <c r="F1589" s="33">
        <v>1</v>
      </c>
      <c r="G1589" s="33" t="s">
        <v>122</v>
      </c>
      <c r="H1589" s="33" t="s">
        <v>201</v>
      </c>
      <c r="I1589" s="33" t="s">
        <v>196</v>
      </c>
      <c r="J1589" s="34">
        <v>2411.4899999999998</v>
      </c>
      <c r="K1589" s="34"/>
      <c r="L1589" s="34">
        <v>2411.4899999999998</v>
      </c>
    </row>
    <row r="1590" spans="2:12" x14ac:dyDescent="0.3">
      <c r="B1590" s="25">
        <v>1595</v>
      </c>
      <c r="C1590" s="33">
        <v>1907</v>
      </c>
      <c r="D1590" s="33" t="s">
        <v>685</v>
      </c>
      <c r="E1590" s="35">
        <v>44650</v>
      </c>
      <c r="F1590" s="33">
        <v>1</v>
      </c>
      <c r="G1590" s="33" t="s">
        <v>124</v>
      </c>
      <c r="H1590" s="33" t="s">
        <v>201</v>
      </c>
      <c r="I1590" s="33" t="s">
        <v>197</v>
      </c>
      <c r="J1590" s="34">
        <v>1140</v>
      </c>
      <c r="K1590" s="34"/>
      <c r="L1590" s="34">
        <v>1140</v>
      </c>
    </row>
    <row r="1591" spans="2:12" x14ac:dyDescent="0.3">
      <c r="B1591" s="25">
        <v>1596</v>
      </c>
      <c r="C1591" s="33">
        <v>1905</v>
      </c>
      <c r="D1591" s="33" t="s">
        <v>635</v>
      </c>
      <c r="E1591" s="35">
        <v>44650</v>
      </c>
      <c r="F1591" s="33">
        <v>1</v>
      </c>
      <c r="G1591" s="33" t="s">
        <v>628</v>
      </c>
      <c r="H1591" s="33" t="s">
        <v>201</v>
      </c>
      <c r="I1591" s="33" t="s">
        <v>75</v>
      </c>
      <c r="J1591" s="34">
        <v>2276.0100000000002</v>
      </c>
      <c r="K1591" s="34"/>
      <c r="L1591" s="34">
        <v>2276.0100000000002</v>
      </c>
    </row>
    <row r="1592" spans="2:12" x14ac:dyDescent="0.3">
      <c r="B1592" s="25">
        <v>1597</v>
      </c>
      <c r="C1592" s="33">
        <v>1904</v>
      </c>
      <c r="D1592" s="33" t="s">
        <v>759</v>
      </c>
      <c r="E1592" s="35">
        <v>44650</v>
      </c>
      <c r="F1592" s="33">
        <v>1</v>
      </c>
      <c r="G1592" s="33" t="s">
        <v>124</v>
      </c>
      <c r="H1592" s="33" t="s">
        <v>201</v>
      </c>
      <c r="I1592" s="33" t="s">
        <v>197</v>
      </c>
      <c r="J1592" s="34">
        <v>1414.2</v>
      </c>
      <c r="K1592" s="34"/>
      <c r="L1592" s="34">
        <v>1414.2</v>
      </c>
    </row>
    <row r="1593" spans="2:12" x14ac:dyDescent="0.3">
      <c r="B1593" s="25">
        <v>1598</v>
      </c>
      <c r="C1593" s="33" t="s">
        <v>901</v>
      </c>
      <c r="D1593" s="33" t="s">
        <v>396</v>
      </c>
      <c r="E1593" s="35">
        <v>44657</v>
      </c>
      <c r="F1593" s="33">
        <v>2</v>
      </c>
      <c r="G1593" s="33" t="s">
        <v>122</v>
      </c>
      <c r="H1593" s="33" t="s">
        <v>201</v>
      </c>
      <c r="I1593" s="33" t="s">
        <v>196</v>
      </c>
      <c r="J1593" s="34">
        <v>3856.6</v>
      </c>
      <c r="K1593" s="34"/>
      <c r="L1593" s="34">
        <v>3856.6</v>
      </c>
    </row>
    <row r="1594" spans="2:12" x14ac:dyDescent="0.3">
      <c r="B1594" s="25">
        <v>1599</v>
      </c>
      <c r="C1594" s="33">
        <v>2099</v>
      </c>
      <c r="D1594" s="33" t="s">
        <v>902</v>
      </c>
      <c r="E1594" s="35">
        <v>44657</v>
      </c>
      <c r="F1594" s="33">
        <v>2</v>
      </c>
      <c r="G1594" s="33" t="s">
        <v>124</v>
      </c>
      <c r="H1594" s="33" t="s">
        <v>201</v>
      </c>
      <c r="I1594" s="33" t="s">
        <v>197</v>
      </c>
      <c r="J1594" s="34">
        <v>6725.4</v>
      </c>
      <c r="K1594" s="34"/>
      <c r="L1594" s="34">
        <v>6725.4</v>
      </c>
    </row>
    <row r="1595" spans="2:12" x14ac:dyDescent="0.3">
      <c r="B1595" s="25">
        <v>1600</v>
      </c>
      <c r="C1595" s="33" t="s">
        <v>903</v>
      </c>
      <c r="D1595" s="33" t="s">
        <v>565</v>
      </c>
      <c r="E1595" s="35">
        <v>44657</v>
      </c>
      <c r="F1595" s="33">
        <v>2</v>
      </c>
      <c r="G1595" s="33" t="s">
        <v>124</v>
      </c>
      <c r="H1595" s="33" t="s">
        <v>201</v>
      </c>
      <c r="I1595" s="33" t="s">
        <v>197</v>
      </c>
      <c r="J1595" s="34">
        <v>2977.7</v>
      </c>
      <c r="K1595" s="34"/>
      <c r="L1595" s="34">
        <v>2977.7</v>
      </c>
    </row>
    <row r="1596" spans="2:12" x14ac:dyDescent="0.3">
      <c r="B1596" s="25">
        <v>1601</v>
      </c>
      <c r="C1596" s="33">
        <v>2104</v>
      </c>
      <c r="D1596" s="33" t="s">
        <v>362</v>
      </c>
      <c r="E1596" s="35">
        <v>44657</v>
      </c>
      <c r="F1596" s="33">
        <v>2</v>
      </c>
      <c r="G1596" s="33" t="s">
        <v>124</v>
      </c>
      <c r="H1596" s="33" t="s">
        <v>201</v>
      </c>
      <c r="I1596" s="33" t="s">
        <v>197</v>
      </c>
      <c r="J1596" s="34">
        <v>1893.56</v>
      </c>
      <c r="K1596" s="34"/>
      <c r="L1596" s="34">
        <v>1893.56</v>
      </c>
    </row>
    <row r="1597" spans="2:12" x14ac:dyDescent="0.3">
      <c r="B1597" s="25">
        <v>1602</v>
      </c>
      <c r="C1597" s="33">
        <v>2127</v>
      </c>
      <c r="D1597" s="33" t="s">
        <v>400</v>
      </c>
      <c r="E1597" s="35">
        <v>44658</v>
      </c>
      <c r="F1597" s="33">
        <v>2</v>
      </c>
      <c r="G1597" s="33" t="s">
        <v>231</v>
      </c>
      <c r="H1597" s="33" t="s">
        <v>201</v>
      </c>
      <c r="I1597" s="33" t="s">
        <v>198</v>
      </c>
      <c r="J1597" s="34">
        <v>2889.26</v>
      </c>
      <c r="K1597" s="34"/>
      <c r="L1597" s="34">
        <v>2889.26</v>
      </c>
    </row>
    <row r="1598" spans="2:12" x14ac:dyDescent="0.3">
      <c r="B1598" s="25">
        <v>1603</v>
      </c>
      <c r="C1598" s="33">
        <v>33190</v>
      </c>
      <c r="D1598" s="33" t="s">
        <v>596</v>
      </c>
      <c r="E1598" s="35">
        <v>44644</v>
      </c>
      <c r="F1598" s="33">
        <v>1</v>
      </c>
      <c r="G1598" s="33" t="s">
        <v>122</v>
      </c>
      <c r="H1598" s="33" t="s">
        <v>72</v>
      </c>
      <c r="I1598" s="33" t="s">
        <v>196</v>
      </c>
      <c r="J1598" s="34">
        <v>3951.6</v>
      </c>
      <c r="K1598" s="34"/>
      <c r="L1598" s="34">
        <v>3951.6</v>
      </c>
    </row>
    <row r="1599" spans="2:12" x14ac:dyDescent="0.3">
      <c r="B1599" s="25">
        <v>1604</v>
      </c>
      <c r="C1599" s="33">
        <v>33228</v>
      </c>
      <c r="D1599" s="33" t="s">
        <v>394</v>
      </c>
      <c r="E1599" s="35">
        <v>44651</v>
      </c>
      <c r="F1599" s="33">
        <v>1</v>
      </c>
      <c r="G1599" s="33" t="s">
        <v>122</v>
      </c>
      <c r="H1599" s="33" t="s">
        <v>72</v>
      </c>
      <c r="I1599" s="33" t="s">
        <v>196</v>
      </c>
      <c r="J1599" s="34">
        <v>1848.6</v>
      </c>
      <c r="K1599" s="34"/>
      <c r="L1599" s="34">
        <v>1848.6</v>
      </c>
    </row>
    <row r="1600" spans="2:12" x14ac:dyDescent="0.3">
      <c r="B1600" s="25">
        <v>1605</v>
      </c>
      <c r="C1600" s="33">
        <v>33229</v>
      </c>
      <c r="D1600" s="33" t="s">
        <v>394</v>
      </c>
      <c r="E1600" s="35">
        <v>44651</v>
      </c>
      <c r="F1600" s="33">
        <v>1</v>
      </c>
      <c r="G1600" s="33" t="s">
        <v>122</v>
      </c>
      <c r="H1600" s="33" t="s">
        <v>72</v>
      </c>
      <c r="I1600" s="33" t="s">
        <v>196</v>
      </c>
      <c r="J1600" s="34">
        <v>924.3</v>
      </c>
      <c r="K1600" s="34"/>
      <c r="L1600" s="34">
        <v>924.3</v>
      </c>
    </row>
    <row r="1601" spans="2:12" x14ac:dyDescent="0.3">
      <c r="B1601" s="25">
        <v>1606</v>
      </c>
      <c r="C1601" s="33">
        <v>33231</v>
      </c>
      <c r="D1601" s="33" t="s">
        <v>461</v>
      </c>
      <c r="E1601" s="35">
        <v>44651</v>
      </c>
      <c r="F1601" s="33">
        <v>1</v>
      </c>
      <c r="G1601" s="33" t="s">
        <v>122</v>
      </c>
      <c r="H1601" s="33" t="s">
        <v>72</v>
      </c>
      <c r="I1601" s="33" t="s">
        <v>196</v>
      </c>
      <c r="J1601" s="34">
        <v>7114.8</v>
      </c>
      <c r="K1601" s="34"/>
      <c r="L1601" s="34">
        <v>7114.8</v>
      </c>
    </row>
    <row r="1602" spans="2:12" x14ac:dyDescent="0.3">
      <c r="B1602" s="25">
        <v>1607</v>
      </c>
      <c r="C1602" s="33">
        <v>33261</v>
      </c>
      <c r="D1602" s="33" t="s">
        <v>532</v>
      </c>
      <c r="E1602" s="35">
        <v>44655</v>
      </c>
      <c r="F1602" s="33">
        <v>2</v>
      </c>
      <c r="G1602" s="33" t="s">
        <v>122</v>
      </c>
      <c r="H1602" s="33" t="s">
        <v>72</v>
      </c>
      <c r="I1602" s="33" t="s">
        <v>196</v>
      </c>
      <c r="J1602" s="34">
        <v>800</v>
      </c>
      <c r="K1602" s="34"/>
      <c r="L1602" s="34">
        <v>800</v>
      </c>
    </row>
    <row r="1603" spans="2:12" x14ac:dyDescent="0.3">
      <c r="B1603" s="25">
        <v>1608</v>
      </c>
      <c r="C1603" s="33">
        <v>33269</v>
      </c>
      <c r="D1603" s="33" t="s">
        <v>904</v>
      </c>
      <c r="E1603" s="35">
        <v>44662</v>
      </c>
      <c r="F1603" s="33">
        <v>2</v>
      </c>
      <c r="G1603" s="33" t="s">
        <v>231</v>
      </c>
      <c r="H1603" s="33" t="s">
        <v>72</v>
      </c>
      <c r="I1603" s="33" t="s">
        <v>198</v>
      </c>
      <c r="J1603" s="34">
        <v>23271</v>
      </c>
      <c r="K1603" s="34"/>
      <c r="L1603" s="34">
        <v>23271</v>
      </c>
    </row>
    <row r="1604" spans="2:12" x14ac:dyDescent="0.3">
      <c r="B1604" s="25">
        <v>1609</v>
      </c>
      <c r="C1604" s="33">
        <v>33294</v>
      </c>
      <c r="D1604" s="33" t="s">
        <v>394</v>
      </c>
      <c r="E1604" s="35">
        <v>44662</v>
      </c>
      <c r="F1604" s="33">
        <v>2</v>
      </c>
      <c r="G1604" s="33" t="s">
        <v>122</v>
      </c>
      <c r="H1604" s="33" t="s">
        <v>72</v>
      </c>
      <c r="I1604" s="33" t="s">
        <v>196</v>
      </c>
      <c r="J1604" s="34">
        <v>10630</v>
      </c>
      <c r="K1604" s="34"/>
      <c r="L1604" s="34">
        <v>10630</v>
      </c>
    </row>
    <row r="1605" spans="2:12" x14ac:dyDescent="0.3">
      <c r="B1605" s="25">
        <v>1610</v>
      </c>
      <c r="C1605" s="33">
        <v>33295</v>
      </c>
      <c r="D1605" s="33" t="s">
        <v>394</v>
      </c>
      <c r="E1605" s="35">
        <v>44662</v>
      </c>
      <c r="F1605" s="33">
        <v>2</v>
      </c>
      <c r="G1605" s="33" t="s">
        <v>122</v>
      </c>
      <c r="H1605" s="33" t="s">
        <v>72</v>
      </c>
      <c r="I1605" s="33" t="s">
        <v>196</v>
      </c>
      <c r="J1605" s="34">
        <v>4144.5</v>
      </c>
      <c r="K1605" s="34"/>
      <c r="L1605" s="34">
        <v>4144.5</v>
      </c>
    </row>
    <row r="1606" spans="2:12" x14ac:dyDescent="0.3">
      <c r="B1606" s="25">
        <v>1611</v>
      </c>
      <c r="C1606" s="33">
        <v>33298</v>
      </c>
      <c r="D1606" s="33" t="s">
        <v>450</v>
      </c>
      <c r="E1606" s="35">
        <v>44662</v>
      </c>
      <c r="F1606" s="33">
        <v>2</v>
      </c>
      <c r="G1606" s="33" t="s">
        <v>122</v>
      </c>
      <c r="H1606" s="33" t="s">
        <v>72</v>
      </c>
      <c r="I1606" s="33" t="s">
        <v>196</v>
      </c>
      <c r="J1606" s="34">
        <v>3686.1</v>
      </c>
      <c r="K1606" s="34"/>
      <c r="L1606" s="34">
        <v>3686.1</v>
      </c>
    </row>
    <row r="1607" spans="2:12" x14ac:dyDescent="0.3">
      <c r="B1607" s="25">
        <v>1612</v>
      </c>
      <c r="C1607" s="33" t="s">
        <v>905</v>
      </c>
      <c r="D1607" s="33" t="s">
        <v>474</v>
      </c>
      <c r="E1607" s="35">
        <v>44582</v>
      </c>
      <c r="F1607" s="33">
        <v>1</v>
      </c>
      <c r="G1607" s="33" t="s">
        <v>628</v>
      </c>
      <c r="H1607" s="33" t="s">
        <v>70</v>
      </c>
      <c r="I1607" s="33" t="s">
        <v>75</v>
      </c>
      <c r="J1607" s="34">
        <v>851</v>
      </c>
      <c r="K1607" s="34">
        <v>95</v>
      </c>
      <c r="L1607" s="34">
        <v>756</v>
      </c>
    </row>
    <row r="1608" spans="2:12" x14ac:dyDescent="0.3">
      <c r="B1608" s="25">
        <v>1613</v>
      </c>
      <c r="C1608" s="33" t="s">
        <v>906</v>
      </c>
      <c r="D1608" s="33" t="s">
        <v>477</v>
      </c>
      <c r="E1608" s="35">
        <v>44582</v>
      </c>
      <c r="F1608" s="33">
        <v>1</v>
      </c>
      <c r="G1608" s="33" t="s">
        <v>628</v>
      </c>
      <c r="H1608" s="33" t="s">
        <v>70</v>
      </c>
      <c r="I1608" s="33" t="s">
        <v>75</v>
      </c>
      <c r="J1608" s="34">
        <v>6505</v>
      </c>
      <c r="K1608" s="34">
        <v>20</v>
      </c>
      <c r="L1608" s="34">
        <v>6485</v>
      </c>
    </row>
    <row r="1609" spans="2:12" x14ac:dyDescent="0.3">
      <c r="B1609" s="25">
        <v>1614</v>
      </c>
      <c r="C1609" s="33" t="s">
        <v>907</v>
      </c>
      <c r="D1609" s="33" t="s">
        <v>493</v>
      </c>
      <c r="E1609" s="35">
        <v>44583</v>
      </c>
      <c r="F1609" s="33">
        <v>1</v>
      </c>
      <c r="G1609" s="33" t="s">
        <v>122</v>
      </c>
      <c r="H1609" s="33" t="s">
        <v>70</v>
      </c>
      <c r="I1609" s="33" t="s">
        <v>196</v>
      </c>
      <c r="J1609" s="34">
        <v>1866</v>
      </c>
      <c r="K1609" s="34">
        <v>75</v>
      </c>
      <c r="L1609" s="34">
        <v>1791</v>
      </c>
    </row>
    <row r="1610" spans="2:12" x14ac:dyDescent="0.3">
      <c r="B1610" s="25">
        <v>1615</v>
      </c>
      <c r="C1610" s="33" t="s">
        <v>908</v>
      </c>
      <c r="D1610" s="33" t="s">
        <v>909</v>
      </c>
      <c r="E1610" s="35">
        <v>44583</v>
      </c>
      <c r="F1610" s="33">
        <v>1</v>
      </c>
      <c r="G1610" s="33" t="s">
        <v>122</v>
      </c>
      <c r="H1610" s="33" t="s">
        <v>70</v>
      </c>
      <c r="I1610" s="33" t="s">
        <v>196</v>
      </c>
      <c r="J1610" s="34">
        <v>470</v>
      </c>
      <c r="K1610" s="34">
        <v>80</v>
      </c>
      <c r="L1610" s="34">
        <v>390</v>
      </c>
    </row>
    <row r="1611" spans="2:12" x14ac:dyDescent="0.3">
      <c r="B1611" s="25">
        <v>1616</v>
      </c>
      <c r="C1611" s="33" t="s">
        <v>910</v>
      </c>
      <c r="D1611" s="33" t="s">
        <v>477</v>
      </c>
      <c r="E1611" s="35">
        <v>44614</v>
      </c>
      <c r="F1611" s="33">
        <v>1</v>
      </c>
      <c r="G1611" s="33" t="s">
        <v>628</v>
      </c>
      <c r="H1611" s="33" t="s">
        <v>70</v>
      </c>
      <c r="I1611" s="33" t="s">
        <v>75</v>
      </c>
      <c r="J1611" s="34">
        <v>980.96</v>
      </c>
      <c r="K1611" s="34">
        <v>95</v>
      </c>
      <c r="L1611" s="34">
        <v>885.96</v>
      </c>
    </row>
    <row r="1612" spans="2:12" x14ac:dyDescent="0.3">
      <c r="B1612" s="25">
        <v>1617</v>
      </c>
      <c r="C1612" s="33" t="s">
        <v>911</v>
      </c>
      <c r="D1612" s="33" t="s">
        <v>401</v>
      </c>
      <c r="E1612" s="35">
        <v>44651</v>
      </c>
      <c r="F1612" s="33">
        <v>1</v>
      </c>
      <c r="G1612" s="33" t="s">
        <v>231</v>
      </c>
      <c r="H1612" s="33" t="s">
        <v>70</v>
      </c>
      <c r="I1612" s="33" t="s">
        <v>198</v>
      </c>
      <c r="J1612" s="34">
        <v>614.6</v>
      </c>
      <c r="K1612" s="34">
        <v>80</v>
      </c>
      <c r="L1612" s="34">
        <v>534.6</v>
      </c>
    </row>
    <row r="1613" spans="2:12" x14ac:dyDescent="0.3">
      <c r="B1613" s="25">
        <v>1618</v>
      </c>
      <c r="C1613" s="33">
        <v>33299</v>
      </c>
      <c r="D1613" s="33" t="s">
        <v>912</v>
      </c>
      <c r="E1613" s="35">
        <v>44662</v>
      </c>
      <c r="F1613" s="33">
        <v>2</v>
      </c>
      <c r="G1613" s="33" t="s">
        <v>122</v>
      </c>
      <c r="H1613" s="33" t="s">
        <v>72</v>
      </c>
      <c r="I1613" s="33" t="s">
        <v>196</v>
      </c>
      <c r="J1613" s="34">
        <v>823</v>
      </c>
      <c r="K1613" s="34"/>
      <c r="L1613" s="34">
        <v>823</v>
      </c>
    </row>
    <row r="1614" spans="2:12" x14ac:dyDescent="0.3">
      <c r="B1614" s="25">
        <v>1619</v>
      </c>
      <c r="C1614" s="33" t="s">
        <v>913</v>
      </c>
      <c r="D1614" s="33" t="s">
        <v>914</v>
      </c>
      <c r="E1614" s="35">
        <v>44606</v>
      </c>
      <c r="F1614" s="33">
        <v>1</v>
      </c>
      <c r="G1614" s="33" t="s">
        <v>231</v>
      </c>
      <c r="H1614" s="33" t="s">
        <v>69</v>
      </c>
      <c r="I1614" s="33" t="s">
        <v>198</v>
      </c>
      <c r="J1614" s="34">
        <v>4299.34</v>
      </c>
      <c r="K1614" s="34"/>
      <c r="L1614" s="34">
        <v>4299.34</v>
      </c>
    </row>
    <row r="1615" spans="2:12" x14ac:dyDescent="0.3">
      <c r="B1615" s="25">
        <v>1620</v>
      </c>
      <c r="C1615" s="33" t="s">
        <v>915</v>
      </c>
      <c r="D1615" s="33" t="s">
        <v>916</v>
      </c>
      <c r="E1615" s="35">
        <v>44606</v>
      </c>
      <c r="F1615" s="33">
        <v>1</v>
      </c>
      <c r="G1615" s="33" t="s">
        <v>231</v>
      </c>
      <c r="H1615" s="33" t="s">
        <v>201</v>
      </c>
      <c r="I1615" s="33" t="s">
        <v>198</v>
      </c>
      <c r="J1615" s="34">
        <v>14001.2</v>
      </c>
      <c r="K1615" s="34"/>
      <c r="L1615" s="34">
        <v>14001.2</v>
      </c>
    </row>
    <row r="1616" spans="2:12" x14ac:dyDescent="0.3">
      <c r="B1616" s="25">
        <v>1621</v>
      </c>
      <c r="C1616" s="33" t="s">
        <v>917</v>
      </c>
      <c r="D1616" s="33" t="s">
        <v>918</v>
      </c>
      <c r="E1616" s="35">
        <v>44606</v>
      </c>
      <c r="F1616" s="33">
        <v>1</v>
      </c>
      <c r="G1616" s="33" t="s">
        <v>231</v>
      </c>
      <c r="H1616" s="33" t="s">
        <v>629</v>
      </c>
      <c r="I1616" s="33" t="s">
        <v>198</v>
      </c>
      <c r="J1616" s="34">
        <v>1400</v>
      </c>
      <c r="K1616" s="34"/>
      <c r="L1616" s="34">
        <v>1400</v>
      </c>
    </row>
    <row r="1617" spans="2:12" x14ac:dyDescent="0.3">
      <c r="B1617" s="25">
        <v>1622</v>
      </c>
      <c r="C1617" s="33" t="s">
        <v>919</v>
      </c>
      <c r="D1617" s="33" t="s">
        <v>916</v>
      </c>
      <c r="E1617" s="35">
        <v>44594</v>
      </c>
      <c r="F1617" s="33">
        <v>1</v>
      </c>
      <c r="G1617" s="33" t="s">
        <v>122</v>
      </c>
      <c r="H1617" s="33" t="s">
        <v>201</v>
      </c>
      <c r="I1617" s="33" t="s">
        <v>196</v>
      </c>
      <c r="J1617" s="34">
        <v>5508.3</v>
      </c>
      <c r="K1617" s="34"/>
      <c r="L1617" s="34">
        <v>5508.3</v>
      </c>
    </row>
    <row r="1618" spans="2:12" x14ac:dyDescent="0.3">
      <c r="B1618" s="25">
        <v>1623</v>
      </c>
      <c r="C1618" s="33" t="s">
        <v>920</v>
      </c>
      <c r="D1618" s="33" t="s">
        <v>918</v>
      </c>
      <c r="E1618" s="35">
        <v>44564</v>
      </c>
      <c r="F1618" s="33">
        <v>1</v>
      </c>
      <c r="G1618" s="33" t="s">
        <v>122</v>
      </c>
      <c r="H1618" s="33" t="s">
        <v>629</v>
      </c>
      <c r="I1618" s="33" t="s">
        <v>196</v>
      </c>
      <c r="J1618" s="34">
        <v>1400</v>
      </c>
      <c r="K1618" s="34"/>
      <c r="L1618" s="34">
        <v>1400</v>
      </c>
    </row>
    <row r="1619" spans="2:12" x14ac:dyDescent="0.3">
      <c r="B1619" s="25">
        <v>1624</v>
      </c>
      <c r="C1619" s="33">
        <v>1998</v>
      </c>
      <c r="D1619" s="33" t="s">
        <v>914</v>
      </c>
      <c r="E1619" s="35">
        <v>44608</v>
      </c>
      <c r="F1619" s="33">
        <v>1</v>
      </c>
      <c r="G1619" s="33" t="s">
        <v>122</v>
      </c>
      <c r="H1619" s="33" t="s">
        <v>69</v>
      </c>
      <c r="I1619" s="33" t="s">
        <v>196</v>
      </c>
      <c r="J1619" s="34">
        <v>3218.6</v>
      </c>
      <c r="K1619" s="34"/>
      <c r="L1619" s="34">
        <v>3218.6</v>
      </c>
    </row>
    <row r="1620" spans="2:12" x14ac:dyDescent="0.3">
      <c r="B1620" s="25">
        <v>1625</v>
      </c>
      <c r="C1620" s="33">
        <v>381498</v>
      </c>
      <c r="D1620" s="33" t="s">
        <v>921</v>
      </c>
      <c r="E1620" s="35">
        <v>44620</v>
      </c>
      <c r="F1620" s="33">
        <v>1</v>
      </c>
      <c r="G1620" s="33" t="s">
        <v>122</v>
      </c>
      <c r="H1620" s="33" t="s">
        <v>200</v>
      </c>
      <c r="I1620" s="33" t="s">
        <v>196</v>
      </c>
      <c r="J1620" s="34">
        <v>1215.32</v>
      </c>
      <c r="K1620" s="34"/>
      <c r="L1620" s="34">
        <v>1215.32</v>
      </c>
    </row>
    <row r="1621" spans="2:12" x14ac:dyDescent="0.3">
      <c r="B1621" s="25">
        <v>1626</v>
      </c>
      <c r="C1621" s="33" t="s">
        <v>922</v>
      </c>
      <c r="D1621" s="33" t="s">
        <v>921</v>
      </c>
      <c r="E1621" s="35">
        <v>44609</v>
      </c>
      <c r="F1621" s="33">
        <v>1</v>
      </c>
      <c r="G1621" s="33" t="s">
        <v>231</v>
      </c>
      <c r="H1621" s="33" t="s">
        <v>200</v>
      </c>
      <c r="I1621" s="33" t="s">
        <v>198</v>
      </c>
      <c r="J1621" s="34">
        <v>1767.74</v>
      </c>
      <c r="K1621" s="34"/>
      <c r="L1621" s="34">
        <v>1767.74</v>
      </c>
    </row>
    <row r="1622" spans="2:12" x14ac:dyDescent="0.3">
      <c r="B1622" s="25">
        <v>1627</v>
      </c>
      <c r="C1622" s="33" t="s">
        <v>923</v>
      </c>
      <c r="D1622" s="33" t="s">
        <v>924</v>
      </c>
      <c r="E1622" s="35">
        <v>44620</v>
      </c>
      <c r="F1622" s="33">
        <v>1</v>
      </c>
      <c r="G1622" s="33" t="s">
        <v>628</v>
      </c>
      <c r="H1622" s="33" t="s">
        <v>200</v>
      </c>
      <c r="I1622" s="33" t="s">
        <v>75</v>
      </c>
      <c r="J1622" s="34">
        <v>310.25</v>
      </c>
      <c r="K1622" s="34"/>
      <c r="L1622" s="34">
        <v>310.25</v>
      </c>
    </row>
    <row r="1623" spans="2:12" x14ac:dyDescent="0.3">
      <c r="B1623" s="25">
        <v>1628</v>
      </c>
      <c r="C1623" s="33">
        <v>381527</v>
      </c>
      <c r="D1623" s="33" t="s">
        <v>924</v>
      </c>
      <c r="E1623" s="35">
        <v>44622</v>
      </c>
      <c r="F1623" s="33">
        <v>1</v>
      </c>
      <c r="G1623" s="33" t="s">
        <v>122</v>
      </c>
      <c r="H1623" s="33" t="s">
        <v>200</v>
      </c>
      <c r="I1623" s="33" t="s">
        <v>196</v>
      </c>
      <c r="J1623" s="34">
        <v>170.64</v>
      </c>
      <c r="K1623" s="34"/>
      <c r="L1623" s="34">
        <v>170.64</v>
      </c>
    </row>
    <row r="1624" spans="2:12" x14ac:dyDescent="0.3">
      <c r="B1624" s="25">
        <v>1629</v>
      </c>
      <c r="C1624" s="33" t="s">
        <v>925</v>
      </c>
      <c r="D1624" s="33" t="s">
        <v>921</v>
      </c>
      <c r="E1624" s="35">
        <v>44651</v>
      </c>
      <c r="F1624" s="33">
        <v>1</v>
      </c>
      <c r="G1624" s="33" t="s">
        <v>231</v>
      </c>
      <c r="H1624" s="33" t="s">
        <v>200</v>
      </c>
      <c r="I1624" s="33" t="s">
        <v>198</v>
      </c>
      <c r="J1624" s="34">
        <v>1325.8</v>
      </c>
      <c r="K1624" s="34"/>
      <c r="L1624" s="34">
        <v>1325.8</v>
      </c>
    </row>
    <row r="1625" spans="2:12" x14ac:dyDescent="0.3">
      <c r="B1625" s="25">
        <v>1630</v>
      </c>
      <c r="C1625" s="33">
        <v>381884</v>
      </c>
      <c r="D1625" s="33" t="s">
        <v>921</v>
      </c>
      <c r="E1625" s="35">
        <v>44651</v>
      </c>
      <c r="F1625" s="33">
        <v>1</v>
      </c>
      <c r="G1625" s="33" t="s">
        <v>122</v>
      </c>
      <c r="H1625" s="33" t="s">
        <v>200</v>
      </c>
      <c r="I1625" s="33" t="s">
        <v>196</v>
      </c>
      <c r="J1625" s="34">
        <v>911.5</v>
      </c>
      <c r="K1625" s="34"/>
      <c r="L1625" s="34">
        <v>911.5</v>
      </c>
    </row>
    <row r="1626" spans="2:12" x14ac:dyDescent="0.3">
      <c r="B1626" s="25">
        <v>1631</v>
      </c>
      <c r="C1626" s="33">
        <v>4549</v>
      </c>
      <c r="D1626" s="33" t="s">
        <v>394</v>
      </c>
      <c r="E1626" s="35">
        <v>44644</v>
      </c>
      <c r="F1626" s="33">
        <v>1</v>
      </c>
      <c r="G1626" s="33" t="s">
        <v>122</v>
      </c>
      <c r="H1626" s="33" t="s">
        <v>72</v>
      </c>
      <c r="I1626" s="33" t="s">
        <v>196</v>
      </c>
      <c r="J1626" s="34">
        <v>4713.5</v>
      </c>
      <c r="K1626" s="34"/>
      <c r="L1626" s="34">
        <v>4713.5</v>
      </c>
    </row>
    <row r="1627" spans="2:12" x14ac:dyDescent="0.3">
      <c r="B1627" s="25">
        <v>1632</v>
      </c>
      <c r="C1627" s="33" t="s">
        <v>926</v>
      </c>
      <c r="D1627" s="33" t="s">
        <v>613</v>
      </c>
      <c r="E1627" s="35">
        <v>44651</v>
      </c>
      <c r="F1627" s="33">
        <v>1</v>
      </c>
      <c r="G1627" s="33" t="s">
        <v>124</v>
      </c>
      <c r="H1627" s="33" t="s">
        <v>70</v>
      </c>
      <c r="I1627" s="33" t="s">
        <v>197</v>
      </c>
      <c r="J1627" s="34">
        <v>1773</v>
      </c>
      <c r="K1627" s="34">
        <v>90</v>
      </c>
      <c r="L1627" s="34">
        <v>1683</v>
      </c>
    </row>
    <row r="1628" spans="2:12" x14ac:dyDescent="0.3">
      <c r="B1628" s="25">
        <v>1633</v>
      </c>
      <c r="C1628" s="33" t="s">
        <v>927</v>
      </c>
      <c r="D1628" s="33" t="s">
        <v>404</v>
      </c>
      <c r="E1628" s="35">
        <v>44637</v>
      </c>
      <c r="F1628" s="33">
        <v>1</v>
      </c>
      <c r="G1628" s="33" t="s">
        <v>122</v>
      </c>
      <c r="H1628" s="33" t="s">
        <v>69</v>
      </c>
      <c r="I1628" s="33" t="s">
        <v>196</v>
      </c>
      <c r="J1628" s="34">
        <v>591.5</v>
      </c>
      <c r="K1628" s="34"/>
      <c r="L1628" s="34">
        <v>591.5</v>
      </c>
    </row>
    <row r="1629" spans="2:12" x14ac:dyDescent="0.3">
      <c r="B1629" s="25">
        <v>1634</v>
      </c>
      <c r="C1629" s="33">
        <v>51266</v>
      </c>
      <c r="D1629" s="33" t="s">
        <v>928</v>
      </c>
      <c r="E1629" s="35">
        <v>44637</v>
      </c>
      <c r="F1629" s="33">
        <v>1</v>
      </c>
      <c r="G1629" s="33" t="s">
        <v>122</v>
      </c>
      <c r="H1629" s="33" t="s">
        <v>69</v>
      </c>
      <c r="I1629" s="33" t="s">
        <v>196</v>
      </c>
      <c r="J1629" s="34">
        <v>1496</v>
      </c>
      <c r="K1629" s="34"/>
      <c r="L1629" s="34">
        <v>1496</v>
      </c>
    </row>
    <row r="1630" spans="2:12" x14ac:dyDescent="0.3">
      <c r="B1630" s="25">
        <v>1635</v>
      </c>
      <c r="C1630" s="33">
        <v>51290</v>
      </c>
      <c r="D1630" s="33" t="s">
        <v>929</v>
      </c>
      <c r="E1630" s="35">
        <v>44638</v>
      </c>
      <c r="F1630" s="33">
        <v>1</v>
      </c>
      <c r="G1630" s="33" t="s">
        <v>231</v>
      </c>
      <c r="H1630" s="33" t="s">
        <v>69</v>
      </c>
      <c r="I1630" s="33" t="s">
        <v>198</v>
      </c>
      <c r="J1630" s="34">
        <v>1222.6400000000001</v>
      </c>
      <c r="K1630" s="34"/>
      <c r="L1630" s="34">
        <v>1222.6400000000001</v>
      </c>
    </row>
    <row r="1631" spans="2:12" x14ac:dyDescent="0.3">
      <c r="B1631" s="25">
        <v>1636</v>
      </c>
      <c r="C1631" s="33" t="s">
        <v>930</v>
      </c>
      <c r="D1631" s="33" t="s">
        <v>400</v>
      </c>
      <c r="E1631" s="35">
        <v>44638</v>
      </c>
      <c r="F1631" s="33">
        <v>1</v>
      </c>
      <c r="G1631" s="33" t="s">
        <v>231</v>
      </c>
      <c r="H1631" s="33" t="s">
        <v>69</v>
      </c>
      <c r="I1631" s="33" t="s">
        <v>198</v>
      </c>
      <c r="J1631" s="34">
        <v>1820.2</v>
      </c>
      <c r="K1631" s="34"/>
      <c r="L1631" s="34">
        <v>1820.2</v>
      </c>
    </row>
    <row r="1632" spans="2:12" x14ac:dyDescent="0.3">
      <c r="B1632" s="25">
        <v>1637</v>
      </c>
      <c r="C1632" s="33">
        <v>51292</v>
      </c>
      <c r="D1632" s="33" t="s">
        <v>400</v>
      </c>
      <c r="E1632" s="35">
        <v>44638</v>
      </c>
      <c r="F1632" s="33">
        <v>1</v>
      </c>
      <c r="G1632" s="33" t="s">
        <v>231</v>
      </c>
      <c r="H1632" s="33" t="s">
        <v>69</v>
      </c>
      <c r="I1632" s="33" t="s">
        <v>198</v>
      </c>
      <c r="J1632" s="34">
        <v>1524.8</v>
      </c>
      <c r="K1632" s="34"/>
      <c r="L1632" s="34">
        <v>1524.8</v>
      </c>
    </row>
    <row r="1633" spans="2:12" x14ac:dyDescent="0.3">
      <c r="B1633" s="25">
        <v>1638</v>
      </c>
      <c r="C1633" s="33">
        <v>51293</v>
      </c>
      <c r="D1633" s="33" t="s">
        <v>400</v>
      </c>
      <c r="E1633" s="35">
        <v>44638</v>
      </c>
      <c r="F1633" s="33">
        <v>1</v>
      </c>
      <c r="G1633" s="33" t="s">
        <v>231</v>
      </c>
      <c r="H1633" s="33" t="s">
        <v>69</v>
      </c>
      <c r="I1633" s="33" t="s">
        <v>198</v>
      </c>
      <c r="J1633" s="34">
        <v>2148.85</v>
      </c>
      <c r="K1633" s="34"/>
      <c r="L1633" s="34">
        <v>2148.85</v>
      </c>
    </row>
    <row r="1634" spans="2:12" x14ac:dyDescent="0.3">
      <c r="B1634" s="25">
        <v>1639</v>
      </c>
      <c r="C1634" s="33">
        <v>51294</v>
      </c>
      <c r="D1634" s="33" t="s">
        <v>400</v>
      </c>
      <c r="E1634" s="35">
        <v>44638</v>
      </c>
      <c r="F1634" s="33">
        <v>1</v>
      </c>
      <c r="G1634" s="33" t="s">
        <v>231</v>
      </c>
      <c r="H1634" s="33" t="s">
        <v>69</v>
      </c>
      <c r="I1634" s="33" t="s">
        <v>198</v>
      </c>
      <c r="J1634" s="34">
        <v>544.15</v>
      </c>
      <c r="K1634" s="34"/>
      <c r="L1634" s="34">
        <v>544.15</v>
      </c>
    </row>
    <row r="1635" spans="2:12" x14ac:dyDescent="0.3">
      <c r="B1635" s="25">
        <v>1640</v>
      </c>
      <c r="C1635" s="33">
        <v>51295</v>
      </c>
      <c r="D1635" s="33" t="s">
        <v>400</v>
      </c>
      <c r="E1635" s="35">
        <v>44638</v>
      </c>
      <c r="F1635" s="33">
        <v>1</v>
      </c>
      <c r="G1635" s="33" t="s">
        <v>231</v>
      </c>
      <c r="H1635" s="33" t="s">
        <v>69</v>
      </c>
      <c r="I1635" s="33" t="s">
        <v>198</v>
      </c>
      <c r="J1635" s="34">
        <v>138.71</v>
      </c>
      <c r="K1635" s="34"/>
      <c r="L1635" s="34">
        <v>138.71</v>
      </c>
    </row>
    <row r="1636" spans="2:12" x14ac:dyDescent="0.3">
      <c r="B1636" s="25">
        <v>1641</v>
      </c>
      <c r="C1636" s="33">
        <v>51296</v>
      </c>
      <c r="D1636" s="33" t="s">
        <v>400</v>
      </c>
      <c r="E1636" s="35">
        <v>44638</v>
      </c>
      <c r="F1636" s="33">
        <v>1</v>
      </c>
      <c r="G1636" s="33" t="s">
        <v>231</v>
      </c>
      <c r="H1636" s="33" t="s">
        <v>69</v>
      </c>
      <c r="I1636" s="33" t="s">
        <v>198</v>
      </c>
      <c r="J1636" s="34">
        <v>91.16</v>
      </c>
      <c r="K1636" s="34"/>
      <c r="L1636" s="34">
        <v>91.16</v>
      </c>
    </row>
    <row r="1637" spans="2:12" x14ac:dyDescent="0.3">
      <c r="B1637" s="25">
        <v>1642</v>
      </c>
      <c r="C1637" s="33">
        <v>51297</v>
      </c>
      <c r="D1637" s="33" t="s">
        <v>400</v>
      </c>
      <c r="E1637" s="35">
        <v>44638</v>
      </c>
      <c r="F1637" s="33">
        <v>1</v>
      </c>
      <c r="G1637" s="33" t="s">
        <v>231</v>
      </c>
      <c r="H1637" s="33" t="s">
        <v>69</v>
      </c>
      <c r="I1637" s="33" t="s">
        <v>198</v>
      </c>
      <c r="J1637" s="34">
        <v>40.74</v>
      </c>
      <c r="K1637" s="34"/>
      <c r="L1637" s="34">
        <v>40.74</v>
      </c>
    </row>
    <row r="1638" spans="2:12" x14ac:dyDescent="0.3">
      <c r="B1638" s="25">
        <v>1643</v>
      </c>
      <c r="C1638" s="33" t="s">
        <v>931</v>
      </c>
      <c r="D1638" s="33" t="s">
        <v>283</v>
      </c>
      <c r="E1638" s="35">
        <v>44643</v>
      </c>
      <c r="F1638" s="33">
        <v>1</v>
      </c>
      <c r="G1638" s="33" t="s">
        <v>124</v>
      </c>
      <c r="H1638" s="33" t="s">
        <v>69</v>
      </c>
      <c r="I1638" s="33" t="s">
        <v>197</v>
      </c>
      <c r="J1638" s="34">
        <v>4524.59</v>
      </c>
      <c r="K1638" s="34"/>
      <c r="L1638" s="34">
        <v>4524.59</v>
      </c>
    </row>
    <row r="1639" spans="2:12" x14ac:dyDescent="0.3">
      <c r="B1639" s="25">
        <v>1644</v>
      </c>
      <c r="C1639" s="33" t="s">
        <v>932</v>
      </c>
      <c r="D1639" s="33" t="s">
        <v>400</v>
      </c>
      <c r="E1639" s="35">
        <v>44648</v>
      </c>
      <c r="F1639" s="33">
        <v>1</v>
      </c>
      <c r="G1639" s="33" t="s">
        <v>231</v>
      </c>
      <c r="H1639" s="33" t="s">
        <v>69</v>
      </c>
      <c r="I1639" s="33" t="s">
        <v>198</v>
      </c>
      <c r="J1639" s="34">
        <v>1958.88</v>
      </c>
      <c r="K1639" s="34"/>
      <c r="L1639" s="34">
        <v>1958.88</v>
      </c>
    </row>
    <row r="1640" spans="2:12" x14ac:dyDescent="0.3">
      <c r="B1640" s="25">
        <v>1645</v>
      </c>
      <c r="C1640" s="33" t="s">
        <v>933</v>
      </c>
      <c r="D1640" s="33" t="s">
        <v>400</v>
      </c>
      <c r="E1640" s="35">
        <v>44648</v>
      </c>
      <c r="F1640" s="33">
        <v>1</v>
      </c>
      <c r="G1640" s="33" t="s">
        <v>231</v>
      </c>
      <c r="H1640" s="33" t="s">
        <v>69</v>
      </c>
      <c r="I1640" s="33" t="s">
        <v>198</v>
      </c>
      <c r="J1640" s="34">
        <v>1059.23</v>
      </c>
      <c r="K1640" s="34"/>
      <c r="L1640" s="34">
        <v>1059.23</v>
      </c>
    </row>
    <row r="1641" spans="2:12" x14ac:dyDescent="0.3">
      <c r="B1641" s="25">
        <v>1646</v>
      </c>
      <c r="C1641" s="33" t="s">
        <v>934</v>
      </c>
      <c r="D1641" s="33" t="s">
        <v>400</v>
      </c>
      <c r="E1641" s="35">
        <v>44648</v>
      </c>
      <c r="F1641" s="33">
        <v>1</v>
      </c>
      <c r="G1641" s="33" t="s">
        <v>231</v>
      </c>
      <c r="H1641" s="33" t="s">
        <v>69</v>
      </c>
      <c r="I1641" s="33" t="s">
        <v>198</v>
      </c>
      <c r="J1641" s="34">
        <v>1446.73</v>
      </c>
      <c r="K1641" s="34"/>
      <c r="L1641" s="34">
        <v>1446.73</v>
      </c>
    </row>
    <row r="1642" spans="2:12" x14ac:dyDescent="0.3">
      <c r="B1642" s="25">
        <v>1647</v>
      </c>
      <c r="C1642" s="33">
        <v>51492</v>
      </c>
      <c r="D1642" s="33" t="s">
        <v>805</v>
      </c>
      <c r="E1642" s="35">
        <v>44648</v>
      </c>
      <c r="F1642" s="33">
        <v>1</v>
      </c>
      <c r="G1642" s="33" t="s">
        <v>231</v>
      </c>
      <c r="H1642" s="33" t="s">
        <v>69</v>
      </c>
      <c r="I1642" s="33" t="s">
        <v>198</v>
      </c>
      <c r="J1642" s="34">
        <v>573.49</v>
      </c>
      <c r="K1642" s="34"/>
      <c r="L1642" s="34">
        <v>573.49</v>
      </c>
    </row>
    <row r="1643" spans="2:12" x14ac:dyDescent="0.3">
      <c r="B1643" s="25">
        <v>1648</v>
      </c>
      <c r="C1643" s="33">
        <v>51534</v>
      </c>
      <c r="D1643" s="33" t="s">
        <v>416</v>
      </c>
      <c r="E1643" s="35">
        <v>44651</v>
      </c>
      <c r="F1643" s="33">
        <v>1</v>
      </c>
      <c r="G1643" s="33" t="s">
        <v>231</v>
      </c>
      <c r="H1643" s="33" t="s">
        <v>69</v>
      </c>
      <c r="I1643" s="33" t="s">
        <v>198</v>
      </c>
      <c r="J1643" s="34">
        <v>1538</v>
      </c>
      <c r="K1643" s="34"/>
      <c r="L1643" s="34">
        <v>1538</v>
      </c>
    </row>
    <row r="1644" spans="2:12" x14ac:dyDescent="0.3">
      <c r="B1644" s="25">
        <v>1649</v>
      </c>
      <c r="C1644" s="33">
        <v>51540</v>
      </c>
      <c r="D1644" s="33" t="s">
        <v>414</v>
      </c>
      <c r="E1644" s="35">
        <v>44651</v>
      </c>
      <c r="F1644" s="33">
        <v>1</v>
      </c>
      <c r="G1644" s="33" t="s">
        <v>122</v>
      </c>
      <c r="H1644" s="33" t="s">
        <v>69</v>
      </c>
      <c r="I1644" s="33" t="s">
        <v>198</v>
      </c>
      <c r="J1644" s="34">
        <v>2718.88</v>
      </c>
      <c r="K1644" s="34"/>
      <c r="L1644" s="34">
        <v>2718.88</v>
      </c>
    </row>
    <row r="1645" spans="2:12" x14ac:dyDescent="0.3">
      <c r="B1645" s="25">
        <v>1650</v>
      </c>
      <c r="C1645" s="33">
        <v>1019698</v>
      </c>
      <c r="D1645" s="33" t="s">
        <v>410</v>
      </c>
      <c r="E1645" s="35">
        <v>44651</v>
      </c>
      <c r="F1645" s="33">
        <v>1</v>
      </c>
      <c r="G1645" s="33" t="s">
        <v>231</v>
      </c>
      <c r="H1645" s="33" t="s">
        <v>69</v>
      </c>
      <c r="I1645" s="33" t="s">
        <v>198</v>
      </c>
      <c r="J1645" s="34">
        <v>2428.0100000000002</v>
      </c>
      <c r="K1645" s="34"/>
      <c r="L1645" s="34">
        <v>2428.0100000000002</v>
      </c>
    </row>
    <row r="1646" spans="2:12" x14ac:dyDescent="0.3">
      <c r="B1646" s="25">
        <v>1651</v>
      </c>
      <c r="C1646" s="33">
        <v>51411</v>
      </c>
      <c r="D1646" s="33" t="s">
        <v>411</v>
      </c>
      <c r="E1646" s="35">
        <v>44643</v>
      </c>
      <c r="F1646" s="33">
        <v>1</v>
      </c>
      <c r="G1646" s="33" t="s">
        <v>122</v>
      </c>
      <c r="H1646" s="33" t="s">
        <v>69</v>
      </c>
      <c r="I1646" s="33" t="s">
        <v>196</v>
      </c>
      <c r="J1646" s="34">
        <v>497.5</v>
      </c>
      <c r="K1646" s="34"/>
      <c r="L1646" s="34">
        <v>497.5</v>
      </c>
    </row>
    <row r="1647" spans="2:12" x14ac:dyDescent="0.3">
      <c r="B1647" s="25">
        <v>1652</v>
      </c>
      <c r="C1647" s="33">
        <v>51541</v>
      </c>
      <c r="D1647" s="33" t="s">
        <v>655</v>
      </c>
      <c r="E1647" s="35">
        <v>44651</v>
      </c>
      <c r="F1647" s="33">
        <v>1</v>
      </c>
      <c r="G1647" s="33" t="s">
        <v>122</v>
      </c>
      <c r="H1647" s="33" t="s">
        <v>69</v>
      </c>
      <c r="I1647" s="33" t="s">
        <v>196</v>
      </c>
      <c r="J1647" s="34">
        <v>343</v>
      </c>
      <c r="K1647" s="34"/>
      <c r="L1647" s="34">
        <v>343</v>
      </c>
    </row>
    <row r="1648" spans="2:12" x14ac:dyDescent="0.3">
      <c r="B1648" s="25">
        <v>1653</v>
      </c>
      <c r="C1648" s="33">
        <v>4692</v>
      </c>
      <c r="D1648" s="33" t="s">
        <v>403</v>
      </c>
      <c r="E1648" s="35">
        <v>44651</v>
      </c>
      <c r="F1648" s="33">
        <v>1</v>
      </c>
      <c r="G1648" s="33" t="s">
        <v>122</v>
      </c>
      <c r="H1648" s="33" t="s">
        <v>69</v>
      </c>
      <c r="I1648" s="33" t="s">
        <v>196</v>
      </c>
      <c r="J1648" s="34">
        <v>1549</v>
      </c>
      <c r="K1648" s="34"/>
      <c r="L1648" s="34">
        <v>1549</v>
      </c>
    </row>
    <row r="1649" spans="2:12" x14ac:dyDescent="0.3">
      <c r="B1649" s="25">
        <v>1654</v>
      </c>
      <c r="C1649" s="33">
        <v>51542</v>
      </c>
      <c r="D1649" s="33" t="s">
        <v>412</v>
      </c>
      <c r="E1649" s="35">
        <v>44651</v>
      </c>
      <c r="F1649" s="33">
        <v>1</v>
      </c>
      <c r="G1649" s="33" t="s">
        <v>231</v>
      </c>
      <c r="H1649" s="33" t="s">
        <v>69</v>
      </c>
      <c r="I1649" s="33" t="s">
        <v>198</v>
      </c>
      <c r="J1649" s="34">
        <v>1781.01</v>
      </c>
      <c r="K1649" s="34"/>
      <c r="L1649" s="34">
        <v>1781.01</v>
      </c>
    </row>
    <row r="1650" spans="2:12" x14ac:dyDescent="0.3">
      <c r="B1650" s="25">
        <v>1655</v>
      </c>
      <c r="C1650" s="33">
        <v>51543</v>
      </c>
      <c r="D1650" s="33" t="s">
        <v>412</v>
      </c>
      <c r="E1650" s="35">
        <v>44651</v>
      </c>
      <c r="F1650" s="33">
        <v>1</v>
      </c>
      <c r="G1650" s="33" t="s">
        <v>231</v>
      </c>
      <c r="H1650" s="33" t="s">
        <v>69</v>
      </c>
      <c r="I1650" s="33" t="s">
        <v>198</v>
      </c>
      <c r="J1650" s="34">
        <v>740.01</v>
      </c>
      <c r="K1650" s="34"/>
      <c r="L1650" s="34">
        <v>740.01</v>
      </c>
    </row>
    <row r="1651" spans="2:12" x14ac:dyDescent="0.3">
      <c r="B1651" s="25">
        <v>1656</v>
      </c>
      <c r="C1651" s="33">
        <v>51726</v>
      </c>
      <c r="D1651" s="33" t="s">
        <v>404</v>
      </c>
      <c r="E1651" s="35">
        <v>44659</v>
      </c>
      <c r="F1651" s="33">
        <v>2</v>
      </c>
      <c r="G1651" s="33" t="s">
        <v>122</v>
      </c>
      <c r="H1651" s="33" t="s">
        <v>69</v>
      </c>
      <c r="I1651" s="33" t="s">
        <v>196</v>
      </c>
      <c r="J1651" s="34">
        <v>1014.5</v>
      </c>
      <c r="K1651" s="34"/>
      <c r="L1651" s="34">
        <v>1014.5</v>
      </c>
    </row>
    <row r="1652" spans="2:12" x14ac:dyDescent="0.3">
      <c r="B1652" s="25">
        <v>1657</v>
      </c>
      <c r="C1652" s="33" t="s">
        <v>935</v>
      </c>
      <c r="D1652" s="33" t="s">
        <v>438</v>
      </c>
      <c r="E1652" s="35">
        <v>44659</v>
      </c>
      <c r="F1652" s="33">
        <v>2</v>
      </c>
      <c r="G1652" s="33" t="s">
        <v>122</v>
      </c>
      <c r="H1652" s="33" t="s">
        <v>69</v>
      </c>
      <c r="I1652" s="33" t="s">
        <v>196</v>
      </c>
      <c r="J1652" s="34">
        <v>3011.5</v>
      </c>
      <c r="K1652" s="34"/>
      <c r="L1652" s="34">
        <v>3011.5</v>
      </c>
    </row>
    <row r="1653" spans="2:12" x14ac:dyDescent="0.3">
      <c r="B1653" s="25">
        <v>1658</v>
      </c>
      <c r="C1653" s="33">
        <v>51729</v>
      </c>
      <c r="D1653" s="33" t="s">
        <v>411</v>
      </c>
      <c r="E1653" s="35">
        <v>44659</v>
      </c>
      <c r="F1653" s="33">
        <v>2</v>
      </c>
      <c r="G1653" s="33" t="s">
        <v>122</v>
      </c>
      <c r="H1653" s="33" t="s">
        <v>69</v>
      </c>
      <c r="I1653" s="33" t="s">
        <v>196</v>
      </c>
      <c r="J1653" s="34">
        <v>1516</v>
      </c>
      <c r="K1653" s="34"/>
      <c r="L1653" s="34">
        <v>1516</v>
      </c>
    </row>
    <row r="1654" spans="2:12" x14ac:dyDescent="0.3">
      <c r="B1654" s="25">
        <v>1659</v>
      </c>
      <c r="C1654" s="33">
        <v>51768</v>
      </c>
      <c r="D1654" s="33" t="s">
        <v>805</v>
      </c>
      <c r="E1654" s="35">
        <v>44659</v>
      </c>
      <c r="F1654" s="33">
        <v>2</v>
      </c>
      <c r="G1654" s="33" t="s">
        <v>231</v>
      </c>
      <c r="H1654" s="33" t="s">
        <v>69</v>
      </c>
      <c r="I1654" s="33" t="s">
        <v>198</v>
      </c>
      <c r="J1654" s="34">
        <v>717.5</v>
      </c>
      <c r="K1654" s="34"/>
      <c r="L1654" s="34">
        <v>717.5</v>
      </c>
    </row>
    <row r="1655" spans="2:12" x14ac:dyDescent="0.3">
      <c r="B1655" s="25">
        <v>1660</v>
      </c>
      <c r="C1655" s="33">
        <v>5380</v>
      </c>
      <c r="D1655" s="33" t="s">
        <v>402</v>
      </c>
      <c r="E1655" s="35">
        <v>44664</v>
      </c>
      <c r="F1655" s="33">
        <v>2</v>
      </c>
      <c r="G1655" s="33" t="s">
        <v>122</v>
      </c>
      <c r="H1655" s="33" t="s">
        <v>69</v>
      </c>
      <c r="I1655" s="33" t="s">
        <v>196</v>
      </c>
      <c r="J1655" s="34">
        <v>133.02000000000001</v>
      </c>
      <c r="K1655" s="34"/>
      <c r="L1655" s="34">
        <v>133.02000000000001</v>
      </c>
    </row>
    <row r="1656" spans="2:12" x14ac:dyDescent="0.3">
      <c r="B1656" s="25">
        <v>1661</v>
      </c>
      <c r="C1656" s="33">
        <v>50916</v>
      </c>
      <c r="D1656" s="33" t="s">
        <v>400</v>
      </c>
      <c r="E1656" s="35">
        <v>44637</v>
      </c>
      <c r="F1656" s="33">
        <v>1</v>
      </c>
      <c r="G1656" s="33" t="s">
        <v>231</v>
      </c>
      <c r="H1656" s="33">
        <v>53</v>
      </c>
      <c r="I1656" s="33" t="s">
        <v>198</v>
      </c>
      <c r="J1656" s="34">
        <v>363.73</v>
      </c>
      <c r="K1656" s="34"/>
      <c r="L1656" s="34">
        <v>363.73</v>
      </c>
    </row>
    <row r="1657" spans="2:12" x14ac:dyDescent="0.3">
      <c r="B1657" s="25">
        <v>1662</v>
      </c>
      <c r="C1657" s="33">
        <v>50917</v>
      </c>
      <c r="D1657" s="33" t="s">
        <v>400</v>
      </c>
      <c r="E1657" s="35">
        <v>44637</v>
      </c>
      <c r="F1657" s="33">
        <v>1</v>
      </c>
      <c r="G1657" s="33" t="s">
        <v>231</v>
      </c>
      <c r="H1657" s="33">
        <v>53</v>
      </c>
      <c r="I1657" s="33" t="s">
        <v>198</v>
      </c>
      <c r="J1657" s="34">
        <v>643.59</v>
      </c>
      <c r="K1657" s="34"/>
      <c r="L1657" s="34">
        <v>643.59</v>
      </c>
    </row>
    <row r="1658" spans="2:12" x14ac:dyDescent="0.3">
      <c r="B1658" s="25">
        <v>1663</v>
      </c>
      <c r="C1658" s="33">
        <v>50989</v>
      </c>
      <c r="D1658" s="33" t="s">
        <v>443</v>
      </c>
      <c r="E1658" s="35">
        <v>44644</v>
      </c>
      <c r="F1658" s="33">
        <v>1</v>
      </c>
      <c r="G1658" s="33" t="s">
        <v>122</v>
      </c>
      <c r="H1658" s="33" t="s">
        <v>73</v>
      </c>
      <c r="I1658" s="33" t="s">
        <v>196</v>
      </c>
      <c r="J1658" s="34">
        <v>3312.99</v>
      </c>
      <c r="K1658" s="34"/>
      <c r="L1658" s="34">
        <v>3312.99</v>
      </c>
    </row>
    <row r="1659" spans="2:12" x14ac:dyDescent="0.3">
      <c r="B1659" s="25">
        <v>1664</v>
      </c>
      <c r="C1659" s="33">
        <v>50993</v>
      </c>
      <c r="D1659" s="33" t="s">
        <v>282</v>
      </c>
      <c r="E1659" s="35">
        <v>44644</v>
      </c>
      <c r="F1659" s="33">
        <v>1</v>
      </c>
      <c r="G1659" s="33" t="s">
        <v>124</v>
      </c>
      <c r="H1659" s="33" t="s">
        <v>73</v>
      </c>
      <c r="I1659" s="33" t="s">
        <v>197</v>
      </c>
      <c r="J1659" s="34">
        <v>873.5</v>
      </c>
      <c r="K1659" s="34"/>
      <c r="L1659" s="34">
        <v>873.5</v>
      </c>
    </row>
    <row r="1660" spans="2:12" x14ac:dyDescent="0.3">
      <c r="B1660" s="25">
        <v>1665</v>
      </c>
      <c r="C1660" s="33">
        <v>51091</v>
      </c>
      <c r="D1660" s="33" t="s">
        <v>400</v>
      </c>
      <c r="E1660" s="35">
        <v>44651</v>
      </c>
      <c r="F1660" s="33">
        <v>1</v>
      </c>
      <c r="G1660" s="33" t="s">
        <v>231</v>
      </c>
      <c r="H1660" s="33">
        <v>53</v>
      </c>
      <c r="I1660" s="33" t="s">
        <v>198</v>
      </c>
      <c r="J1660" s="34">
        <v>965.13</v>
      </c>
      <c r="K1660" s="34"/>
      <c r="L1660" s="34">
        <v>965.13</v>
      </c>
    </row>
    <row r="1661" spans="2:12" x14ac:dyDescent="0.3">
      <c r="B1661" s="25">
        <v>1666</v>
      </c>
      <c r="C1661" s="33">
        <v>51093</v>
      </c>
      <c r="D1661" s="33" t="s">
        <v>411</v>
      </c>
      <c r="E1661" s="35">
        <v>44651</v>
      </c>
      <c r="F1661" s="33">
        <v>1</v>
      </c>
      <c r="G1661" s="33" t="s">
        <v>122</v>
      </c>
      <c r="H1661" s="33">
        <v>53</v>
      </c>
      <c r="I1661" s="33" t="s">
        <v>196</v>
      </c>
      <c r="J1661" s="34">
        <v>294.5</v>
      </c>
      <c r="K1661" s="34"/>
      <c r="L1661" s="34">
        <v>294.5</v>
      </c>
    </row>
    <row r="1662" spans="2:12" x14ac:dyDescent="0.3">
      <c r="B1662" s="25">
        <v>1667</v>
      </c>
      <c r="C1662" s="33" t="s">
        <v>936</v>
      </c>
      <c r="D1662" s="33" t="s">
        <v>401</v>
      </c>
      <c r="E1662" s="35">
        <v>44651</v>
      </c>
      <c r="F1662" s="33">
        <v>1</v>
      </c>
      <c r="G1662" s="33" t="s">
        <v>231</v>
      </c>
      <c r="H1662" s="33">
        <v>53</v>
      </c>
      <c r="I1662" s="33" t="s">
        <v>198</v>
      </c>
      <c r="J1662" s="34">
        <v>-309.5</v>
      </c>
      <c r="K1662" s="34"/>
      <c r="L1662" s="34">
        <v>-309.5</v>
      </c>
    </row>
    <row r="1663" spans="2:12" x14ac:dyDescent="0.3">
      <c r="B1663" s="25">
        <v>1668</v>
      </c>
      <c r="C1663" s="33">
        <v>51177</v>
      </c>
      <c r="D1663" s="33" t="s">
        <v>400</v>
      </c>
      <c r="E1663" s="35">
        <v>44658</v>
      </c>
      <c r="F1663" s="33">
        <v>2</v>
      </c>
      <c r="G1663" s="33" t="s">
        <v>231</v>
      </c>
      <c r="H1663" s="33">
        <v>53</v>
      </c>
      <c r="I1663" s="33" t="s">
        <v>198</v>
      </c>
      <c r="J1663" s="34">
        <v>29.1</v>
      </c>
      <c r="K1663" s="34"/>
      <c r="L1663" s="34">
        <v>29.1</v>
      </c>
    </row>
    <row r="1664" spans="2:12" x14ac:dyDescent="0.3">
      <c r="B1664" s="25">
        <v>1669</v>
      </c>
      <c r="C1664" s="33">
        <v>51204</v>
      </c>
      <c r="D1664" s="33" t="s">
        <v>441</v>
      </c>
      <c r="E1664" s="35">
        <v>44659</v>
      </c>
      <c r="F1664" s="33">
        <v>2</v>
      </c>
      <c r="G1664" s="33" t="s">
        <v>122</v>
      </c>
      <c r="H1664" s="33">
        <v>53</v>
      </c>
      <c r="I1664" s="33" t="s">
        <v>196</v>
      </c>
      <c r="J1664" s="34">
        <v>4289.8</v>
      </c>
      <c r="K1664" s="34"/>
      <c r="L1664" s="34">
        <v>4289.8</v>
      </c>
    </row>
    <row r="1665" spans="2:12" x14ac:dyDescent="0.3">
      <c r="B1665" s="25">
        <v>1670</v>
      </c>
      <c r="C1665" s="33">
        <v>51205</v>
      </c>
      <c r="D1665" s="33" t="s">
        <v>414</v>
      </c>
      <c r="E1665" s="35">
        <v>44659</v>
      </c>
      <c r="F1665" s="33">
        <v>2</v>
      </c>
      <c r="G1665" s="33" t="s">
        <v>122</v>
      </c>
      <c r="H1665" s="33">
        <v>53</v>
      </c>
      <c r="I1665" s="33" t="s">
        <v>196</v>
      </c>
      <c r="J1665" s="34">
        <v>9131.0400000000009</v>
      </c>
      <c r="K1665" s="34"/>
      <c r="L1665" s="34">
        <v>9131.0400000000009</v>
      </c>
    </row>
    <row r="1666" spans="2:12" x14ac:dyDescent="0.3">
      <c r="B1666" s="25">
        <v>1671</v>
      </c>
      <c r="C1666" s="33">
        <v>51206</v>
      </c>
      <c r="D1666" s="33" t="s">
        <v>234</v>
      </c>
      <c r="E1666" s="35">
        <v>44659</v>
      </c>
      <c r="F1666" s="33">
        <v>2</v>
      </c>
      <c r="G1666" s="33" t="s">
        <v>122</v>
      </c>
      <c r="H1666" s="33">
        <v>53</v>
      </c>
      <c r="I1666" s="33" t="s">
        <v>196</v>
      </c>
      <c r="J1666" s="34">
        <v>2805.15</v>
      </c>
      <c r="K1666" s="34"/>
      <c r="L1666" s="34">
        <v>2805.15</v>
      </c>
    </row>
    <row r="1667" spans="2:12" x14ac:dyDescent="0.3">
      <c r="B1667" s="25">
        <v>1672</v>
      </c>
      <c r="C1667" s="33">
        <v>51279</v>
      </c>
      <c r="D1667" s="33" t="s">
        <v>412</v>
      </c>
      <c r="E1667" s="35">
        <v>44665</v>
      </c>
      <c r="F1667" s="33">
        <v>2</v>
      </c>
      <c r="G1667" s="33" t="s">
        <v>231</v>
      </c>
      <c r="H1667" s="33">
        <v>53</v>
      </c>
      <c r="I1667" s="33" t="s">
        <v>198</v>
      </c>
      <c r="J1667" s="34">
        <v>1664.01</v>
      </c>
      <c r="K1667" s="34"/>
      <c r="L1667" s="34">
        <v>1664.01</v>
      </c>
    </row>
    <row r="1668" spans="2:12" x14ac:dyDescent="0.3">
      <c r="B1668" s="25">
        <v>1673</v>
      </c>
      <c r="C1668" s="33">
        <v>50659</v>
      </c>
      <c r="D1668" s="33" t="s">
        <v>416</v>
      </c>
      <c r="E1668" s="35">
        <v>44602</v>
      </c>
      <c r="F1668" s="33">
        <v>1</v>
      </c>
      <c r="G1668" s="33" t="s">
        <v>231</v>
      </c>
      <c r="H1668" s="33" t="s">
        <v>69</v>
      </c>
      <c r="I1668" s="33" t="s">
        <v>198</v>
      </c>
      <c r="J1668" s="34">
        <v>2081</v>
      </c>
      <c r="K1668" s="34"/>
      <c r="L1668" s="34">
        <v>2081</v>
      </c>
    </row>
    <row r="1669" spans="2:12" x14ac:dyDescent="0.3">
      <c r="B1669" s="25">
        <v>1674</v>
      </c>
      <c r="C1669" s="33" t="s">
        <v>937</v>
      </c>
      <c r="D1669" s="33" t="s">
        <v>938</v>
      </c>
      <c r="E1669" s="35">
        <v>44620</v>
      </c>
      <c r="F1669" s="33">
        <v>1</v>
      </c>
      <c r="G1669" s="33" t="s">
        <v>124</v>
      </c>
      <c r="H1669" s="33" t="s">
        <v>70</v>
      </c>
      <c r="I1669" s="33" t="s">
        <v>197</v>
      </c>
      <c r="J1669" s="34">
        <v>13932</v>
      </c>
      <c r="K1669" s="34"/>
      <c r="L1669" s="34">
        <v>13932</v>
      </c>
    </row>
    <row r="1670" spans="2:12" x14ac:dyDescent="0.3">
      <c r="B1670" s="25">
        <v>1675</v>
      </c>
      <c r="C1670" s="33">
        <v>381363</v>
      </c>
      <c r="D1670" s="33" t="s">
        <v>562</v>
      </c>
      <c r="E1670" s="35">
        <v>44603</v>
      </c>
      <c r="F1670" s="33">
        <v>1</v>
      </c>
      <c r="G1670" s="33" t="s">
        <v>231</v>
      </c>
      <c r="H1670" s="33" t="s">
        <v>200</v>
      </c>
      <c r="I1670" s="33" t="s">
        <v>198</v>
      </c>
      <c r="J1670" s="34">
        <v>911.49</v>
      </c>
      <c r="K1670" s="34"/>
      <c r="L1670" s="34">
        <v>911.49</v>
      </c>
    </row>
    <row r="1671" spans="2:12" x14ac:dyDescent="0.3">
      <c r="B1671" s="25">
        <v>1676</v>
      </c>
      <c r="C1671" s="33">
        <v>381374</v>
      </c>
      <c r="D1671" s="33" t="s">
        <v>939</v>
      </c>
      <c r="E1671" s="35">
        <v>44606</v>
      </c>
      <c r="F1671" s="33">
        <v>1</v>
      </c>
      <c r="G1671" s="33" t="s">
        <v>124</v>
      </c>
      <c r="H1671" s="33" t="s">
        <v>200</v>
      </c>
      <c r="I1671" s="33" t="s">
        <v>197</v>
      </c>
      <c r="J1671" s="34">
        <v>963.7</v>
      </c>
      <c r="K1671" s="34"/>
      <c r="L1671" s="34">
        <v>963.7</v>
      </c>
    </row>
    <row r="1672" spans="2:12" x14ac:dyDescent="0.3">
      <c r="B1672" s="25">
        <v>1677</v>
      </c>
      <c r="C1672" s="33">
        <v>381386</v>
      </c>
      <c r="D1672" s="33" t="s">
        <v>940</v>
      </c>
      <c r="E1672" s="35">
        <v>44607</v>
      </c>
      <c r="F1672" s="33">
        <v>1</v>
      </c>
      <c r="G1672" s="33" t="s">
        <v>231</v>
      </c>
      <c r="H1672" s="33" t="s">
        <v>200</v>
      </c>
      <c r="I1672" s="33" t="s">
        <v>198</v>
      </c>
      <c r="J1672" s="34">
        <v>853.42</v>
      </c>
      <c r="K1672" s="34"/>
      <c r="L1672" s="34">
        <v>853.42</v>
      </c>
    </row>
    <row r="1673" spans="2:12" x14ac:dyDescent="0.3">
      <c r="B1673" s="25">
        <v>1678</v>
      </c>
      <c r="C1673" s="33">
        <v>381393</v>
      </c>
      <c r="D1673" s="33" t="s">
        <v>941</v>
      </c>
      <c r="E1673" s="35">
        <v>44607</v>
      </c>
      <c r="F1673" s="33">
        <v>1</v>
      </c>
      <c r="G1673" s="33" t="s">
        <v>122</v>
      </c>
      <c r="H1673" s="33" t="s">
        <v>200</v>
      </c>
      <c r="I1673" s="33" t="s">
        <v>196</v>
      </c>
      <c r="J1673" s="34">
        <v>1487.64</v>
      </c>
      <c r="K1673" s="34"/>
      <c r="L1673" s="34">
        <v>1487.64</v>
      </c>
    </row>
    <row r="1674" spans="2:12" x14ac:dyDescent="0.3">
      <c r="B1674" s="25">
        <v>1679</v>
      </c>
      <c r="C1674" s="33">
        <v>381395</v>
      </c>
      <c r="D1674" s="33" t="s">
        <v>942</v>
      </c>
      <c r="E1674" s="35">
        <v>44607</v>
      </c>
      <c r="F1674" s="33">
        <v>1</v>
      </c>
      <c r="G1674" s="33" t="s">
        <v>122</v>
      </c>
      <c r="H1674" s="33" t="s">
        <v>200</v>
      </c>
      <c r="I1674" s="33" t="s">
        <v>196</v>
      </c>
      <c r="J1674" s="34">
        <v>1477.43</v>
      </c>
      <c r="K1674" s="34"/>
      <c r="L1674" s="34">
        <v>1477.43</v>
      </c>
    </row>
    <row r="1675" spans="2:12" x14ac:dyDescent="0.3">
      <c r="B1675" s="25">
        <v>1680</v>
      </c>
      <c r="C1675" s="33">
        <v>381448</v>
      </c>
      <c r="D1675" s="33" t="s">
        <v>562</v>
      </c>
      <c r="E1675" s="35">
        <v>44614</v>
      </c>
      <c r="F1675" s="33">
        <v>1</v>
      </c>
      <c r="G1675" s="33" t="s">
        <v>231</v>
      </c>
      <c r="H1675" s="33" t="s">
        <v>200</v>
      </c>
      <c r="I1675" s="33" t="s">
        <v>198</v>
      </c>
      <c r="J1675" s="34">
        <v>303.83</v>
      </c>
      <c r="K1675" s="34"/>
      <c r="L1675" s="34">
        <v>303.83</v>
      </c>
    </row>
    <row r="1676" spans="2:12" x14ac:dyDescent="0.3">
      <c r="B1676" s="25">
        <v>1681</v>
      </c>
      <c r="C1676" s="33">
        <v>381450</v>
      </c>
      <c r="D1676" s="33" t="s">
        <v>943</v>
      </c>
      <c r="E1676" s="35">
        <v>44614</v>
      </c>
      <c r="F1676" s="33">
        <v>1</v>
      </c>
      <c r="G1676" s="33" t="s">
        <v>628</v>
      </c>
      <c r="H1676" s="33" t="s">
        <v>200</v>
      </c>
      <c r="I1676" s="33" t="s">
        <v>75</v>
      </c>
      <c r="J1676" s="34">
        <v>1685.96</v>
      </c>
      <c r="K1676" s="34"/>
      <c r="L1676" s="34">
        <v>1685.96</v>
      </c>
    </row>
    <row r="1677" spans="2:12" x14ac:dyDescent="0.3">
      <c r="B1677" s="25">
        <v>1682</v>
      </c>
      <c r="C1677" s="33">
        <v>381577</v>
      </c>
      <c r="D1677" s="33" t="s">
        <v>944</v>
      </c>
      <c r="E1677" s="35">
        <v>44628</v>
      </c>
      <c r="F1677" s="33">
        <v>1</v>
      </c>
      <c r="G1677" s="33" t="s">
        <v>122</v>
      </c>
      <c r="H1677" s="33" t="s">
        <v>200</v>
      </c>
      <c r="I1677" s="33" t="s">
        <v>196</v>
      </c>
      <c r="J1677" s="34">
        <v>600.6</v>
      </c>
      <c r="K1677" s="34"/>
      <c r="L1677" s="34">
        <v>600.6</v>
      </c>
    </row>
    <row r="1678" spans="2:12" x14ac:dyDescent="0.3">
      <c r="B1678" s="25">
        <v>1683</v>
      </c>
      <c r="C1678" s="33">
        <v>381641</v>
      </c>
      <c r="D1678" s="33" t="s">
        <v>945</v>
      </c>
      <c r="E1678" s="35">
        <v>44635</v>
      </c>
      <c r="F1678" s="33">
        <v>1</v>
      </c>
      <c r="G1678" s="33" t="s">
        <v>122</v>
      </c>
      <c r="H1678" s="33" t="s">
        <v>200</v>
      </c>
      <c r="I1678" s="33" t="s">
        <v>196</v>
      </c>
      <c r="J1678" s="34">
        <v>2289.5100000000002</v>
      </c>
      <c r="K1678" s="34"/>
      <c r="L1678" s="34">
        <v>2289.5100000000002</v>
      </c>
    </row>
    <row r="1679" spans="2:12" x14ac:dyDescent="0.3">
      <c r="B1679" s="25">
        <v>1684</v>
      </c>
      <c r="C1679" s="33">
        <v>381662</v>
      </c>
      <c r="D1679" s="33" t="s">
        <v>395</v>
      </c>
      <c r="E1679" s="35">
        <v>44636</v>
      </c>
      <c r="F1679" s="33">
        <v>1</v>
      </c>
      <c r="G1679" s="33" t="s">
        <v>122</v>
      </c>
      <c r="H1679" s="33" t="s">
        <v>200</v>
      </c>
      <c r="I1679" s="33" t="s">
        <v>196</v>
      </c>
      <c r="J1679" s="34">
        <v>2895.75</v>
      </c>
      <c r="K1679" s="34"/>
      <c r="L1679" s="34">
        <v>2895.75</v>
      </c>
    </row>
    <row r="1680" spans="2:12" x14ac:dyDescent="0.3">
      <c r="B1680" s="25">
        <v>1685</v>
      </c>
      <c r="C1680" s="33">
        <v>381663</v>
      </c>
      <c r="D1680" s="33" t="s">
        <v>395</v>
      </c>
      <c r="E1680" s="35">
        <v>44636</v>
      </c>
      <c r="F1680" s="33">
        <v>1</v>
      </c>
      <c r="G1680" s="33" t="s">
        <v>122</v>
      </c>
      <c r="H1680" s="33" t="s">
        <v>200</v>
      </c>
      <c r="I1680" s="33" t="s">
        <v>196</v>
      </c>
      <c r="J1680" s="34">
        <v>204.16</v>
      </c>
      <c r="K1680" s="34"/>
      <c r="L1680" s="34">
        <v>204.16</v>
      </c>
    </row>
    <row r="1681" spans="2:12" x14ac:dyDescent="0.3">
      <c r="B1681" s="25">
        <v>1686</v>
      </c>
      <c r="C1681" s="33">
        <v>381772</v>
      </c>
      <c r="D1681" s="33" t="s">
        <v>395</v>
      </c>
      <c r="E1681" s="35">
        <v>44649</v>
      </c>
      <c r="F1681" s="33">
        <v>1</v>
      </c>
      <c r="G1681" s="33" t="s">
        <v>122</v>
      </c>
      <c r="H1681" s="33" t="s">
        <v>200</v>
      </c>
      <c r="I1681" s="33" t="s">
        <v>196</v>
      </c>
      <c r="J1681" s="34">
        <v>2832.98</v>
      </c>
      <c r="K1681" s="34"/>
      <c r="L1681" s="34">
        <v>2832.98</v>
      </c>
    </row>
    <row r="1682" spans="2:12" x14ac:dyDescent="0.3">
      <c r="B1682" s="25">
        <v>1687</v>
      </c>
      <c r="C1682" s="33">
        <v>381579</v>
      </c>
      <c r="D1682" s="33" t="s">
        <v>946</v>
      </c>
      <c r="E1682" s="35">
        <v>44628</v>
      </c>
      <c r="F1682" s="33">
        <v>1</v>
      </c>
      <c r="G1682" s="33" t="s">
        <v>231</v>
      </c>
      <c r="H1682" s="33" t="s">
        <v>200</v>
      </c>
      <c r="I1682" s="33" t="s">
        <v>198</v>
      </c>
      <c r="J1682" s="34">
        <v>952.44</v>
      </c>
      <c r="K1682" s="34"/>
      <c r="L1682" s="34">
        <v>952.44</v>
      </c>
    </row>
    <row r="1683" spans="2:12" x14ac:dyDescent="0.3">
      <c r="B1683" s="25">
        <v>1688</v>
      </c>
      <c r="C1683" s="33">
        <v>32718</v>
      </c>
      <c r="D1683" s="33" t="s">
        <v>394</v>
      </c>
      <c r="E1683" s="35">
        <v>44580</v>
      </c>
      <c r="F1683" s="33">
        <v>1</v>
      </c>
      <c r="G1683" s="33" t="s">
        <v>122</v>
      </c>
      <c r="H1683" s="33" t="s">
        <v>72</v>
      </c>
      <c r="I1683" s="33" t="s">
        <v>196</v>
      </c>
      <c r="J1683" s="34">
        <v>2295</v>
      </c>
      <c r="K1683" s="34"/>
      <c r="L1683" s="34">
        <v>2295</v>
      </c>
    </row>
    <row r="1684" spans="2:12" x14ac:dyDescent="0.3">
      <c r="B1684" s="25">
        <v>1689</v>
      </c>
      <c r="C1684" s="33">
        <v>32722</v>
      </c>
      <c r="D1684" s="33" t="s">
        <v>761</v>
      </c>
      <c r="E1684" s="35">
        <v>44580</v>
      </c>
      <c r="F1684" s="33">
        <v>1</v>
      </c>
      <c r="G1684" s="33" t="s">
        <v>628</v>
      </c>
      <c r="H1684" s="33" t="s">
        <v>72</v>
      </c>
      <c r="I1684" s="33" t="s">
        <v>75</v>
      </c>
      <c r="J1684" s="34">
        <v>7554</v>
      </c>
      <c r="K1684" s="34"/>
      <c r="L1684" s="34">
        <v>7554</v>
      </c>
    </row>
    <row r="1685" spans="2:12" x14ac:dyDescent="0.3">
      <c r="B1685" s="25">
        <v>1690</v>
      </c>
      <c r="C1685" s="33">
        <v>32723</v>
      </c>
      <c r="D1685" s="33" t="s">
        <v>394</v>
      </c>
      <c r="E1685" s="35">
        <v>44580</v>
      </c>
      <c r="F1685" s="33">
        <v>1</v>
      </c>
      <c r="G1685" s="33" t="s">
        <v>122</v>
      </c>
      <c r="H1685" s="33" t="s">
        <v>72</v>
      </c>
      <c r="I1685" s="33" t="s">
        <v>196</v>
      </c>
      <c r="J1685" s="34">
        <v>8681</v>
      </c>
      <c r="K1685" s="34"/>
      <c r="L1685" s="34">
        <v>8681</v>
      </c>
    </row>
    <row r="1686" spans="2:12" x14ac:dyDescent="0.3">
      <c r="B1686" s="25">
        <v>1691</v>
      </c>
      <c r="C1686" s="33">
        <v>32724</v>
      </c>
      <c r="D1686" s="33" t="s">
        <v>394</v>
      </c>
      <c r="E1686" s="35">
        <v>44580</v>
      </c>
      <c r="F1686" s="33">
        <v>1</v>
      </c>
      <c r="G1686" s="33" t="s">
        <v>122</v>
      </c>
      <c r="H1686" s="33" t="s">
        <v>72</v>
      </c>
      <c r="I1686" s="33" t="s">
        <v>196</v>
      </c>
      <c r="J1686" s="34">
        <v>1563</v>
      </c>
      <c r="K1686" s="34"/>
      <c r="L1686" s="34">
        <v>1563</v>
      </c>
    </row>
    <row r="1687" spans="2:12" x14ac:dyDescent="0.3">
      <c r="B1687" s="25">
        <v>1692</v>
      </c>
      <c r="C1687" s="33">
        <v>32675</v>
      </c>
      <c r="D1687" s="33" t="s">
        <v>947</v>
      </c>
      <c r="E1687" s="35">
        <v>44571</v>
      </c>
      <c r="F1687" s="33">
        <v>1</v>
      </c>
      <c r="G1687" s="33" t="s">
        <v>231</v>
      </c>
      <c r="H1687" s="33" t="s">
        <v>72</v>
      </c>
      <c r="I1687" s="33" t="s">
        <v>198</v>
      </c>
      <c r="J1687" s="34">
        <v>3592</v>
      </c>
      <c r="K1687" s="34"/>
      <c r="L1687" s="34">
        <v>3592</v>
      </c>
    </row>
    <row r="1688" spans="2:12" x14ac:dyDescent="0.3">
      <c r="B1688" s="25">
        <v>1693</v>
      </c>
      <c r="C1688" s="33">
        <v>32951</v>
      </c>
      <c r="D1688" s="33" t="s">
        <v>761</v>
      </c>
      <c r="E1688" s="35">
        <v>44609</v>
      </c>
      <c r="F1688" s="33">
        <v>1</v>
      </c>
      <c r="G1688" s="33" t="s">
        <v>628</v>
      </c>
      <c r="H1688" s="33" t="s">
        <v>72</v>
      </c>
      <c r="I1688" s="33" t="s">
        <v>75</v>
      </c>
      <c r="J1688" s="34">
        <v>779</v>
      </c>
      <c r="K1688" s="34"/>
      <c r="L1688" s="34">
        <v>779</v>
      </c>
    </row>
    <row r="1689" spans="2:12" x14ac:dyDescent="0.3">
      <c r="B1689" s="25">
        <v>1694</v>
      </c>
      <c r="C1689" s="33">
        <v>33001</v>
      </c>
      <c r="D1689" s="33" t="s">
        <v>553</v>
      </c>
      <c r="E1689" s="35">
        <v>44617</v>
      </c>
      <c r="F1689" s="33">
        <v>1</v>
      </c>
      <c r="G1689" s="33" t="s">
        <v>122</v>
      </c>
      <c r="H1689" s="33" t="s">
        <v>72</v>
      </c>
      <c r="I1689" s="33" t="s">
        <v>196</v>
      </c>
      <c r="J1689" s="34">
        <v>14795</v>
      </c>
      <c r="K1689" s="34"/>
      <c r="L1689" s="34">
        <v>14795</v>
      </c>
    </row>
    <row r="1690" spans="2:12" x14ac:dyDescent="0.3">
      <c r="B1690" s="25">
        <v>1695</v>
      </c>
      <c r="C1690" s="33">
        <v>33120</v>
      </c>
      <c r="D1690" s="33" t="s">
        <v>948</v>
      </c>
      <c r="E1690" s="35">
        <v>44634</v>
      </c>
      <c r="F1690" s="33">
        <v>1</v>
      </c>
      <c r="G1690" s="33" t="s">
        <v>628</v>
      </c>
      <c r="H1690" s="33" t="s">
        <v>72</v>
      </c>
      <c r="I1690" s="33" t="s">
        <v>75</v>
      </c>
      <c r="J1690" s="34">
        <v>5145</v>
      </c>
      <c r="K1690" s="34"/>
      <c r="L1690" s="34">
        <v>5145</v>
      </c>
    </row>
    <row r="1691" spans="2:12" x14ac:dyDescent="0.3">
      <c r="B1691" s="25">
        <v>1696</v>
      </c>
      <c r="C1691" s="33">
        <v>33187</v>
      </c>
      <c r="D1691" s="33" t="s">
        <v>394</v>
      </c>
      <c r="E1691" s="35">
        <v>44644</v>
      </c>
      <c r="F1691" s="33">
        <v>1</v>
      </c>
      <c r="G1691" s="33" t="s">
        <v>122</v>
      </c>
      <c r="H1691" s="33" t="s">
        <v>72</v>
      </c>
      <c r="I1691" s="33" t="s">
        <v>196</v>
      </c>
      <c r="J1691" s="34">
        <v>4713.5</v>
      </c>
      <c r="K1691" s="34"/>
      <c r="L1691" s="34">
        <v>4713.5</v>
      </c>
    </row>
    <row r="1692" spans="2:12" x14ac:dyDescent="0.3">
      <c r="B1692" s="25">
        <v>1697</v>
      </c>
      <c r="C1692" s="33" t="s">
        <v>949</v>
      </c>
      <c r="D1692" s="33" t="s">
        <v>950</v>
      </c>
      <c r="E1692" s="35">
        <v>44677</v>
      </c>
      <c r="F1692" s="33">
        <v>2</v>
      </c>
      <c r="G1692" s="33" t="s">
        <v>124</v>
      </c>
      <c r="H1692" s="33" t="s">
        <v>71</v>
      </c>
      <c r="I1692" s="33" t="s">
        <v>197</v>
      </c>
      <c r="J1692" s="34">
        <v>246.53</v>
      </c>
      <c r="K1692" s="34"/>
      <c r="L1692" s="34">
        <v>246.53</v>
      </c>
    </row>
    <row r="1693" spans="2:12" x14ac:dyDescent="0.3">
      <c r="B1693" s="25">
        <v>1698</v>
      </c>
      <c r="C1693" s="33">
        <v>1969</v>
      </c>
      <c r="D1693" s="33" t="s">
        <v>951</v>
      </c>
      <c r="E1693" s="35">
        <v>44678</v>
      </c>
      <c r="F1693" s="33">
        <v>2</v>
      </c>
      <c r="G1693" s="33" t="s">
        <v>122</v>
      </c>
      <c r="H1693" s="33" t="s">
        <v>71</v>
      </c>
      <c r="I1693" s="33" t="s">
        <v>196</v>
      </c>
      <c r="J1693" s="34">
        <v>196.02</v>
      </c>
      <c r="K1693" s="34"/>
      <c r="L1693" s="34">
        <v>196.02</v>
      </c>
    </row>
    <row r="1694" spans="2:12" x14ac:dyDescent="0.3">
      <c r="B1694" s="25">
        <v>1699</v>
      </c>
      <c r="C1694" s="33">
        <v>33330</v>
      </c>
      <c r="D1694" s="33" t="s">
        <v>952</v>
      </c>
      <c r="E1694" s="35">
        <v>44671</v>
      </c>
      <c r="F1694" s="33">
        <v>2</v>
      </c>
      <c r="G1694" s="33" t="s">
        <v>628</v>
      </c>
      <c r="H1694" s="33" t="s">
        <v>72</v>
      </c>
      <c r="I1694" s="33" t="s">
        <v>75</v>
      </c>
      <c r="J1694" s="34">
        <v>2171</v>
      </c>
      <c r="K1694" s="34"/>
      <c r="L1694" s="34">
        <v>2171</v>
      </c>
    </row>
    <row r="1695" spans="2:12" x14ac:dyDescent="0.3">
      <c r="B1695" s="25">
        <v>1700</v>
      </c>
      <c r="C1695" s="33">
        <v>33333</v>
      </c>
      <c r="D1695" s="33" t="s">
        <v>371</v>
      </c>
      <c r="E1695" s="35">
        <v>44671</v>
      </c>
      <c r="F1695" s="33">
        <v>2</v>
      </c>
      <c r="G1695" s="33" t="s">
        <v>124</v>
      </c>
      <c r="H1695" s="33" t="s">
        <v>72</v>
      </c>
      <c r="I1695" s="33" t="s">
        <v>197</v>
      </c>
      <c r="J1695" s="34">
        <v>5191.2</v>
      </c>
      <c r="K1695" s="34"/>
      <c r="L1695" s="34">
        <v>5191.2</v>
      </c>
    </row>
    <row r="1696" spans="2:12" x14ac:dyDescent="0.3">
      <c r="B1696" s="25">
        <v>1701</v>
      </c>
      <c r="C1696" s="33">
        <v>33343</v>
      </c>
      <c r="D1696" s="33" t="s">
        <v>394</v>
      </c>
      <c r="E1696" s="35">
        <v>44671</v>
      </c>
      <c r="F1696" s="33">
        <v>2</v>
      </c>
      <c r="G1696" s="33" t="s">
        <v>122</v>
      </c>
      <c r="H1696" s="33" t="s">
        <v>72</v>
      </c>
      <c r="I1696" s="33" t="s">
        <v>196</v>
      </c>
      <c r="J1696" s="34">
        <v>2851.3</v>
      </c>
      <c r="K1696" s="34"/>
      <c r="L1696" s="34">
        <v>2851.3</v>
      </c>
    </row>
    <row r="1697" spans="2:12" x14ac:dyDescent="0.3">
      <c r="B1697" s="25">
        <v>1702</v>
      </c>
      <c r="C1697" s="33">
        <v>33360</v>
      </c>
      <c r="D1697" s="33" t="s">
        <v>611</v>
      </c>
      <c r="E1697" s="35">
        <v>44672</v>
      </c>
      <c r="F1697" s="33">
        <v>2</v>
      </c>
      <c r="G1697" s="33" t="s">
        <v>628</v>
      </c>
      <c r="H1697" s="33" t="s">
        <v>72</v>
      </c>
      <c r="I1697" s="33" t="s">
        <v>75</v>
      </c>
      <c r="J1697" s="34">
        <v>729</v>
      </c>
      <c r="K1697" s="34"/>
      <c r="L1697" s="34">
        <v>729</v>
      </c>
    </row>
    <row r="1698" spans="2:12" x14ac:dyDescent="0.3">
      <c r="B1698" s="25">
        <v>1703</v>
      </c>
      <c r="C1698" s="33">
        <v>33364</v>
      </c>
      <c r="D1698" s="33" t="s">
        <v>858</v>
      </c>
      <c r="E1698" s="35">
        <v>44672</v>
      </c>
      <c r="F1698" s="33">
        <v>2</v>
      </c>
      <c r="G1698" s="33" t="s">
        <v>122</v>
      </c>
      <c r="H1698" s="33" t="s">
        <v>72</v>
      </c>
      <c r="I1698" s="33" t="s">
        <v>196</v>
      </c>
      <c r="J1698" s="34">
        <v>8984</v>
      </c>
      <c r="K1698" s="34"/>
      <c r="L1698" s="34">
        <v>8984</v>
      </c>
    </row>
    <row r="1699" spans="2:12" x14ac:dyDescent="0.3">
      <c r="B1699" s="25">
        <v>1704</v>
      </c>
      <c r="C1699" s="33">
        <v>33365</v>
      </c>
      <c r="D1699" s="33" t="s">
        <v>392</v>
      </c>
      <c r="E1699" s="35">
        <v>44672</v>
      </c>
      <c r="F1699" s="33">
        <v>2</v>
      </c>
      <c r="G1699" s="33" t="s">
        <v>122</v>
      </c>
      <c r="H1699" s="33" t="s">
        <v>72</v>
      </c>
      <c r="I1699" s="33" t="s">
        <v>196</v>
      </c>
      <c r="J1699" s="34">
        <v>9911</v>
      </c>
      <c r="K1699" s="34"/>
      <c r="L1699" s="34">
        <v>9911</v>
      </c>
    </row>
    <row r="1700" spans="2:12" x14ac:dyDescent="0.3">
      <c r="B1700" s="25">
        <v>1705</v>
      </c>
      <c r="C1700" s="33">
        <v>33366</v>
      </c>
      <c r="D1700" s="33" t="s">
        <v>553</v>
      </c>
      <c r="E1700" s="35">
        <v>44672</v>
      </c>
      <c r="F1700" s="33">
        <v>2</v>
      </c>
      <c r="G1700" s="33" t="s">
        <v>122</v>
      </c>
      <c r="H1700" s="33" t="s">
        <v>72</v>
      </c>
      <c r="I1700" s="33" t="s">
        <v>196</v>
      </c>
      <c r="J1700" s="34">
        <v>33673</v>
      </c>
      <c r="K1700" s="34"/>
      <c r="L1700" s="34">
        <v>33673</v>
      </c>
    </row>
    <row r="1701" spans="2:12" x14ac:dyDescent="0.3">
      <c r="B1701" s="25">
        <v>1706</v>
      </c>
      <c r="C1701" s="33">
        <v>33423</v>
      </c>
      <c r="D1701" s="33" t="s">
        <v>394</v>
      </c>
      <c r="E1701" s="35">
        <v>44681</v>
      </c>
      <c r="F1701" s="33">
        <v>2</v>
      </c>
      <c r="G1701" s="33" t="s">
        <v>122</v>
      </c>
      <c r="H1701" s="33" t="s">
        <v>72</v>
      </c>
      <c r="I1701" s="33" t="s">
        <v>196</v>
      </c>
      <c r="J1701" s="34">
        <v>3647.3</v>
      </c>
      <c r="K1701" s="34"/>
      <c r="L1701" s="34">
        <v>3647.3</v>
      </c>
    </row>
    <row r="1702" spans="2:12" x14ac:dyDescent="0.3">
      <c r="B1702" s="25">
        <v>1707</v>
      </c>
      <c r="C1702" s="33" t="s">
        <v>953</v>
      </c>
      <c r="D1702" s="33" t="s">
        <v>426</v>
      </c>
      <c r="E1702" s="35">
        <v>44681</v>
      </c>
      <c r="F1702" s="33">
        <v>2</v>
      </c>
      <c r="G1702" s="33" t="s">
        <v>628</v>
      </c>
      <c r="H1702" s="33" t="s">
        <v>70</v>
      </c>
      <c r="I1702" s="33" t="s">
        <v>75</v>
      </c>
      <c r="J1702" s="34">
        <v>1154.2</v>
      </c>
      <c r="K1702" s="34">
        <v>85</v>
      </c>
      <c r="L1702" s="34">
        <v>1069.2</v>
      </c>
    </row>
    <row r="1703" spans="2:12" x14ac:dyDescent="0.3">
      <c r="B1703" s="25">
        <v>1708</v>
      </c>
      <c r="C1703" s="33" t="s">
        <v>954</v>
      </c>
      <c r="D1703" s="33" t="s">
        <v>955</v>
      </c>
      <c r="E1703" s="35">
        <v>44686</v>
      </c>
      <c r="F1703" s="33">
        <v>2</v>
      </c>
      <c r="G1703" s="33" t="s">
        <v>124</v>
      </c>
      <c r="H1703" s="33" t="s">
        <v>629</v>
      </c>
      <c r="I1703" s="33" t="s">
        <v>197</v>
      </c>
      <c r="J1703" s="34">
        <v>1460</v>
      </c>
      <c r="K1703" s="34">
        <v>80</v>
      </c>
      <c r="L1703" s="34">
        <v>1380</v>
      </c>
    </row>
    <row r="1704" spans="2:12" x14ac:dyDescent="0.3">
      <c r="B1704" s="25">
        <v>1709</v>
      </c>
      <c r="C1704" s="33" t="s">
        <v>956</v>
      </c>
      <c r="D1704" s="33" t="s">
        <v>955</v>
      </c>
      <c r="E1704" s="35">
        <v>44680</v>
      </c>
      <c r="F1704" s="33">
        <v>2</v>
      </c>
      <c r="G1704" s="33" t="s">
        <v>122</v>
      </c>
      <c r="H1704" s="33" t="s">
        <v>629</v>
      </c>
      <c r="I1704" s="33" t="s">
        <v>196</v>
      </c>
      <c r="J1704" s="34">
        <v>770</v>
      </c>
      <c r="K1704" s="34">
        <v>80</v>
      </c>
      <c r="L1704" s="34">
        <v>690</v>
      </c>
    </row>
    <row r="1705" spans="2:12" x14ac:dyDescent="0.3">
      <c r="B1705" s="25">
        <v>1710</v>
      </c>
      <c r="C1705" s="33">
        <v>33438</v>
      </c>
      <c r="D1705" s="33" t="s">
        <v>394</v>
      </c>
      <c r="E1705" s="35">
        <v>44684</v>
      </c>
      <c r="F1705" s="33">
        <v>2</v>
      </c>
      <c r="G1705" s="33" t="s">
        <v>122</v>
      </c>
      <c r="H1705" s="33" t="s">
        <v>72</v>
      </c>
      <c r="I1705" s="33" t="s">
        <v>196</v>
      </c>
      <c r="J1705" s="34">
        <v>6645</v>
      </c>
      <c r="K1705" s="34"/>
      <c r="L1705" s="34">
        <v>6645</v>
      </c>
    </row>
    <row r="1706" spans="2:12" x14ac:dyDescent="0.3">
      <c r="B1706" s="25">
        <v>1711</v>
      </c>
      <c r="C1706" s="33">
        <v>33446</v>
      </c>
      <c r="D1706" s="33" t="s">
        <v>948</v>
      </c>
      <c r="E1706" s="35">
        <v>44684</v>
      </c>
      <c r="F1706" s="33">
        <v>2</v>
      </c>
      <c r="G1706" s="33" t="s">
        <v>628</v>
      </c>
      <c r="H1706" s="33" t="s">
        <v>72</v>
      </c>
      <c r="I1706" s="33" t="s">
        <v>75</v>
      </c>
      <c r="J1706" s="34">
        <v>5145</v>
      </c>
      <c r="K1706" s="34"/>
      <c r="L1706" s="34">
        <v>5145</v>
      </c>
    </row>
    <row r="1707" spans="2:12" x14ac:dyDescent="0.3">
      <c r="B1707" s="25">
        <v>1712</v>
      </c>
      <c r="C1707" s="33">
        <v>33452</v>
      </c>
      <c r="D1707" s="33" t="s">
        <v>394</v>
      </c>
      <c r="E1707" s="35">
        <v>44686</v>
      </c>
      <c r="F1707" s="33">
        <v>2</v>
      </c>
      <c r="G1707" s="33" t="s">
        <v>122</v>
      </c>
      <c r="H1707" s="33" t="s">
        <v>72</v>
      </c>
      <c r="I1707" s="33" t="s">
        <v>196</v>
      </c>
      <c r="J1707" s="34">
        <v>20256.099999999999</v>
      </c>
      <c r="K1707" s="34"/>
      <c r="L1707" s="34">
        <v>20256.099999999999</v>
      </c>
    </row>
    <row r="1708" spans="2:12" x14ac:dyDescent="0.3">
      <c r="B1708" s="25">
        <v>1713</v>
      </c>
      <c r="C1708" s="33">
        <v>2170</v>
      </c>
      <c r="D1708" s="33" t="s">
        <v>550</v>
      </c>
      <c r="E1708" s="35">
        <v>44673</v>
      </c>
      <c r="F1708" s="33">
        <v>2</v>
      </c>
      <c r="G1708" s="33" t="s">
        <v>124</v>
      </c>
      <c r="H1708" s="33" t="s">
        <v>201</v>
      </c>
      <c r="I1708" s="33" t="s">
        <v>197</v>
      </c>
      <c r="J1708" s="34">
        <v>2935.2</v>
      </c>
      <c r="K1708" s="34"/>
      <c r="L1708" s="34">
        <v>2935.2</v>
      </c>
    </row>
    <row r="1709" spans="2:12" x14ac:dyDescent="0.3">
      <c r="B1709" s="25">
        <v>1714</v>
      </c>
      <c r="C1709" s="33">
        <v>2174</v>
      </c>
      <c r="D1709" s="33" t="s">
        <v>548</v>
      </c>
      <c r="E1709" s="35">
        <v>44673</v>
      </c>
      <c r="F1709" s="33">
        <v>2</v>
      </c>
      <c r="G1709" s="33" t="s">
        <v>122</v>
      </c>
      <c r="H1709" s="33" t="s">
        <v>201</v>
      </c>
      <c r="I1709" s="33" t="s">
        <v>196</v>
      </c>
      <c r="J1709" s="34">
        <v>1278.75</v>
      </c>
      <c r="K1709" s="34"/>
      <c r="L1709" s="34">
        <v>1278.75</v>
      </c>
    </row>
    <row r="1710" spans="2:12" x14ac:dyDescent="0.3">
      <c r="B1710" s="25">
        <v>1715</v>
      </c>
      <c r="C1710" s="33">
        <v>2175</v>
      </c>
      <c r="D1710" s="33" t="s">
        <v>556</v>
      </c>
      <c r="E1710" s="35">
        <v>44664</v>
      </c>
      <c r="F1710" s="33">
        <v>2</v>
      </c>
      <c r="G1710" s="33" t="s">
        <v>124</v>
      </c>
      <c r="H1710" s="33" t="s">
        <v>201</v>
      </c>
      <c r="I1710" s="33" t="s">
        <v>197</v>
      </c>
      <c r="J1710" s="34">
        <v>2716.56</v>
      </c>
      <c r="K1710" s="34"/>
      <c r="L1710" s="34">
        <v>2716.56</v>
      </c>
    </row>
    <row r="1711" spans="2:12" x14ac:dyDescent="0.3">
      <c r="B1711" s="25">
        <v>1716</v>
      </c>
      <c r="C1711" s="33">
        <v>2176</v>
      </c>
      <c r="D1711" s="33" t="s">
        <v>957</v>
      </c>
      <c r="E1711" s="35">
        <v>44664</v>
      </c>
      <c r="F1711" s="33">
        <v>2</v>
      </c>
      <c r="G1711" s="33" t="s">
        <v>122</v>
      </c>
      <c r="H1711" s="33" t="s">
        <v>201</v>
      </c>
      <c r="I1711" s="33" t="s">
        <v>196</v>
      </c>
      <c r="J1711" s="34">
        <v>4281.75</v>
      </c>
      <c r="K1711" s="34"/>
      <c r="L1711" s="34">
        <v>4281.75</v>
      </c>
    </row>
    <row r="1712" spans="2:12" x14ac:dyDescent="0.3">
      <c r="B1712" s="25">
        <v>1717</v>
      </c>
      <c r="C1712" s="33">
        <v>2177</v>
      </c>
      <c r="D1712" s="33" t="s">
        <v>483</v>
      </c>
      <c r="E1712" s="35">
        <v>44664</v>
      </c>
      <c r="F1712" s="33">
        <v>2</v>
      </c>
      <c r="G1712" s="33" t="s">
        <v>628</v>
      </c>
      <c r="H1712" s="33" t="s">
        <v>201</v>
      </c>
      <c r="I1712" s="33" t="s">
        <v>75</v>
      </c>
      <c r="J1712" s="34">
        <v>1006.07</v>
      </c>
      <c r="K1712" s="34"/>
      <c r="L1712" s="34">
        <v>1006.07</v>
      </c>
    </row>
    <row r="1713" spans="2:12" x14ac:dyDescent="0.3">
      <c r="B1713" s="25">
        <v>1718</v>
      </c>
      <c r="C1713" s="33">
        <v>2178</v>
      </c>
      <c r="D1713" s="33" t="s">
        <v>584</v>
      </c>
      <c r="E1713" s="35">
        <v>44664</v>
      </c>
      <c r="F1713" s="33">
        <v>2</v>
      </c>
      <c r="G1713" s="33" t="s">
        <v>122</v>
      </c>
      <c r="H1713" s="33" t="s">
        <v>201</v>
      </c>
      <c r="I1713" s="33" t="s">
        <v>196</v>
      </c>
      <c r="J1713" s="34">
        <v>6970.92</v>
      </c>
      <c r="K1713" s="34"/>
      <c r="L1713" s="34">
        <v>6970.92</v>
      </c>
    </row>
    <row r="1714" spans="2:12" x14ac:dyDescent="0.3">
      <c r="B1714" s="25">
        <v>1719</v>
      </c>
      <c r="C1714" s="33">
        <v>2179</v>
      </c>
      <c r="D1714" s="33" t="s">
        <v>584</v>
      </c>
      <c r="E1714" s="35">
        <v>44664</v>
      </c>
      <c r="F1714" s="33">
        <v>2</v>
      </c>
      <c r="G1714" s="33" t="s">
        <v>122</v>
      </c>
      <c r="H1714" s="33" t="s">
        <v>201</v>
      </c>
      <c r="I1714" s="33" t="s">
        <v>196</v>
      </c>
      <c r="J1714" s="34">
        <v>2216.75</v>
      </c>
      <c r="K1714" s="34"/>
      <c r="L1714" s="34">
        <v>2216.75</v>
      </c>
    </row>
    <row r="1715" spans="2:12" x14ac:dyDescent="0.3">
      <c r="B1715" s="25">
        <v>1720</v>
      </c>
      <c r="C1715" s="33">
        <v>2180</v>
      </c>
      <c r="D1715" s="33" t="s">
        <v>584</v>
      </c>
      <c r="E1715" s="35">
        <v>44664</v>
      </c>
      <c r="F1715" s="33">
        <v>2</v>
      </c>
      <c r="G1715" s="33" t="s">
        <v>122</v>
      </c>
      <c r="H1715" s="33" t="s">
        <v>201</v>
      </c>
      <c r="I1715" s="33" t="s">
        <v>196</v>
      </c>
      <c r="J1715" s="34">
        <v>3658.16</v>
      </c>
      <c r="K1715" s="34"/>
      <c r="L1715" s="34">
        <v>3658.16</v>
      </c>
    </row>
    <row r="1716" spans="2:12" x14ac:dyDescent="0.3">
      <c r="B1716" s="25">
        <v>1721</v>
      </c>
      <c r="C1716" s="33">
        <v>2183</v>
      </c>
      <c r="D1716" s="33" t="s">
        <v>411</v>
      </c>
      <c r="E1716" s="35">
        <v>44664</v>
      </c>
      <c r="F1716" s="33">
        <v>2</v>
      </c>
      <c r="G1716" s="33" t="s">
        <v>122</v>
      </c>
      <c r="H1716" s="33" t="s">
        <v>201</v>
      </c>
      <c r="I1716" s="33" t="s">
        <v>196</v>
      </c>
      <c r="J1716" s="34">
        <v>4611.2</v>
      </c>
      <c r="K1716" s="34"/>
      <c r="L1716" s="34">
        <v>4611.2</v>
      </c>
    </row>
    <row r="1717" spans="2:12" x14ac:dyDescent="0.3">
      <c r="B1717" s="25">
        <v>1722</v>
      </c>
      <c r="C1717" s="33">
        <v>2184</v>
      </c>
      <c r="D1717" s="33" t="s">
        <v>958</v>
      </c>
      <c r="E1717" s="35">
        <v>44664</v>
      </c>
      <c r="F1717" s="33">
        <v>2</v>
      </c>
      <c r="G1717" s="33" t="s">
        <v>231</v>
      </c>
      <c r="H1717" s="33" t="s">
        <v>201</v>
      </c>
      <c r="I1717" s="33" t="s">
        <v>198</v>
      </c>
      <c r="J1717" s="34">
        <v>1390.95</v>
      </c>
      <c r="K1717" s="34"/>
      <c r="L1717" s="34">
        <v>1390.95</v>
      </c>
    </row>
    <row r="1718" spans="2:12" x14ac:dyDescent="0.3">
      <c r="B1718" s="25">
        <v>1723</v>
      </c>
      <c r="C1718" s="33">
        <v>2302</v>
      </c>
      <c r="D1718" s="33" t="s">
        <v>562</v>
      </c>
      <c r="E1718" s="35">
        <v>44671</v>
      </c>
      <c r="F1718" s="33">
        <v>2</v>
      </c>
      <c r="G1718" s="33" t="s">
        <v>231</v>
      </c>
      <c r="H1718" s="33" t="s">
        <v>201</v>
      </c>
      <c r="I1718" s="33" t="s">
        <v>198</v>
      </c>
      <c r="J1718" s="34">
        <v>18</v>
      </c>
      <c r="K1718" s="34"/>
      <c r="L1718" s="34">
        <v>18</v>
      </c>
    </row>
    <row r="1719" spans="2:12" x14ac:dyDescent="0.3">
      <c r="B1719" s="25">
        <v>1724</v>
      </c>
      <c r="C1719" s="33">
        <v>2367</v>
      </c>
      <c r="D1719" s="33" t="s">
        <v>584</v>
      </c>
      <c r="E1719" s="35">
        <v>44672</v>
      </c>
      <c r="F1719" s="33">
        <v>2</v>
      </c>
      <c r="G1719" s="33" t="s">
        <v>122</v>
      </c>
      <c r="H1719" s="33" t="s">
        <v>201</v>
      </c>
      <c r="I1719" s="33" t="s">
        <v>196</v>
      </c>
      <c r="J1719" s="34">
        <v>11.76</v>
      </c>
      <c r="K1719" s="34"/>
      <c r="L1719" s="34">
        <v>11.76</v>
      </c>
    </row>
    <row r="1720" spans="2:12" x14ac:dyDescent="0.3">
      <c r="B1720" s="25">
        <v>1725</v>
      </c>
      <c r="C1720" s="33" t="s">
        <v>959</v>
      </c>
      <c r="D1720" s="33" t="s">
        <v>608</v>
      </c>
      <c r="E1720" s="35">
        <v>44672</v>
      </c>
      <c r="F1720" s="33">
        <v>2</v>
      </c>
      <c r="G1720" s="33" t="s">
        <v>124</v>
      </c>
      <c r="H1720" s="33" t="s">
        <v>201</v>
      </c>
      <c r="I1720" s="33" t="s">
        <v>197</v>
      </c>
      <c r="J1720" s="34">
        <v>781.55</v>
      </c>
      <c r="K1720" s="34"/>
      <c r="L1720" s="34">
        <v>781.55</v>
      </c>
    </row>
    <row r="1721" spans="2:12" x14ac:dyDescent="0.3">
      <c r="B1721" s="25">
        <v>1726</v>
      </c>
      <c r="C1721" s="33">
        <v>2388</v>
      </c>
      <c r="D1721" s="33" t="s">
        <v>600</v>
      </c>
      <c r="E1721" s="35">
        <v>44672</v>
      </c>
      <c r="F1721" s="33">
        <v>2</v>
      </c>
      <c r="G1721" s="33" t="s">
        <v>628</v>
      </c>
      <c r="H1721" s="33" t="s">
        <v>201</v>
      </c>
      <c r="I1721" s="33" t="s">
        <v>75</v>
      </c>
      <c r="J1721" s="34">
        <v>165</v>
      </c>
      <c r="K1721" s="34"/>
      <c r="L1721" s="34">
        <v>165</v>
      </c>
    </row>
    <row r="1722" spans="2:12" x14ac:dyDescent="0.3">
      <c r="B1722" s="25">
        <v>1727</v>
      </c>
      <c r="C1722" s="33">
        <v>2389</v>
      </c>
      <c r="D1722" s="33" t="s">
        <v>551</v>
      </c>
      <c r="E1722" s="35">
        <v>44672</v>
      </c>
      <c r="F1722" s="33">
        <v>2</v>
      </c>
      <c r="G1722" s="33" t="s">
        <v>231</v>
      </c>
      <c r="H1722" s="33" t="s">
        <v>201</v>
      </c>
      <c r="I1722" s="33" t="s">
        <v>198</v>
      </c>
      <c r="J1722" s="34">
        <v>3865.71</v>
      </c>
      <c r="K1722" s="34"/>
      <c r="L1722" s="34">
        <v>3865.71</v>
      </c>
    </row>
    <row r="1723" spans="2:12" x14ac:dyDescent="0.3">
      <c r="B1723" s="25">
        <v>1728</v>
      </c>
      <c r="C1723" s="33">
        <v>2390</v>
      </c>
      <c r="D1723" s="33" t="s">
        <v>551</v>
      </c>
      <c r="E1723" s="35">
        <v>44672</v>
      </c>
      <c r="F1723" s="33">
        <v>2</v>
      </c>
      <c r="G1723" s="33" t="s">
        <v>231</v>
      </c>
      <c r="H1723" s="33" t="s">
        <v>201</v>
      </c>
      <c r="I1723" s="33" t="s">
        <v>198</v>
      </c>
      <c r="J1723" s="34">
        <v>1199.71</v>
      </c>
      <c r="K1723" s="34"/>
      <c r="L1723" s="34">
        <v>1199.71</v>
      </c>
    </row>
    <row r="1724" spans="2:12" x14ac:dyDescent="0.3">
      <c r="B1724" s="25">
        <v>1729</v>
      </c>
      <c r="C1724" s="33">
        <v>2393</v>
      </c>
      <c r="D1724" s="33" t="s">
        <v>473</v>
      </c>
      <c r="E1724" s="35">
        <v>44672</v>
      </c>
      <c r="F1724" s="33">
        <v>2</v>
      </c>
      <c r="G1724" s="33" t="s">
        <v>122</v>
      </c>
      <c r="H1724" s="33" t="s">
        <v>201</v>
      </c>
      <c r="I1724" s="33" t="s">
        <v>196</v>
      </c>
      <c r="J1724" s="34">
        <v>3666.28</v>
      </c>
      <c r="K1724" s="34"/>
      <c r="L1724" s="34">
        <v>3666.28</v>
      </c>
    </row>
    <row r="1725" spans="2:12" x14ac:dyDescent="0.3">
      <c r="B1725" s="25">
        <v>1730</v>
      </c>
      <c r="C1725" s="33">
        <v>2397</v>
      </c>
      <c r="D1725" s="33" t="s">
        <v>584</v>
      </c>
      <c r="E1725" s="35">
        <v>44672</v>
      </c>
      <c r="F1725" s="33">
        <v>2</v>
      </c>
      <c r="G1725" s="33" t="s">
        <v>122</v>
      </c>
      <c r="H1725" s="33" t="s">
        <v>201</v>
      </c>
      <c r="I1725" s="33" t="s">
        <v>196</v>
      </c>
      <c r="J1725" s="34">
        <v>4559.28</v>
      </c>
      <c r="K1725" s="34"/>
      <c r="L1725" s="34">
        <v>4559.28</v>
      </c>
    </row>
    <row r="1726" spans="2:12" x14ac:dyDescent="0.3">
      <c r="B1726" s="25">
        <v>1731</v>
      </c>
      <c r="C1726" s="33">
        <v>2398</v>
      </c>
      <c r="D1726" s="33" t="s">
        <v>584</v>
      </c>
      <c r="E1726" s="35">
        <v>44672</v>
      </c>
      <c r="F1726" s="33">
        <v>2</v>
      </c>
      <c r="G1726" s="33" t="s">
        <v>122</v>
      </c>
      <c r="H1726" s="33" t="s">
        <v>201</v>
      </c>
      <c r="I1726" s="33" t="s">
        <v>196</v>
      </c>
      <c r="J1726" s="34">
        <v>2219.58</v>
      </c>
      <c r="K1726" s="34"/>
      <c r="L1726" s="34">
        <v>2219.58</v>
      </c>
    </row>
    <row r="1727" spans="2:12" x14ac:dyDescent="0.3">
      <c r="B1727" s="25">
        <v>1732</v>
      </c>
      <c r="C1727" s="33">
        <v>2400</v>
      </c>
      <c r="D1727" s="33" t="s">
        <v>562</v>
      </c>
      <c r="E1727" s="35">
        <v>44672</v>
      </c>
      <c r="F1727" s="33">
        <v>2</v>
      </c>
      <c r="G1727" s="33" t="s">
        <v>231</v>
      </c>
      <c r="H1727" s="33" t="s">
        <v>201</v>
      </c>
      <c r="I1727" s="33" t="s">
        <v>198</v>
      </c>
      <c r="J1727" s="34">
        <v>2568</v>
      </c>
      <c r="K1727" s="34"/>
      <c r="L1727" s="34">
        <v>2568</v>
      </c>
    </row>
    <row r="1728" spans="2:12" x14ac:dyDescent="0.3">
      <c r="B1728" s="25">
        <v>1733</v>
      </c>
      <c r="C1728" s="33">
        <v>2405</v>
      </c>
      <c r="D1728" s="33" t="s">
        <v>660</v>
      </c>
      <c r="E1728" s="35">
        <v>44672</v>
      </c>
      <c r="F1728" s="33">
        <v>2</v>
      </c>
      <c r="G1728" s="33" t="s">
        <v>124</v>
      </c>
      <c r="H1728" s="33" t="s">
        <v>201</v>
      </c>
      <c r="I1728" s="33" t="s">
        <v>197</v>
      </c>
      <c r="J1728" s="34">
        <v>1583.37</v>
      </c>
      <c r="K1728" s="34"/>
      <c r="L1728" s="34">
        <v>1583.37</v>
      </c>
    </row>
    <row r="1729" spans="2:12" x14ac:dyDescent="0.3">
      <c r="B1729" s="25">
        <v>1734</v>
      </c>
      <c r="C1729" s="33">
        <v>2406</v>
      </c>
      <c r="D1729" s="33" t="s">
        <v>411</v>
      </c>
      <c r="E1729" s="35">
        <v>44672</v>
      </c>
      <c r="F1729" s="33">
        <v>2</v>
      </c>
      <c r="G1729" s="33" t="s">
        <v>122</v>
      </c>
      <c r="H1729" s="33" t="s">
        <v>201</v>
      </c>
      <c r="I1729" s="33" t="s">
        <v>196</v>
      </c>
      <c r="J1729" s="34">
        <v>4112.46</v>
      </c>
      <c r="K1729" s="34"/>
      <c r="L1729" s="34">
        <v>4112.46</v>
      </c>
    </row>
    <row r="1730" spans="2:12" x14ac:dyDescent="0.3">
      <c r="B1730" s="25">
        <v>1735</v>
      </c>
      <c r="C1730" s="33">
        <v>2550</v>
      </c>
      <c r="D1730" s="33" t="s">
        <v>473</v>
      </c>
      <c r="E1730" s="35">
        <v>44679</v>
      </c>
      <c r="F1730" s="33">
        <v>2</v>
      </c>
      <c r="G1730" s="33" t="s">
        <v>122</v>
      </c>
      <c r="H1730" s="33" t="s">
        <v>201</v>
      </c>
      <c r="I1730" s="33" t="s">
        <v>196</v>
      </c>
      <c r="J1730" s="34">
        <v>3783.01</v>
      </c>
      <c r="K1730" s="34"/>
      <c r="L1730" s="34">
        <v>3783.01</v>
      </c>
    </row>
    <row r="1731" spans="2:12" x14ac:dyDescent="0.3">
      <c r="B1731" s="25">
        <v>1736</v>
      </c>
      <c r="C1731" s="33">
        <v>2553</v>
      </c>
      <c r="D1731" s="33" t="s">
        <v>556</v>
      </c>
      <c r="E1731" s="35">
        <v>44679</v>
      </c>
      <c r="F1731" s="33">
        <v>2</v>
      </c>
      <c r="G1731" s="33" t="s">
        <v>124</v>
      </c>
      <c r="H1731" s="33" t="s">
        <v>201</v>
      </c>
      <c r="I1731" s="33" t="s">
        <v>197</v>
      </c>
      <c r="J1731" s="34">
        <v>1543.7</v>
      </c>
      <c r="K1731" s="34"/>
      <c r="L1731" s="34">
        <v>1543.7</v>
      </c>
    </row>
    <row r="1732" spans="2:12" x14ac:dyDescent="0.3">
      <c r="B1732" s="25">
        <v>1737</v>
      </c>
      <c r="C1732" s="33">
        <v>2556</v>
      </c>
      <c r="D1732" s="33" t="s">
        <v>584</v>
      </c>
      <c r="E1732" s="35">
        <v>44679</v>
      </c>
      <c r="F1732" s="33">
        <v>2</v>
      </c>
      <c r="G1732" s="33" t="s">
        <v>122</v>
      </c>
      <c r="H1732" s="33" t="s">
        <v>201</v>
      </c>
      <c r="I1732" s="33" t="s">
        <v>196</v>
      </c>
      <c r="J1732" s="34">
        <v>1003.2</v>
      </c>
      <c r="K1732" s="34"/>
      <c r="L1732" s="34">
        <v>1003.2</v>
      </c>
    </row>
    <row r="1733" spans="2:12" x14ac:dyDescent="0.3">
      <c r="B1733" s="25">
        <v>1738</v>
      </c>
      <c r="C1733" s="33">
        <v>2565</v>
      </c>
      <c r="D1733" s="33" t="s">
        <v>411</v>
      </c>
      <c r="E1733" s="35">
        <v>44679</v>
      </c>
      <c r="F1733" s="33">
        <v>2</v>
      </c>
      <c r="G1733" s="33" t="s">
        <v>122</v>
      </c>
      <c r="H1733" s="33" t="s">
        <v>201</v>
      </c>
      <c r="I1733" s="33" t="s">
        <v>196</v>
      </c>
      <c r="J1733" s="34">
        <v>4341.1499999999996</v>
      </c>
      <c r="K1733" s="34"/>
      <c r="L1733" s="34">
        <v>4341.1499999999996</v>
      </c>
    </row>
    <row r="1734" spans="2:12" x14ac:dyDescent="0.3">
      <c r="B1734" s="25">
        <v>1739</v>
      </c>
      <c r="C1734" s="33">
        <v>2566</v>
      </c>
      <c r="D1734" s="33" t="s">
        <v>411</v>
      </c>
      <c r="E1734" s="35">
        <v>44679</v>
      </c>
      <c r="F1734" s="33">
        <v>2</v>
      </c>
      <c r="G1734" s="33" t="s">
        <v>122</v>
      </c>
      <c r="H1734" s="33" t="s">
        <v>201</v>
      </c>
      <c r="I1734" s="33" t="s">
        <v>196</v>
      </c>
      <c r="J1734" s="34">
        <v>1971.2</v>
      </c>
      <c r="K1734" s="34"/>
      <c r="L1734" s="34">
        <v>1971.2</v>
      </c>
    </row>
    <row r="1735" spans="2:12" x14ac:dyDescent="0.3">
      <c r="B1735" s="25">
        <v>1740</v>
      </c>
      <c r="C1735" s="33">
        <v>2569</v>
      </c>
      <c r="D1735" s="33" t="s">
        <v>958</v>
      </c>
      <c r="E1735" s="35">
        <v>44679</v>
      </c>
      <c r="F1735" s="33">
        <v>2</v>
      </c>
      <c r="G1735" s="33" t="s">
        <v>231</v>
      </c>
      <c r="H1735" s="33" t="s">
        <v>201</v>
      </c>
      <c r="I1735" s="33" t="s">
        <v>198</v>
      </c>
      <c r="J1735" s="34">
        <v>3707.54</v>
      </c>
      <c r="K1735" s="34"/>
      <c r="L1735" s="34">
        <v>3707.54</v>
      </c>
    </row>
    <row r="1736" spans="2:12" x14ac:dyDescent="0.3">
      <c r="B1736" s="25">
        <v>1741</v>
      </c>
      <c r="C1736" s="33">
        <v>2592</v>
      </c>
      <c r="D1736" s="33" t="s">
        <v>635</v>
      </c>
      <c r="E1736" s="35">
        <v>44710</v>
      </c>
      <c r="F1736" s="33">
        <v>2</v>
      </c>
      <c r="G1736" s="33" t="s">
        <v>628</v>
      </c>
      <c r="H1736" s="33" t="s">
        <v>201</v>
      </c>
      <c r="I1736" s="33" t="s">
        <v>75</v>
      </c>
      <c r="J1736" s="34">
        <v>2593.8000000000002</v>
      </c>
      <c r="K1736" s="34"/>
      <c r="L1736" s="34">
        <v>2593.8000000000002</v>
      </c>
    </row>
    <row r="1737" spans="2:12" x14ac:dyDescent="0.3">
      <c r="B1737" s="25">
        <v>1742</v>
      </c>
      <c r="C1737" s="33" t="s">
        <v>960</v>
      </c>
      <c r="D1737" s="33" t="s">
        <v>394</v>
      </c>
      <c r="E1737" s="35">
        <v>44687</v>
      </c>
      <c r="F1737" s="33">
        <v>2</v>
      </c>
      <c r="G1737" s="33" t="s">
        <v>122</v>
      </c>
      <c r="H1737" s="33" t="s">
        <v>201</v>
      </c>
      <c r="I1737" s="33" t="s">
        <v>196</v>
      </c>
      <c r="J1737" s="34">
        <v>-1793.22</v>
      </c>
      <c r="K1737" s="34"/>
      <c r="L1737" s="34">
        <v>-1793.22</v>
      </c>
    </row>
    <row r="1738" spans="2:12" x14ac:dyDescent="0.3">
      <c r="B1738" s="25">
        <v>1743</v>
      </c>
      <c r="C1738" s="33">
        <v>33532</v>
      </c>
      <c r="D1738" s="33" t="s">
        <v>961</v>
      </c>
      <c r="E1738" s="35">
        <v>44697</v>
      </c>
      <c r="F1738" s="33">
        <v>2</v>
      </c>
      <c r="G1738" s="33" t="s">
        <v>122</v>
      </c>
      <c r="H1738" s="33" t="s">
        <v>72</v>
      </c>
      <c r="I1738" s="33" t="s">
        <v>196</v>
      </c>
      <c r="J1738" s="34">
        <v>3796.5</v>
      </c>
      <c r="K1738" s="34"/>
      <c r="L1738" s="34">
        <v>3796.5</v>
      </c>
    </row>
    <row r="1739" spans="2:12" x14ac:dyDescent="0.3">
      <c r="B1739" s="25">
        <v>1744</v>
      </c>
      <c r="C1739" s="33">
        <v>1556</v>
      </c>
      <c r="D1739" s="33" t="s">
        <v>418</v>
      </c>
      <c r="E1739" s="35">
        <v>44656</v>
      </c>
      <c r="F1739" s="33">
        <v>2</v>
      </c>
      <c r="G1739" s="33" t="s">
        <v>628</v>
      </c>
      <c r="H1739" s="33" t="s">
        <v>71</v>
      </c>
      <c r="I1739" s="33" t="s">
        <v>75</v>
      </c>
      <c r="J1739" s="34">
        <v>925.85</v>
      </c>
      <c r="K1739" s="34">
        <v>80</v>
      </c>
      <c r="L1739" s="34">
        <v>845.85</v>
      </c>
    </row>
    <row r="1740" spans="2:12" x14ac:dyDescent="0.3">
      <c r="B1740" s="25">
        <v>1745</v>
      </c>
      <c r="C1740" s="33">
        <v>1614</v>
      </c>
      <c r="D1740" s="33" t="s">
        <v>962</v>
      </c>
      <c r="E1740" s="35">
        <v>44659</v>
      </c>
      <c r="F1740" s="33">
        <v>2</v>
      </c>
      <c r="G1740" s="33" t="s">
        <v>122</v>
      </c>
      <c r="H1740" s="33" t="s">
        <v>71</v>
      </c>
      <c r="I1740" s="33" t="s">
        <v>196</v>
      </c>
      <c r="J1740" s="34">
        <v>909.24</v>
      </c>
      <c r="K1740" s="34">
        <v>80</v>
      </c>
      <c r="L1740" s="34">
        <v>829.24</v>
      </c>
    </row>
    <row r="1741" spans="2:12" x14ac:dyDescent="0.3">
      <c r="B1741" s="25">
        <v>1746</v>
      </c>
      <c r="C1741" s="33">
        <v>1617</v>
      </c>
      <c r="D1741" s="33" t="s">
        <v>836</v>
      </c>
      <c r="E1741" s="35">
        <v>44662</v>
      </c>
      <c r="F1741" s="33">
        <v>2</v>
      </c>
      <c r="G1741" s="33" t="s">
        <v>628</v>
      </c>
      <c r="H1741" s="33" t="s">
        <v>71</v>
      </c>
      <c r="I1741" s="33" t="s">
        <v>75</v>
      </c>
      <c r="J1741" s="34">
        <v>1080.31</v>
      </c>
      <c r="K1741" s="34"/>
      <c r="L1741" s="34">
        <v>1080.31</v>
      </c>
    </row>
    <row r="1742" spans="2:12" x14ac:dyDescent="0.3">
      <c r="B1742" s="25">
        <v>1747</v>
      </c>
      <c r="C1742" s="33">
        <v>1656</v>
      </c>
      <c r="D1742" s="33" t="s">
        <v>963</v>
      </c>
      <c r="E1742" s="35">
        <v>44664</v>
      </c>
      <c r="F1742" s="33">
        <v>2</v>
      </c>
      <c r="G1742" s="33" t="s">
        <v>231</v>
      </c>
      <c r="H1742" s="33" t="s">
        <v>71</v>
      </c>
      <c r="I1742" s="33" t="s">
        <v>198</v>
      </c>
      <c r="J1742" s="34">
        <v>420</v>
      </c>
      <c r="K1742" s="34"/>
      <c r="L1742" s="34">
        <v>420</v>
      </c>
    </row>
    <row r="1743" spans="2:12" x14ac:dyDescent="0.3">
      <c r="B1743" s="25">
        <v>1748</v>
      </c>
      <c r="C1743" s="33">
        <v>1664</v>
      </c>
      <c r="D1743" s="33" t="s">
        <v>277</v>
      </c>
      <c r="E1743" s="35">
        <v>44664</v>
      </c>
      <c r="F1743" s="33">
        <v>2</v>
      </c>
      <c r="G1743" s="33" t="s">
        <v>124</v>
      </c>
      <c r="H1743" s="33" t="s">
        <v>71</v>
      </c>
      <c r="I1743" s="33" t="s">
        <v>197</v>
      </c>
      <c r="J1743" s="34">
        <v>1612.3</v>
      </c>
      <c r="K1743" s="34"/>
      <c r="L1743" s="34">
        <v>1612.3</v>
      </c>
    </row>
    <row r="1744" spans="2:12" x14ac:dyDescent="0.3">
      <c r="B1744" s="25">
        <v>1749</v>
      </c>
      <c r="C1744" s="33">
        <v>1666</v>
      </c>
      <c r="D1744" s="33" t="s">
        <v>538</v>
      </c>
      <c r="E1744" s="35">
        <v>44664</v>
      </c>
      <c r="F1744" s="33">
        <v>2</v>
      </c>
      <c r="G1744" s="33" t="s">
        <v>231</v>
      </c>
      <c r="H1744" s="33" t="s">
        <v>71</v>
      </c>
      <c r="I1744" s="33" t="s">
        <v>198</v>
      </c>
      <c r="J1744" s="34">
        <v>780.7</v>
      </c>
      <c r="K1744" s="34">
        <v>80</v>
      </c>
      <c r="L1744" s="34">
        <v>700.7</v>
      </c>
    </row>
    <row r="1745" spans="2:12" x14ac:dyDescent="0.3">
      <c r="B1745" s="25">
        <v>1750</v>
      </c>
      <c r="C1745" s="33">
        <v>1682</v>
      </c>
      <c r="D1745" s="33" t="s">
        <v>403</v>
      </c>
      <c r="E1745" s="35">
        <v>44665</v>
      </c>
      <c r="F1745" s="33">
        <v>2</v>
      </c>
      <c r="G1745" s="33" t="s">
        <v>122</v>
      </c>
      <c r="H1745" s="33" t="s">
        <v>71</v>
      </c>
      <c r="I1745" s="33" t="s">
        <v>196</v>
      </c>
      <c r="J1745" s="34">
        <v>557.75</v>
      </c>
      <c r="K1745" s="34">
        <v>80</v>
      </c>
      <c r="L1745" s="34">
        <v>477.75</v>
      </c>
    </row>
    <row r="1746" spans="2:12" x14ac:dyDescent="0.3">
      <c r="B1746" s="25">
        <v>1751</v>
      </c>
      <c r="C1746" s="33">
        <v>1688</v>
      </c>
      <c r="D1746" s="33" t="s">
        <v>429</v>
      </c>
      <c r="E1746" s="35">
        <v>44665</v>
      </c>
      <c r="F1746" s="33">
        <v>2</v>
      </c>
      <c r="G1746" s="33" t="s">
        <v>628</v>
      </c>
      <c r="H1746" s="33" t="s">
        <v>71</v>
      </c>
      <c r="I1746" s="33" t="s">
        <v>75</v>
      </c>
      <c r="J1746" s="34">
        <v>185.56</v>
      </c>
      <c r="K1746" s="34">
        <v>80</v>
      </c>
      <c r="L1746" s="34">
        <v>105.56</v>
      </c>
    </row>
    <row r="1747" spans="2:12" x14ac:dyDescent="0.3">
      <c r="B1747" s="25">
        <v>1752</v>
      </c>
      <c r="C1747" s="33">
        <v>1701</v>
      </c>
      <c r="D1747" s="33" t="s">
        <v>401</v>
      </c>
      <c r="E1747" s="35">
        <v>44670</v>
      </c>
      <c r="F1747" s="33">
        <v>2</v>
      </c>
      <c r="G1747" s="33" t="s">
        <v>231</v>
      </c>
      <c r="H1747" s="33" t="s">
        <v>71</v>
      </c>
      <c r="I1747" s="33" t="s">
        <v>198</v>
      </c>
      <c r="J1747" s="34">
        <v>929.13</v>
      </c>
      <c r="K1747" s="34"/>
      <c r="L1747" s="34">
        <v>929.13</v>
      </c>
    </row>
    <row r="1748" spans="2:12" x14ac:dyDescent="0.3">
      <c r="B1748" s="25">
        <v>1753</v>
      </c>
      <c r="C1748" s="33">
        <v>1702</v>
      </c>
      <c r="D1748" s="33" t="s">
        <v>427</v>
      </c>
      <c r="E1748" s="35">
        <v>44670</v>
      </c>
      <c r="F1748" s="33">
        <v>2</v>
      </c>
      <c r="G1748" s="33" t="s">
        <v>628</v>
      </c>
      <c r="H1748" s="33" t="s">
        <v>71</v>
      </c>
      <c r="I1748" s="33" t="s">
        <v>75</v>
      </c>
      <c r="J1748" s="34">
        <v>908.23</v>
      </c>
      <c r="K1748" s="34"/>
      <c r="L1748" s="34">
        <v>908.23</v>
      </c>
    </row>
    <row r="1749" spans="2:12" x14ac:dyDescent="0.3">
      <c r="B1749" s="25">
        <v>1754</v>
      </c>
      <c r="C1749" s="33">
        <v>1780</v>
      </c>
      <c r="D1749" s="33" t="s">
        <v>384</v>
      </c>
      <c r="E1749" s="35">
        <v>44672</v>
      </c>
      <c r="F1749" s="33">
        <v>2</v>
      </c>
      <c r="G1749" s="33" t="s">
        <v>124</v>
      </c>
      <c r="H1749" s="33" t="s">
        <v>71</v>
      </c>
      <c r="I1749" s="33" t="s">
        <v>197</v>
      </c>
      <c r="J1749" s="34">
        <v>1082.07</v>
      </c>
      <c r="K1749" s="34"/>
      <c r="L1749" s="34">
        <v>1082.07</v>
      </c>
    </row>
    <row r="1750" spans="2:12" x14ac:dyDescent="0.3">
      <c r="B1750" s="25">
        <v>1755</v>
      </c>
      <c r="C1750" s="33" t="s">
        <v>964</v>
      </c>
      <c r="D1750" s="33" t="s">
        <v>430</v>
      </c>
      <c r="E1750" s="35">
        <v>44673</v>
      </c>
      <c r="F1750" s="33">
        <v>2</v>
      </c>
      <c r="G1750" s="33" t="s">
        <v>231</v>
      </c>
      <c r="H1750" s="33" t="s">
        <v>71</v>
      </c>
      <c r="I1750" s="33" t="s">
        <v>198</v>
      </c>
      <c r="J1750" s="34">
        <v>643.05999999999995</v>
      </c>
      <c r="K1750" s="34">
        <v>80</v>
      </c>
      <c r="L1750" s="34">
        <v>563.05999999999995</v>
      </c>
    </row>
    <row r="1751" spans="2:12" x14ac:dyDescent="0.3">
      <c r="B1751" s="25">
        <v>1756</v>
      </c>
      <c r="C1751" s="33">
        <v>1926</v>
      </c>
      <c r="D1751" s="33" t="s">
        <v>429</v>
      </c>
      <c r="E1751" s="35">
        <v>44673</v>
      </c>
      <c r="F1751" s="33">
        <v>2</v>
      </c>
      <c r="G1751" s="33" t="s">
        <v>628</v>
      </c>
      <c r="H1751" s="33" t="s">
        <v>71</v>
      </c>
      <c r="I1751" s="33" t="s">
        <v>75</v>
      </c>
      <c r="J1751" s="34">
        <v>1320.58</v>
      </c>
      <c r="K1751" s="34"/>
      <c r="L1751" s="34">
        <v>1320.58</v>
      </c>
    </row>
    <row r="1752" spans="2:12" x14ac:dyDescent="0.3">
      <c r="B1752" s="25">
        <v>1757</v>
      </c>
      <c r="C1752" s="33">
        <v>1928</v>
      </c>
      <c r="D1752" s="33" t="s">
        <v>412</v>
      </c>
      <c r="E1752" s="35">
        <v>44673</v>
      </c>
      <c r="F1752" s="33">
        <v>2</v>
      </c>
      <c r="G1752" s="33" t="s">
        <v>231</v>
      </c>
      <c r="H1752" s="33" t="s">
        <v>71</v>
      </c>
      <c r="I1752" s="33" t="s">
        <v>198</v>
      </c>
      <c r="J1752" s="34">
        <v>1375.42</v>
      </c>
      <c r="K1752" s="34"/>
      <c r="L1752" s="34">
        <v>1375.42</v>
      </c>
    </row>
    <row r="1753" spans="2:12" x14ac:dyDescent="0.3">
      <c r="B1753" s="25">
        <v>1758</v>
      </c>
      <c r="C1753" s="33">
        <v>1941</v>
      </c>
      <c r="D1753" s="33" t="s">
        <v>384</v>
      </c>
      <c r="E1753" s="35">
        <v>44677</v>
      </c>
      <c r="F1753" s="33">
        <v>2</v>
      </c>
      <c r="G1753" s="33" t="s">
        <v>124</v>
      </c>
      <c r="H1753" s="33" t="s">
        <v>71</v>
      </c>
      <c r="I1753" s="33" t="s">
        <v>197</v>
      </c>
      <c r="J1753" s="34">
        <v>663.39</v>
      </c>
      <c r="K1753" s="34"/>
      <c r="L1753" s="34">
        <v>663.39</v>
      </c>
    </row>
    <row r="1754" spans="2:12" x14ac:dyDescent="0.3">
      <c r="B1754" s="25">
        <v>1759</v>
      </c>
      <c r="C1754" s="33">
        <v>1963</v>
      </c>
      <c r="D1754" s="33" t="s">
        <v>965</v>
      </c>
      <c r="E1754" s="35">
        <v>44677</v>
      </c>
      <c r="F1754" s="33">
        <v>2</v>
      </c>
      <c r="G1754" s="33" t="s">
        <v>628</v>
      </c>
      <c r="H1754" s="33" t="s">
        <v>71</v>
      </c>
      <c r="I1754" s="33" t="s">
        <v>75</v>
      </c>
      <c r="J1754" s="34">
        <v>470.39</v>
      </c>
      <c r="K1754" s="34">
        <v>80</v>
      </c>
      <c r="L1754" s="34">
        <v>390.39</v>
      </c>
    </row>
    <row r="1755" spans="2:12" x14ac:dyDescent="0.3">
      <c r="B1755" s="25">
        <v>1760</v>
      </c>
      <c r="C1755" s="33">
        <v>1965</v>
      </c>
      <c r="D1755" s="33" t="s">
        <v>791</v>
      </c>
      <c r="E1755" s="35">
        <v>44677</v>
      </c>
      <c r="F1755" s="33">
        <v>2</v>
      </c>
      <c r="G1755" s="33" t="s">
        <v>124</v>
      </c>
      <c r="H1755" s="33" t="s">
        <v>71</v>
      </c>
      <c r="I1755" s="33" t="s">
        <v>197</v>
      </c>
      <c r="J1755" s="34">
        <v>477.9</v>
      </c>
      <c r="K1755" s="34">
        <v>80</v>
      </c>
      <c r="L1755" s="34">
        <v>397.9</v>
      </c>
    </row>
    <row r="1756" spans="2:12" x14ac:dyDescent="0.3">
      <c r="B1756" s="25">
        <v>1761</v>
      </c>
      <c r="C1756" s="33">
        <v>1967</v>
      </c>
      <c r="D1756" s="33" t="s">
        <v>654</v>
      </c>
      <c r="E1756" s="35">
        <v>44678</v>
      </c>
      <c r="F1756" s="33">
        <v>2</v>
      </c>
      <c r="G1756" s="33" t="s">
        <v>628</v>
      </c>
      <c r="H1756" s="33" t="s">
        <v>71</v>
      </c>
      <c r="I1756" s="33" t="s">
        <v>75</v>
      </c>
      <c r="J1756" s="34">
        <v>270.19</v>
      </c>
      <c r="K1756" s="34">
        <v>80</v>
      </c>
      <c r="L1756" s="34">
        <v>190.19</v>
      </c>
    </row>
    <row r="1757" spans="2:12" x14ac:dyDescent="0.3">
      <c r="B1757" s="25">
        <v>1762</v>
      </c>
      <c r="C1757" s="33" t="s">
        <v>966</v>
      </c>
      <c r="D1757" s="33" t="s">
        <v>613</v>
      </c>
      <c r="E1757" s="35">
        <v>44681</v>
      </c>
      <c r="F1757" s="33">
        <v>2</v>
      </c>
      <c r="G1757" s="33" t="s">
        <v>124</v>
      </c>
      <c r="H1757" s="33" t="s">
        <v>70</v>
      </c>
      <c r="I1757" s="33" t="s">
        <v>197</v>
      </c>
      <c r="J1757" s="34">
        <v>1610.16</v>
      </c>
      <c r="K1757" s="34">
        <v>90</v>
      </c>
      <c r="L1757" s="34">
        <v>1520.16</v>
      </c>
    </row>
    <row r="1758" spans="2:12" x14ac:dyDescent="0.3">
      <c r="B1758" s="25">
        <v>1763</v>
      </c>
      <c r="C1758" s="33">
        <v>33516</v>
      </c>
      <c r="D1758" s="33" t="s">
        <v>413</v>
      </c>
      <c r="E1758" s="35">
        <v>44693</v>
      </c>
      <c r="F1758" s="33">
        <v>2</v>
      </c>
      <c r="G1758" s="33" t="s">
        <v>122</v>
      </c>
      <c r="H1758" s="33" t="s">
        <v>72</v>
      </c>
      <c r="I1758" s="33" t="s">
        <v>196</v>
      </c>
      <c r="J1758" s="34">
        <v>6803</v>
      </c>
      <c r="K1758" s="34"/>
      <c r="L1758" s="34">
        <v>6803</v>
      </c>
    </row>
    <row r="1759" spans="2:12" x14ac:dyDescent="0.3">
      <c r="B1759" s="25">
        <v>1764</v>
      </c>
      <c r="C1759" s="33">
        <v>33517</v>
      </c>
      <c r="D1759" s="33" t="s">
        <v>413</v>
      </c>
      <c r="E1759" s="35">
        <v>44693</v>
      </c>
      <c r="F1759" s="33">
        <v>2</v>
      </c>
      <c r="G1759" s="33" t="s">
        <v>122</v>
      </c>
      <c r="H1759" s="33" t="s">
        <v>72</v>
      </c>
      <c r="I1759" s="33" t="s">
        <v>196</v>
      </c>
      <c r="J1759" s="34">
        <v>3120</v>
      </c>
      <c r="K1759" s="34"/>
      <c r="L1759" s="34">
        <v>3120</v>
      </c>
    </row>
    <row r="1760" spans="2:12" x14ac:dyDescent="0.3">
      <c r="B1760" s="25">
        <v>1765</v>
      </c>
      <c r="C1760" s="33">
        <v>2686</v>
      </c>
      <c r="D1760" s="33" t="s">
        <v>565</v>
      </c>
      <c r="E1760" s="35">
        <v>44686</v>
      </c>
      <c r="F1760" s="33">
        <v>2</v>
      </c>
      <c r="G1760" s="33" t="s">
        <v>124</v>
      </c>
      <c r="H1760" s="33" t="s">
        <v>201</v>
      </c>
      <c r="I1760" s="33" t="s">
        <v>197</v>
      </c>
      <c r="J1760" s="34">
        <v>3956.7</v>
      </c>
      <c r="K1760" s="34"/>
      <c r="L1760" s="34">
        <v>3956.7</v>
      </c>
    </row>
    <row r="1761" spans="2:12" x14ac:dyDescent="0.3">
      <c r="B1761" s="25">
        <v>1766</v>
      </c>
      <c r="C1761" s="33">
        <v>2689</v>
      </c>
      <c r="D1761" s="33" t="s">
        <v>411</v>
      </c>
      <c r="E1761" s="35">
        <v>44686</v>
      </c>
      <c r="F1761" s="33">
        <v>2</v>
      </c>
      <c r="G1761" s="33" t="s">
        <v>122</v>
      </c>
      <c r="H1761" s="33" t="s">
        <v>201</v>
      </c>
      <c r="I1761" s="33" t="s">
        <v>196</v>
      </c>
      <c r="J1761" s="34">
        <v>2658.89</v>
      </c>
      <c r="K1761" s="34"/>
      <c r="L1761" s="34">
        <v>2658.89</v>
      </c>
    </row>
    <row r="1762" spans="2:12" x14ac:dyDescent="0.3">
      <c r="B1762" s="25">
        <v>1767</v>
      </c>
      <c r="C1762" s="33">
        <v>2691</v>
      </c>
      <c r="D1762" s="33" t="s">
        <v>958</v>
      </c>
      <c r="E1762" s="35">
        <v>44686</v>
      </c>
      <c r="F1762" s="33">
        <v>2</v>
      </c>
      <c r="G1762" s="33" t="s">
        <v>231</v>
      </c>
      <c r="H1762" s="33" t="s">
        <v>201</v>
      </c>
      <c r="I1762" s="33" t="s">
        <v>198</v>
      </c>
      <c r="J1762" s="34">
        <v>1766.16</v>
      </c>
      <c r="K1762" s="34"/>
      <c r="L1762" s="34">
        <v>1766.16</v>
      </c>
    </row>
    <row r="1763" spans="2:12" x14ac:dyDescent="0.3">
      <c r="B1763" s="25">
        <v>1768</v>
      </c>
      <c r="C1763" s="33">
        <v>2873</v>
      </c>
      <c r="D1763" s="33" t="s">
        <v>967</v>
      </c>
      <c r="E1763" s="35">
        <v>44693</v>
      </c>
      <c r="F1763" s="33">
        <v>2</v>
      </c>
      <c r="G1763" s="33" t="s">
        <v>122</v>
      </c>
      <c r="H1763" s="33" t="s">
        <v>201</v>
      </c>
      <c r="I1763" s="33" t="s">
        <v>196</v>
      </c>
      <c r="J1763" s="34">
        <v>1891.89</v>
      </c>
      <c r="K1763" s="34"/>
      <c r="L1763" s="34">
        <v>1891.89</v>
      </c>
    </row>
    <row r="1764" spans="2:12" x14ac:dyDescent="0.3">
      <c r="B1764" s="25">
        <v>1769</v>
      </c>
      <c r="C1764" s="33">
        <v>33524</v>
      </c>
      <c r="D1764" s="33" t="s">
        <v>394</v>
      </c>
      <c r="E1764" s="35">
        <v>44694</v>
      </c>
      <c r="F1764" s="33">
        <v>2</v>
      </c>
      <c r="G1764" s="33" t="s">
        <v>122</v>
      </c>
      <c r="H1764" s="33" t="s">
        <v>72</v>
      </c>
      <c r="I1764" s="33" t="s">
        <v>196</v>
      </c>
      <c r="J1764" s="34">
        <v>9013</v>
      </c>
      <c r="K1764" s="34"/>
      <c r="L1764" s="34">
        <v>9013</v>
      </c>
    </row>
    <row r="1765" spans="2:12" x14ac:dyDescent="0.3">
      <c r="B1765" s="25">
        <v>1770</v>
      </c>
      <c r="C1765" s="33">
        <v>33538</v>
      </c>
      <c r="D1765" s="33" t="s">
        <v>446</v>
      </c>
      <c r="E1765" s="35">
        <v>44698</v>
      </c>
      <c r="F1765" s="33">
        <v>2</v>
      </c>
      <c r="G1765" s="33" t="s">
        <v>231</v>
      </c>
      <c r="H1765" s="33" t="s">
        <v>72</v>
      </c>
      <c r="I1765" s="33" t="s">
        <v>198</v>
      </c>
      <c r="J1765" s="34">
        <v>3388</v>
      </c>
      <c r="K1765" s="34"/>
      <c r="L1765" s="34">
        <v>3388</v>
      </c>
    </row>
    <row r="1766" spans="2:12" x14ac:dyDescent="0.3">
      <c r="B1766" s="25">
        <v>1771</v>
      </c>
      <c r="C1766" s="33">
        <v>2279</v>
      </c>
      <c r="D1766" s="33" t="s">
        <v>968</v>
      </c>
      <c r="E1766" s="35">
        <v>44699</v>
      </c>
      <c r="F1766" s="33">
        <v>2</v>
      </c>
      <c r="G1766" s="33" t="s">
        <v>122</v>
      </c>
      <c r="H1766" s="33" t="s">
        <v>71</v>
      </c>
      <c r="I1766" s="33" t="s">
        <v>196</v>
      </c>
      <c r="J1766" s="34">
        <v>1244.9100000000001</v>
      </c>
      <c r="K1766" s="34"/>
      <c r="L1766" s="34">
        <v>1244.9100000000001</v>
      </c>
    </row>
    <row r="1767" spans="2:12" x14ac:dyDescent="0.3">
      <c r="B1767" s="25">
        <v>1772</v>
      </c>
      <c r="C1767" s="33">
        <v>33548</v>
      </c>
      <c r="D1767" s="33" t="s">
        <v>969</v>
      </c>
      <c r="E1767" s="35">
        <v>44701</v>
      </c>
      <c r="F1767" s="33">
        <v>2</v>
      </c>
      <c r="G1767" s="33" t="s">
        <v>122</v>
      </c>
      <c r="H1767" s="33" t="s">
        <v>72</v>
      </c>
      <c r="I1767" s="33" t="s">
        <v>196</v>
      </c>
      <c r="J1767" s="34">
        <v>2428.6</v>
      </c>
      <c r="K1767" s="34"/>
      <c r="L1767" s="34">
        <v>2428.6</v>
      </c>
    </row>
    <row r="1768" spans="2:12" x14ac:dyDescent="0.3">
      <c r="B1768" s="25">
        <v>1773</v>
      </c>
      <c r="C1768" s="33" t="s">
        <v>995</v>
      </c>
      <c r="D1768" s="33" t="s">
        <v>996</v>
      </c>
      <c r="E1768" s="35">
        <v>44704</v>
      </c>
      <c r="F1768" s="33">
        <v>2</v>
      </c>
      <c r="G1768" s="33" t="s">
        <v>231</v>
      </c>
      <c r="H1768" s="33" t="s">
        <v>71</v>
      </c>
      <c r="I1768" s="33" t="s">
        <v>198</v>
      </c>
      <c r="J1768" s="34">
        <v>1696.5</v>
      </c>
      <c r="K1768" s="34"/>
      <c r="L1768" s="34">
        <v>1696.5</v>
      </c>
    </row>
    <row r="1769" spans="2:12" x14ac:dyDescent="0.3">
      <c r="B1769" s="25">
        <v>1774</v>
      </c>
      <c r="C1769" s="33" t="s">
        <v>997</v>
      </c>
      <c r="D1769" s="33" t="s">
        <v>400</v>
      </c>
      <c r="E1769" s="35">
        <v>44652</v>
      </c>
      <c r="F1769" s="33">
        <v>2</v>
      </c>
      <c r="G1769" s="33" t="s">
        <v>231</v>
      </c>
      <c r="H1769" s="33" t="s">
        <v>69</v>
      </c>
      <c r="I1769" s="33" t="s">
        <v>198</v>
      </c>
      <c r="J1769" s="34">
        <v>2042</v>
      </c>
      <c r="K1769" s="34"/>
      <c r="L1769" s="34">
        <v>2042</v>
      </c>
    </row>
    <row r="1770" spans="2:12" x14ac:dyDescent="0.3">
      <c r="B1770" s="25">
        <v>1775</v>
      </c>
      <c r="C1770" s="33">
        <v>51491</v>
      </c>
      <c r="D1770" s="33" t="s">
        <v>400</v>
      </c>
      <c r="E1770" s="35">
        <v>44652</v>
      </c>
      <c r="F1770" s="33">
        <v>2</v>
      </c>
      <c r="G1770" s="33" t="s">
        <v>231</v>
      </c>
      <c r="H1770" s="33" t="s">
        <v>69</v>
      </c>
      <c r="I1770" s="33" t="s">
        <v>198</v>
      </c>
      <c r="J1770" s="34">
        <v>29.58</v>
      </c>
      <c r="K1770" s="34"/>
      <c r="L1770" s="34">
        <v>29.58</v>
      </c>
    </row>
    <row r="1771" spans="2:12" x14ac:dyDescent="0.3">
      <c r="B1771" s="25">
        <v>1777</v>
      </c>
      <c r="C1771" s="33" t="s">
        <v>998</v>
      </c>
      <c r="D1771" s="33" t="s">
        <v>441</v>
      </c>
      <c r="E1771" s="35">
        <v>44666</v>
      </c>
      <c r="F1771" s="33">
        <v>2</v>
      </c>
      <c r="G1771" s="33" t="s">
        <v>122</v>
      </c>
      <c r="H1771" s="33" t="s">
        <v>69</v>
      </c>
      <c r="I1771" s="33" t="s">
        <v>196</v>
      </c>
      <c r="J1771" s="34">
        <v>9147.5</v>
      </c>
      <c r="K1771" s="34"/>
      <c r="L1771" s="34">
        <v>9147.5</v>
      </c>
    </row>
    <row r="1772" spans="2:12" x14ac:dyDescent="0.3">
      <c r="B1772" s="25">
        <v>1778</v>
      </c>
      <c r="C1772" s="33" t="s">
        <v>999</v>
      </c>
      <c r="D1772" s="33" t="s">
        <v>412</v>
      </c>
      <c r="E1772" s="35">
        <v>44666</v>
      </c>
      <c r="F1772" s="33">
        <v>2</v>
      </c>
      <c r="G1772" s="33" t="s">
        <v>231</v>
      </c>
      <c r="H1772" s="33" t="s">
        <v>69</v>
      </c>
      <c r="I1772" s="33" t="s">
        <v>198</v>
      </c>
      <c r="J1772" s="34">
        <v>446.5</v>
      </c>
      <c r="K1772" s="34"/>
      <c r="L1772" s="34">
        <v>446.5</v>
      </c>
    </row>
    <row r="1773" spans="2:12" x14ac:dyDescent="0.3">
      <c r="B1773" s="25">
        <v>1779</v>
      </c>
      <c r="C1773" s="33">
        <v>51845</v>
      </c>
      <c r="D1773" s="33" t="s">
        <v>281</v>
      </c>
      <c r="E1773" s="35">
        <v>44666</v>
      </c>
      <c r="F1773" s="33">
        <v>2</v>
      </c>
      <c r="G1773" s="33" t="s">
        <v>124</v>
      </c>
      <c r="H1773" s="33" t="s">
        <v>69</v>
      </c>
      <c r="I1773" s="33" t="s">
        <v>197</v>
      </c>
      <c r="J1773" s="34">
        <v>2953.5</v>
      </c>
      <c r="K1773" s="34"/>
      <c r="L1773" s="34">
        <v>2953.5</v>
      </c>
    </row>
    <row r="1774" spans="2:12" x14ac:dyDescent="0.3">
      <c r="B1774" s="25">
        <v>1780</v>
      </c>
      <c r="C1774" s="33">
        <v>51846</v>
      </c>
      <c r="D1774" s="33" t="s">
        <v>805</v>
      </c>
      <c r="E1774" s="35">
        <v>44666</v>
      </c>
      <c r="F1774" s="33">
        <v>2</v>
      </c>
      <c r="G1774" s="33" t="s">
        <v>231</v>
      </c>
      <c r="H1774" s="33" t="s">
        <v>69</v>
      </c>
      <c r="I1774" s="33" t="s">
        <v>198</v>
      </c>
      <c r="J1774" s="34">
        <v>548.1</v>
      </c>
      <c r="K1774" s="34"/>
      <c r="L1774" s="34">
        <v>548.1</v>
      </c>
    </row>
    <row r="1775" spans="2:12" x14ac:dyDescent="0.3">
      <c r="B1775" s="25">
        <v>1781</v>
      </c>
      <c r="C1775" s="33">
        <v>51904</v>
      </c>
      <c r="D1775" s="33" t="s">
        <v>400</v>
      </c>
      <c r="E1775" s="35">
        <v>44670</v>
      </c>
      <c r="F1775" s="33">
        <v>2</v>
      </c>
      <c r="G1775" s="33" t="s">
        <v>231</v>
      </c>
      <c r="H1775" s="33" t="s">
        <v>69</v>
      </c>
      <c r="I1775" s="33" t="s">
        <v>198</v>
      </c>
      <c r="J1775" s="34">
        <v>1125.17</v>
      </c>
      <c r="K1775" s="34"/>
      <c r="L1775" s="34">
        <v>1125.17</v>
      </c>
    </row>
    <row r="1776" spans="2:12" x14ac:dyDescent="0.3">
      <c r="B1776" s="25">
        <v>1782</v>
      </c>
      <c r="C1776" s="33">
        <v>51905</v>
      </c>
      <c r="D1776" s="33" t="s">
        <v>400</v>
      </c>
      <c r="E1776" s="35">
        <v>44670</v>
      </c>
      <c r="F1776" s="33">
        <v>2</v>
      </c>
      <c r="G1776" s="33" t="s">
        <v>231</v>
      </c>
      <c r="H1776" s="33" t="s">
        <v>69</v>
      </c>
      <c r="I1776" s="33" t="s">
        <v>198</v>
      </c>
      <c r="J1776" s="34">
        <v>1165.5</v>
      </c>
      <c r="K1776" s="34"/>
      <c r="L1776" s="34">
        <v>1165.5</v>
      </c>
    </row>
    <row r="1777" spans="2:12" x14ac:dyDescent="0.3">
      <c r="B1777" s="25">
        <v>1783</v>
      </c>
      <c r="C1777" s="33">
        <v>51906</v>
      </c>
      <c r="D1777" s="33" t="s">
        <v>400</v>
      </c>
      <c r="E1777" s="35">
        <v>44670</v>
      </c>
      <c r="F1777" s="33">
        <v>2</v>
      </c>
      <c r="G1777" s="33" t="s">
        <v>231</v>
      </c>
      <c r="H1777" s="33" t="s">
        <v>69</v>
      </c>
      <c r="I1777" s="33" t="s">
        <v>198</v>
      </c>
      <c r="J1777" s="34">
        <v>462.69</v>
      </c>
      <c r="K1777" s="34"/>
      <c r="L1777" s="34">
        <v>462.69</v>
      </c>
    </row>
    <row r="1778" spans="2:12" x14ac:dyDescent="0.3">
      <c r="B1778" s="25">
        <v>1784</v>
      </c>
      <c r="C1778" s="33">
        <v>51907</v>
      </c>
      <c r="D1778" s="33" t="s">
        <v>400</v>
      </c>
      <c r="E1778" s="35">
        <v>44670</v>
      </c>
      <c r="F1778" s="33">
        <v>2</v>
      </c>
      <c r="G1778" s="33" t="s">
        <v>231</v>
      </c>
      <c r="H1778" s="33" t="s">
        <v>69</v>
      </c>
      <c r="I1778" s="33" t="s">
        <v>198</v>
      </c>
      <c r="J1778" s="34">
        <v>1847.82</v>
      </c>
      <c r="K1778" s="34"/>
      <c r="L1778" s="34">
        <v>1847.82</v>
      </c>
    </row>
    <row r="1779" spans="2:12" x14ac:dyDescent="0.3">
      <c r="B1779" s="25">
        <v>1785</v>
      </c>
      <c r="C1779" s="33">
        <v>51908</v>
      </c>
      <c r="D1779" s="33" t="s">
        <v>400</v>
      </c>
      <c r="E1779" s="35">
        <v>44670</v>
      </c>
      <c r="F1779" s="33">
        <v>2</v>
      </c>
      <c r="G1779" s="33" t="s">
        <v>231</v>
      </c>
      <c r="H1779" s="33" t="s">
        <v>69</v>
      </c>
      <c r="I1779" s="33" t="s">
        <v>198</v>
      </c>
      <c r="J1779" s="34">
        <v>633.87</v>
      </c>
      <c r="K1779" s="34"/>
      <c r="L1779" s="34">
        <v>633.87</v>
      </c>
    </row>
    <row r="1780" spans="2:12" x14ac:dyDescent="0.3">
      <c r="B1780" s="25">
        <v>1786</v>
      </c>
      <c r="C1780" s="33">
        <v>51909</v>
      </c>
      <c r="D1780" s="33" t="s">
        <v>400</v>
      </c>
      <c r="E1780" s="35">
        <v>44670</v>
      </c>
      <c r="F1780" s="33">
        <v>2</v>
      </c>
      <c r="G1780" s="33" t="s">
        <v>231</v>
      </c>
      <c r="H1780" s="33" t="s">
        <v>69</v>
      </c>
      <c r="I1780" s="33" t="s">
        <v>198</v>
      </c>
      <c r="J1780" s="34">
        <v>992.29</v>
      </c>
      <c r="K1780" s="34"/>
      <c r="L1780" s="34">
        <v>992.29</v>
      </c>
    </row>
    <row r="1781" spans="2:12" x14ac:dyDescent="0.3">
      <c r="B1781" s="25">
        <v>1787</v>
      </c>
      <c r="C1781" s="33">
        <v>51910</v>
      </c>
      <c r="D1781" s="33" t="s">
        <v>400</v>
      </c>
      <c r="E1781" s="35">
        <v>44670</v>
      </c>
      <c r="F1781" s="33">
        <v>2</v>
      </c>
      <c r="G1781" s="33" t="s">
        <v>231</v>
      </c>
      <c r="H1781" s="33" t="s">
        <v>69</v>
      </c>
      <c r="I1781" s="33" t="s">
        <v>198</v>
      </c>
      <c r="J1781" s="34">
        <v>374.88</v>
      </c>
      <c r="K1781" s="34"/>
      <c r="L1781" s="34">
        <v>374.88</v>
      </c>
    </row>
    <row r="1782" spans="2:12" x14ac:dyDescent="0.3">
      <c r="B1782" s="25">
        <v>1788</v>
      </c>
      <c r="C1782" s="33">
        <v>51911</v>
      </c>
      <c r="D1782" s="33" t="s">
        <v>400</v>
      </c>
      <c r="E1782" s="35">
        <v>44670</v>
      </c>
      <c r="F1782" s="33">
        <v>2</v>
      </c>
      <c r="G1782" s="33" t="s">
        <v>231</v>
      </c>
      <c r="H1782" s="33" t="s">
        <v>69</v>
      </c>
      <c r="I1782" s="33" t="s">
        <v>198</v>
      </c>
      <c r="J1782" s="34">
        <v>135.80000000000001</v>
      </c>
      <c r="K1782" s="34"/>
      <c r="L1782" s="34">
        <v>135.80000000000001</v>
      </c>
    </row>
    <row r="1783" spans="2:12" x14ac:dyDescent="0.3">
      <c r="B1783" s="25">
        <v>1789</v>
      </c>
      <c r="C1783" s="33">
        <v>51912</v>
      </c>
      <c r="D1783" s="33" t="s">
        <v>400</v>
      </c>
      <c r="E1783" s="35">
        <v>44670</v>
      </c>
      <c r="F1783" s="33">
        <v>2</v>
      </c>
      <c r="G1783" s="33" t="s">
        <v>231</v>
      </c>
      <c r="H1783" s="33" t="s">
        <v>69</v>
      </c>
      <c r="I1783" s="33" t="s">
        <v>198</v>
      </c>
      <c r="J1783" s="34">
        <v>1500.54</v>
      </c>
      <c r="K1783" s="34"/>
      <c r="L1783" s="34">
        <v>1500.54</v>
      </c>
    </row>
    <row r="1784" spans="2:12" x14ac:dyDescent="0.3">
      <c r="B1784" s="25">
        <v>1790</v>
      </c>
      <c r="C1784" s="33">
        <v>51913</v>
      </c>
      <c r="D1784" s="33" t="s">
        <v>400</v>
      </c>
      <c r="E1784" s="35">
        <v>44670</v>
      </c>
      <c r="F1784" s="33">
        <v>2</v>
      </c>
      <c r="G1784" s="33" t="s">
        <v>231</v>
      </c>
      <c r="H1784" s="33" t="s">
        <v>69</v>
      </c>
      <c r="I1784" s="33" t="s">
        <v>198</v>
      </c>
      <c r="J1784" s="34">
        <v>163.92</v>
      </c>
      <c r="K1784" s="34"/>
      <c r="L1784" s="34">
        <v>163.92</v>
      </c>
    </row>
    <row r="1785" spans="2:12" x14ac:dyDescent="0.3">
      <c r="B1785" s="25">
        <v>1791</v>
      </c>
      <c r="C1785" s="33">
        <v>51947</v>
      </c>
      <c r="D1785" s="33" t="s">
        <v>416</v>
      </c>
      <c r="E1785" s="35">
        <v>44672</v>
      </c>
      <c r="F1785" s="33">
        <v>2</v>
      </c>
      <c r="G1785" s="33" t="s">
        <v>231</v>
      </c>
      <c r="H1785" s="33" t="s">
        <v>69</v>
      </c>
      <c r="I1785" s="33" t="s">
        <v>198</v>
      </c>
      <c r="J1785" s="34">
        <v>208</v>
      </c>
      <c r="K1785" s="34"/>
      <c r="L1785" s="34">
        <v>208</v>
      </c>
    </row>
    <row r="1786" spans="2:12" x14ac:dyDescent="0.3">
      <c r="B1786" s="25">
        <v>1792</v>
      </c>
      <c r="C1786" s="33">
        <v>51949</v>
      </c>
      <c r="D1786" s="33" t="s">
        <v>404</v>
      </c>
      <c r="E1786" s="35">
        <v>44672</v>
      </c>
      <c r="F1786" s="33">
        <v>2</v>
      </c>
      <c r="G1786" s="33" t="s">
        <v>122</v>
      </c>
      <c r="H1786" s="33" t="s">
        <v>69</v>
      </c>
      <c r="I1786" s="33" t="s">
        <v>196</v>
      </c>
      <c r="J1786" s="34">
        <v>1133.5</v>
      </c>
      <c r="K1786" s="34"/>
      <c r="L1786" s="34">
        <v>1133.5</v>
      </c>
    </row>
    <row r="1787" spans="2:12" x14ac:dyDescent="0.3">
      <c r="B1787" s="25">
        <v>1793</v>
      </c>
      <c r="C1787" s="33">
        <v>51960</v>
      </c>
      <c r="D1787" s="33" t="s">
        <v>281</v>
      </c>
      <c r="E1787" s="35">
        <v>44672</v>
      </c>
      <c r="F1787" s="33">
        <v>2</v>
      </c>
      <c r="G1787" s="33" t="s">
        <v>124</v>
      </c>
      <c r="H1787" s="33" t="s">
        <v>69</v>
      </c>
      <c r="I1787" s="33" t="s">
        <v>197</v>
      </c>
      <c r="J1787" s="34">
        <v>2496</v>
      </c>
      <c r="K1787" s="34"/>
      <c r="L1787" s="34">
        <v>2496</v>
      </c>
    </row>
    <row r="1788" spans="2:12" x14ac:dyDescent="0.3">
      <c r="B1788" s="25">
        <v>1794</v>
      </c>
      <c r="C1788" s="33" t="s">
        <v>1000</v>
      </c>
      <c r="D1788" s="33" t="s">
        <v>400</v>
      </c>
      <c r="E1788" s="35">
        <v>44672</v>
      </c>
      <c r="F1788" s="33">
        <v>2</v>
      </c>
      <c r="G1788" s="33" t="s">
        <v>231</v>
      </c>
      <c r="H1788" s="33" t="s">
        <v>69</v>
      </c>
      <c r="I1788" s="33" t="s">
        <v>198</v>
      </c>
      <c r="J1788" s="34">
        <v>1855.58</v>
      </c>
      <c r="K1788" s="34"/>
      <c r="L1788" s="34">
        <v>1855.58</v>
      </c>
    </row>
    <row r="1789" spans="2:12" x14ac:dyDescent="0.3">
      <c r="B1789" s="25">
        <v>1795</v>
      </c>
      <c r="C1789" s="33" t="s">
        <v>1001</v>
      </c>
      <c r="D1789" s="33" t="s">
        <v>401</v>
      </c>
      <c r="E1789" s="35">
        <v>44672</v>
      </c>
      <c r="F1789" s="33">
        <v>2</v>
      </c>
      <c r="G1789" s="33" t="s">
        <v>231</v>
      </c>
      <c r="H1789" s="33" t="s">
        <v>69</v>
      </c>
      <c r="I1789" s="33" t="s">
        <v>198</v>
      </c>
      <c r="J1789" s="34">
        <v>2296.5</v>
      </c>
      <c r="K1789" s="34"/>
      <c r="L1789" s="34">
        <v>2296.5</v>
      </c>
    </row>
    <row r="1790" spans="2:12" x14ac:dyDescent="0.3">
      <c r="B1790" s="25">
        <v>1796</v>
      </c>
      <c r="C1790" s="33">
        <v>52006</v>
      </c>
      <c r="D1790" s="33" t="s">
        <v>281</v>
      </c>
      <c r="E1790" s="35">
        <v>44673</v>
      </c>
      <c r="F1790" s="33">
        <v>2</v>
      </c>
      <c r="G1790" s="33" t="s">
        <v>124</v>
      </c>
      <c r="H1790" s="33" t="s">
        <v>69</v>
      </c>
      <c r="I1790" s="33" t="s">
        <v>197</v>
      </c>
      <c r="J1790" s="34">
        <v>2609.58</v>
      </c>
      <c r="K1790" s="34"/>
      <c r="L1790" s="34">
        <v>2609.58</v>
      </c>
    </row>
    <row r="1791" spans="2:12" x14ac:dyDescent="0.3">
      <c r="B1791" s="25">
        <v>1797</v>
      </c>
      <c r="C1791" s="33">
        <v>52047</v>
      </c>
      <c r="D1791" s="33" t="s">
        <v>593</v>
      </c>
      <c r="E1791" s="35">
        <v>44679</v>
      </c>
      <c r="F1791" s="33">
        <v>2</v>
      </c>
      <c r="G1791" s="33" t="s">
        <v>122</v>
      </c>
      <c r="H1791" s="33" t="s">
        <v>69</v>
      </c>
      <c r="I1791" s="33" t="s">
        <v>196</v>
      </c>
      <c r="J1791" s="34">
        <v>5589.91</v>
      </c>
      <c r="K1791" s="34"/>
      <c r="L1791" s="34">
        <v>5589.91</v>
      </c>
    </row>
    <row r="1792" spans="2:12" x14ac:dyDescent="0.3">
      <c r="B1792" s="25">
        <v>1798</v>
      </c>
      <c r="C1792" s="33">
        <v>52048</v>
      </c>
      <c r="D1792" s="33" t="s">
        <v>593</v>
      </c>
      <c r="E1792" s="35">
        <v>44679</v>
      </c>
      <c r="F1792" s="33">
        <v>2</v>
      </c>
      <c r="G1792" s="33" t="s">
        <v>122</v>
      </c>
      <c r="H1792" s="33" t="s">
        <v>69</v>
      </c>
      <c r="I1792" s="33" t="s">
        <v>196</v>
      </c>
      <c r="J1792" s="34">
        <v>911.5</v>
      </c>
      <c r="K1792" s="34"/>
      <c r="L1792" s="34">
        <v>911.5</v>
      </c>
    </row>
    <row r="1793" spans="2:12" x14ac:dyDescent="0.3">
      <c r="B1793" s="25">
        <v>1799</v>
      </c>
      <c r="C1793" s="33">
        <v>52056</v>
      </c>
      <c r="D1793" s="33" t="s">
        <v>412</v>
      </c>
      <c r="E1793" s="35">
        <v>44679</v>
      </c>
      <c r="F1793" s="33">
        <v>2</v>
      </c>
      <c r="G1793" s="33" t="s">
        <v>231</v>
      </c>
      <c r="H1793" s="33" t="s">
        <v>69</v>
      </c>
      <c r="I1793" s="33" t="s">
        <v>198</v>
      </c>
      <c r="J1793" s="34">
        <v>1446.5</v>
      </c>
      <c r="K1793" s="34"/>
      <c r="L1793" s="34">
        <v>1446.5</v>
      </c>
    </row>
    <row r="1794" spans="2:12" x14ac:dyDescent="0.3">
      <c r="B1794" s="25">
        <v>1800</v>
      </c>
      <c r="C1794" s="33">
        <v>52172</v>
      </c>
      <c r="D1794" s="33" t="s">
        <v>404</v>
      </c>
      <c r="E1794" s="35">
        <v>44686</v>
      </c>
      <c r="F1794" s="33">
        <v>2</v>
      </c>
      <c r="G1794" s="33" t="s">
        <v>122</v>
      </c>
      <c r="H1794" s="33" t="s">
        <v>69</v>
      </c>
      <c r="I1794" s="33" t="s">
        <v>196</v>
      </c>
      <c r="J1794" s="34">
        <v>604</v>
      </c>
      <c r="K1794" s="34"/>
      <c r="L1794" s="34">
        <v>604</v>
      </c>
    </row>
    <row r="1795" spans="2:12" x14ac:dyDescent="0.3">
      <c r="B1795" s="25">
        <v>1801</v>
      </c>
      <c r="C1795" s="33">
        <v>52183</v>
      </c>
      <c r="D1795" s="33" t="s">
        <v>281</v>
      </c>
      <c r="E1795" s="35">
        <v>44686</v>
      </c>
      <c r="F1795" s="33">
        <v>2</v>
      </c>
      <c r="G1795" s="33" t="s">
        <v>124</v>
      </c>
      <c r="H1795" s="33" t="s">
        <v>69</v>
      </c>
      <c r="I1795" s="33" t="s">
        <v>197</v>
      </c>
      <c r="J1795" s="34">
        <v>672</v>
      </c>
      <c r="K1795" s="34"/>
      <c r="L1795" s="34">
        <v>672</v>
      </c>
    </row>
    <row r="1796" spans="2:12" x14ac:dyDescent="0.3">
      <c r="B1796" s="25">
        <v>1802</v>
      </c>
      <c r="C1796" s="33">
        <v>52240</v>
      </c>
      <c r="D1796" s="33" t="s">
        <v>400</v>
      </c>
      <c r="E1796" s="35">
        <v>44687</v>
      </c>
      <c r="F1796" s="33">
        <v>2</v>
      </c>
      <c r="G1796" s="33" t="s">
        <v>231</v>
      </c>
      <c r="H1796" s="33" t="s">
        <v>69</v>
      </c>
      <c r="I1796" s="33" t="s">
        <v>198</v>
      </c>
      <c r="J1796" s="34">
        <v>2092.73</v>
      </c>
      <c r="K1796" s="34"/>
      <c r="L1796" s="34">
        <v>2092.73</v>
      </c>
    </row>
    <row r="1797" spans="2:12" x14ac:dyDescent="0.3">
      <c r="B1797" s="25">
        <v>1803</v>
      </c>
      <c r="C1797" s="33">
        <v>52241</v>
      </c>
      <c r="D1797" s="33" t="s">
        <v>400</v>
      </c>
      <c r="E1797" s="35">
        <v>44687</v>
      </c>
      <c r="F1797" s="33">
        <v>2</v>
      </c>
      <c r="G1797" s="33" t="s">
        <v>231</v>
      </c>
      <c r="H1797" s="33" t="s">
        <v>69</v>
      </c>
      <c r="I1797" s="33" t="s">
        <v>198</v>
      </c>
      <c r="J1797" s="34">
        <v>461.22</v>
      </c>
      <c r="K1797" s="34"/>
      <c r="L1797" s="34">
        <v>461.22</v>
      </c>
    </row>
    <row r="1798" spans="2:12" x14ac:dyDescent="0.3">
      <c r="B1798" s="25">
        <v>1804</v>
      </c>
      <c r="C1798" s="33">
        <v>52242</v>
      </c>
      <c r="D1798" s="33" t="s">
        <v>400</v>
      </c>
      <c r="E1798" s="35">
        <v>44687</v>
      </c>
      <c r="F1798" s="33">
        <v>2</v>
      </c>
      <c r="G1798" s="33" t="s">
        <v>231</v>
      </c>
      <c r="H1798" s="33" t="s">
        <v>69</v>
      </c>
      <c r="I1798" s="33" t="s">
        <v>198</v>
      </c>
      <c r="J1798" s="34">
        <v>578.59</v>
      </c>
      <c r="K1798" s="34"/>
      <c r="L1798" s="34">
        <v>578.59</v>
      </c>
    </row>
    <row r="1799" spans="2:12" x14ac:dyDescent="0.3">
      <c r="B1799" s="25">
        <v>1805</v>
      </c>
      <c r="C1799" s="33">
        <v>52243</v>
      </c>
      <c r="D1799" s="33" t="s">
        <v>400</v>
      </c>
      <c r="E1799" s="35">
        <v>44687</v>
      </c>
      <c r="F1799" s="33">
        <v>2</v>
      </c>
      <c r="G1799" s="33" t="s">
        <v>231</v>
      </c>
      <c r="H1799" s="33" t="s">
        <v>69</v>
      </c>
      <c r="I1799" s="33" t="s">
        <v>198</v>
      </c>
      <c r="J1799" s="34">
        <v>1019.9</v>
      </c>
      <c r="K1799" s="34"/>
      <c r="L1799" s="34">
        <v>1019.9</v>
      </c>
    </row>
    <row r="1800" spans="2:12" x14ac:dyDescent="0.3">
      <c r="B1800" s="25">
        <v>1806</v>
      </c>
      <c r="C1800" s="33">
        <v>52244</v>
      </c>
      <c r="D1800" s="33" t="s">
        <v>400</v>
      </c>
      <c r="E1800" s="35">
        <v>44687</v>
      </c>
      <c r="F1800" s="33">
        <v>2</v>
      </c>
      <c r="G1800" s="33" t="s">
        <v>231</v>
      </c>
      <c r="H1800" s="33" t="s">
        <v>69</v>
      </c>
      <c r="I1800" s="33" t="s">
        <v>198</v>
      </c>
      <c r="J1800" s="34">
        <v>1937.48</v>
      </c>
      <c r="K1800" s="34"/>
      <c r="L1800" s="34">
        <v>1937.48</v>
      </c>
    </row>
    <row r="1801" spans="2:12" x14ac:dyDescent="0.3">
      <c r="B1801" s="25">
        <v>1807</v>
      </c>
      <c r="C1801" s="33">
        <v>52245</v>
      </c>
      <c r="D1801" s="33" t="s">
        <v>400</v>
      </c>
      <c r="E1801" s="35">
        <v>44687</v>
      </c>
      <c r="F1801" s="33">
        <v>2</v>
      </c>
      <c r="G1801" s="33" t="s">
        <v>231</v>
      </c>
      <c r="H1801" s="33" t="s">
        <v>69</v>
      </c>
      <c r="I1801" s="33" t="s">
        <v>198</v>
      </c>
      <c r="J1801" s="34">
        <v>479.16</v>
      </c>
      <c r="K1801" s="34"/>
      <c r="L1801" s="34">
        <v>479.16</v>
      </c>
    </row>
    <row r="1802" spans="2:12" x14ac:dyDescent="0.3">
      <c r="B1802" s="25">
        <v>1808</v>
      </c>
      <c r="C1802" s="33">
        <v>52249</v>
      </c>
      <c r="D1802" s="33" t="s">
        <v>805</v>
      </c>
      <c r="E1802" s="35">
        <v>44687</v>
      </c>
      <c r="F1802" s="33">
        <v>2</v>
      </c>
      <c r="G1802" s="33" t="s">
        <v>231</v>
      </c>
      <c r="H1802" s="33" t="s">
        <v>69</v>
      </c>
      <c r="I1802" s="33" t="s">
        <v>198</v>
      </c>
      <c r="J1802" s="34">
        <v>1638.49</v>
      </c>
      <c r="K1802" s="34"/>
      <c r="L1802" s="34">
        <v>1638.49</v>
      </c>
    </row>
    <row r="1803" spans="2:12" x14ac:dyDescent="0.3">
      <c r="B1803" s="25">
        <v>1809</v>
      </c>
      <c r="C1803" s="33">
        <v>52323</v>
      </c>
      <c r="D1803" s="33" t="s">
        <v>400</v>
      </c>
      <c r="E1803" s="35">
        <v>44694</v>
      </c>
      <c r="F1803" s="33">
        <v>2</v>
      </c>
      <c r="G1803" s="33" t="s">
        <v>231</v>
      </c>
      <c r="H1803" s="33" t="s">
        <v>69</v>
      </c>
      <c r="I1803" s="33" t="s">
        <v>198</v>
      </c>
      <c r="J1803" s="34">
        <v>1484.5</v>
      </c>
      <c r="K1803" s="34"/>
      <c r="L1803" s="34">
        <v>1484.5</v>
      </c>
    </row>
    <row r="1804" spans="2:12" x14ac:dyDescent="0.3">
      <c r="B1804" s="25">
        <v>1810</v>
      </c>
      <c r="C1804" s="33">
        <v>52324</v>
      </c>
      <c r="D1804" s="33" t="s">
        <v>400</v>
      </c>
      <c r="E1804" s="35">
        <v>44694</v>
      </c>
      <c r="F1804" s="33">
        <v>2</v>
      </c>
      <c r="G1804" s="33" t="s">
        <v>231</v>
      </c>
      <c r="H1804" s="33" t="s">
        <v>69</v>
      </c>
      <c r="I1804" s="33" t="s">
        <v>198</v>
      </c>
      <c r="J1804" s="34">
        <v>17.46</v>
      </c>
      <c r="K1804" s="34"/>
      <c r="L1804" s="34">
        <v>17.46</v>
      </c>
    </row>
    <row r="1805" spans="2:12" x14ac:dyDescent="0.3">
      <c r="B1805" s="25">
        <v>1811</v>
      </c>
      <c r="C1805" s="33">
        <v>52325</v>
      </c>
      <c r="D1805" s="33" t="s">
        <v>400</v>
      </c>
      <c r="E1805" s="35">
        <v>44694</v>
      </c>
      <c r="F1805" s="33">
        <v>2</v>
      </c>
      <c r="G1805" s="33" t="s">
        <v>231</v>
      </c>
      <c r="H1805" s="33" t="s">
        <v>69</v>
      </c>
      <c r="I1805" s="33" t="s">
        <v>198</v>
      </c>
      <c r="J1805" s="34">
        <v>2127.66</v>
      </c>
      <c r="K1805" s="34"/>
      <c r="L1805" s="34">
        <v>2127.66</v>
      </c>
    </row>
    <row r="1806" spans="2:12" x14ac:dyDescent="0.3">
      <c r="B1806" s="25">
        <v>1812</v>
      </c>
      <c r="C1806" s="33">
        <v>52326</v>
      </c>
      <c r="D1806" s="33" t="s">
        <v>400</v>
      </c>
      <c r="E1806" s="35">
        <v>44694</v>
      </c>
      <c r="F1806" s="33">
        <v>2</v>
      </c>
      <c r="G1806" s="33" t="s">
        <v>231</v>
      </c>
      <c r="H1806" s="33" t="s">
        <v>69</v>
      </c>
      <c r="I1806" s="33" t="s">
        <v>198</v>
      </c>
      <c r="J1806" s="34">
        <v>22.79</v>
      </c>
      <c r="K1806" s="34"/>
      <c r="L1806" s="34">
        <v>22.79</v>
      </c>
    </row>
    <row r="1807" spans="2:12" x14ac:dyDescent="0.3">
      <c r="B1807" s="25">
        <v>1813</v>
      </c>
      <c r="C1807" s="33">
        <v>52327</v>
      </c>
      <c r="D1807" s="33" t="s">
        <v>400</v>
      </c>
      <c r="E1807" s="35">
        <v>44694</v>
      </c>
      <c r="F1807" s="33">
        <v>2</v>
      </c>
      <c r="G1807" s="33" t="s">
        <v>231</v>
      </c>
      <c r="H1807" s="33" t="s">
        <v>69</v>
      </c>
      <c r="I1807" s="33" t="s">
        <v>198</v>
      </c>
      <c r="J1807" s="34">
        <v>116.4</v>
      </c>
      <c r="K1807" s="34"/>
      <c r="L1807" s="34">
        <v>116.4</v>
      </c>
    </row>
    <row r="1808" spans="2:12" x14ac:dyDescent="0.3">
      <c r="B1808" s="25">
        <v>1814</v>
      </c>
      <c r="C1808" s="33">
        <v>52335</v>
      </c>
      <c r="D1808" s="33" t="s">
        <v>512</v>
      </c>
      <c r="E1808" s="35">
        <v>44694</v>
      </c>
      <c r="F1808" s="33">
        <v>2</v>
      </c>
      <c r="G1808" s="33" t="s">
        <v>122</v>
      </c>
      <c r="H1808" s="33" t="s">
        <v>69</v>
      </c>
      <c r="I1808" s="33" t="s">
        <v>196</v>
      </c>
      <c r="J1808" s="34">
        <v>263</v>
      </c>
      <c r="K1808" s="34"/>
      <c r="L1808" s="34">
        <v>263</v>
      </c>
    </row>
    <row r="1809" spans="2:12" x14ac:dyDescent="0.3">
      <c r="B1809" s="25">
        <v>1815</v>
      </c>
      <c r="C1809" s="33">
        <v>52336</v>
      </c>
      <c r="D1809" s="33" t="s">
        <v>411</v>
      </c>
      <c r="E1809" s="35">
        <v>44694</v>
      </c>
      <c r="F1809" s="33">
        <v>2</v>
      </c>
      <c r="G1809" s="33" t="s">
        <v>122</v>
      </c>
      <c r="H1809" s="33" t="s">
        <v>69</v>
      </c>
      <c r="I1809" s="33" t="s">
        <v>196</v>
      </c>
      <c r="J1809" s="34">
        <v>864</v>
      </c>
      <c r="K1809" s="34"/>
      <c r="L1809" s="34">
        <v>864</v>
      </c>
    </row>
    <row r="1810" spans="2:12" x14ac:dyDescent="0.3">
      <c r="B1810" s="25">
        <v>1816</v>
      </c>
      <c r="C1810" s="33">
        <v>52337</v>
      </c>
      <c r="D1810" s="33" t="s">
        <v>752</v>
      </c>
      <c r="E1810" s="35">
        <v>44694</v>
      </c>
      <c r="F1810" s="33">
        <v>2</v>
      </c>
      <c r="G1810" s="33" t="s">
        <v>122</v>
      </c>
      <c r="H1810" s="33" t="s">
        <v>69</v>
      </c>
      <c r="I1810" s="33" t="s">
        <v>196</v>
      </c>
      <c r="J1810" s="34">
        <v>1719</v>
      </c>
      <c r="K1810" s="34"/>
      <c r="L1810" s="34">
        <v>1719</v>
      </c>
    </row>
    <row r="1811" spans="2:12" x14ac:dyDescent="0.3">
      <c r="B1811" s="25">
        <v>1817</v>
      </c>
      <c r="C1811" s="33">
        <v>7204</v>
      </c>
      <c r="D1811" s="33" t="s">
        <v>410</v>
      </c>
      <c r="E1811" s="35">
        <v>44699</v>
      </c>
      <c r="F1811" s="33">
        <v>2</v>
      </c>
      <c r="G1811" s="33" t="s">
        <v>231</v>
      </c>
      <c r="H1811" s="33" t="s">
        <v>69</v>
      </c>
      <c r="I1811" s="33" t="s">
        <v>198</v>
      </c>
      <c r="J1811" s="34">
        <v>9245.5</v>
      </c>
      <c r="K1811" s="34"/>
      <c r="L1811" s="34">
        <v>9245.5</v>
      </c>
    </row>
    <row r="1812" spans="2:12" x14ac:dyDescent="0.3">
      <c r="B1812" s="25">
        <v>1818</v>
      </c>
      <c r="C1812" s="33">
        <v>51326</v>
      </c>
      <c r="D1812" s="33" t="s">
        <v>400</v>
      </c>
      <c r="E1812" s="35">
        <v>44666</v>
      </c>
      <c r="F1812" s="33">
        <v>2</v>
      </c>
      <c r="G1812" s="33" t="s">
        <v>231</v>
      </c>
      <c r="H1812" s="33">
        <v>53</v>
      </c>
      <c r="I1812" s="33" t="s">
        <v>198</v>
      </c>
      <c r="J1812" s="34">
        <v>48.98</v>
      </c>
      <c r="K1812" s="34"/>
      <c r="L1812" s="34">
        <v>48.98</v>
      </c>
    </row>
    <row r="1813" spans="2:12" x14ac:dyDescent="0.3">
      <c r="B1813" s="25">
        <v>1819</v>
      </c>
      <c r="C1813" s="33">
        <v>51327</v>
      </c>
      <c r="D1813" s="33" t="s">
        <v>400</v>
      </c>
      <c r="E1813" s="35">
        <v>44666</v>
      </c>
      <c r="F1813" s="33">
        <v>2</v>
      </c>
      <c r="G1813" s="33" t="s">
        <v>231</v>
      </c>
      <c r="H1813" s="33">
        <v>53</v>
      </c>
      <c r="I1813" s="33" t="s">
        <v>198</v>
      </c>
      <c r="J1813" s="34">
        <v>123.29</v>
      </c>
      <c r="K1813" s="34"/>
      <c r="L1813" s="34">
        <v>123.29</v>
      </c>
    </row>
    <row r="1814" spans="2:12" x14ac:dyDescent="0.3">
      <c r="B1814" s="25">
        <v>1820</v>
      </c>
      <c r="C1814" s="33">
        <v>51442</v>
      </c>
      <c r="D1814" s="33" t="s">
        <v>438</v>
      </c>
      <c r="E1814" s="35">
        <v>44679</v>
      </c>
      <c r="F1814" s="33">
        <v>2</v>
      </c>
      <c r="G1814" s="33" t="s">
        <v>122</v>
      </c>
      <c r="H1814" s="33" t="s">
        <v>73</v>
      </c>
      <c r="I1814" s="33" t="s">
        <v>196</v>
      </c>
      <c r="J1814" s="34">
        <v>394.5</v>
      </c>
      <c r="K1814" s="34"/>
      <c r="L1814" s="34">
        <v>394.5</v>
      </c>
    </row>
    <row r="1815" spans="2:12" x14ac:dyDescent="0.3">
      <c r="B1815" s="25">
        <v>1821</v>
      </c>
      <c r="C1815" s="33" t="s">
        <v>1002</v>
      </c>
      <c r="D1815" s="33" t="s">
        <v>401</v>
      </c>
      <c r="E1815" s="35">
        <v>44679</v>
      </c>
      <c r="F1815" s="33">
        <v>2</v>
      </c>
      <c r="G1815" s="33" t="s">
        <v>231</v>
      </c>
      <c r="H1815" s="33" t="s">
        <v>388</v>
      </c>
      <c r="I1815" s="33" t="s">
        <v>198</v>
      </c>
      <c r="J1815" s="34">
        <v>-412.5</v>
      </c>
      <c r="K1815" s="34"/>
      <c r="L1815" s="34">
        <v>-412.5</v>
      </c>
    </row>
    <row r="1816" spans="2:12" x14ac:dyDescent="0.3">
      <c r="B1816" s="25">
        <v>1822</v>
      </c>
      <c r="C1816" s="33">
        <v>51524</v>
      </c>
      <c r="D1816" s="33" t="s">
        <v>443</v>
      </c>
      <c r="E1816" s="35">
        <v>44686</v>
      </c>
      <c r="F1816" s="33">
        <v>2</v>
      </c>
      <c r="G1816" s="33" t="s">
        <v>122</v>
      </c>
      <c r="H1816" s="33" t="s">
        <v>73</v>
      </c>
      <c r="I1816" s="33" t="s">
        <v>196</v>
      </c>
      <c r="J1816" s="34">
        <v>11</v>
      </c>
      <c r="K1816" s="34"/>
      <c r="L1816" s="34">
        <v>11</v>
      </c>
    </row>
    <row r="1817" spans="2:12" x14ac:dyDescent="0.3">
      <c r="B1817" s="25">
        <v>1823</v>
      </c>
      <c r="C1817" s="33">
        <v>61641</v>
      </c>
      <c r="D1817" s="33" t="s">
        <v>832</v>
      </c>
      <c r="E1817" s="35">
        <v>44694</v>
      </c>
      <c r="F1817" s="33">
        <v>2</v>
      </c>
      <c r="G1817" s="33" t="s">
        <v>231</v>
      </c>
      <c r="H1817" s="33" t="s">
        <v>73</v>
      </c>
      <c r="I1817" s="33" t="s">
        <v>198</v>
      </c>
      <c r="J1817" s="34">
        <v>6343.51</v>
      </c>
      <c r="K1817" s="34"/>
      <c r="L1817" s="34">
        <v>6343.51</v>
      </c>
    </row>
    <row r="1818" spans="2:12" x14ac:dyDescent="0.3">
      <c r="B1818" s="25">
        <v>1824</v>
      </c>
      <c r="C1818" s="33">
        <v>51526</v>
      </c>
      <c r="D1818" s="33" t="s">
        <v>804</v>
      </c>
      <c r="E1818" s="35">
        <v>44686</v>
      </c>
      <c r="F1818" s="33">
        <v>2</v>
      </c>
      <c r="G1818" s="33" t="s">
        <v>124</v>
      </c>
      <c r="H1818" s="33">
        <v>53</v>
      </c>
      <c r="I1818" s="33" t="s">
        <v>197</v>
      </c>
      <c r="J1818" s="34">
        <v>183</v>
      </c>
      <c r="K1818" s="34"/>
      <c r="L1818" s="34">
        <v>183</v>
      </c>
    </row>
    <row r="1819" spans="2:12" x14ac:dyDescent="0.3">
      <c r="B1819" s="25">
        <v>1825</v>
      </c>
      <c r="C1819" s="33">
        <v>2866</v>
      </c>
      <c r="D1819" s="33" t="s">
        <v>605</v>
      </c>
      <c r="E1819" s="35">
        <v>44693</v>
      </c>
      <c r="F1819" s="33">
        <v>2</v>
      </c>
      <c r="G1819" s="33" t="s">
        <v>628</v>
      </c>
      <c r="H1819" s="33" t="s">
        <v>201</v>
      </c>
      <c r="I1819" s="33" t="s">
        <v>75</v>
      </c>
      <c r="J1819" s="34">
        <v>823.59</v>
      </c>
      <c r="K1819" s="34"/>
      <c r="L1819" s="34">
        <v>823.59</v>
      </c>
    </row>
    <row r="1820" spans="2:12" x14ac:dyDescent="0.3">
      <c r="B1820" s="25">
        <v>1826</v>
      </c>
      <c r="C1820" s="33">
        <v>2867</v>
      </c>
      <c r="D1820" s="33" t="s">
        <v>580</v>
      </c>
      <c r="E1820" s="35">
        <v>44693</v>
      </c>
      <c r="F1820" s="33">
        <v>2</v>
      </c>
      <c r="G1820" s="33" t="s">
        <v>124</v>
      </c>
      <c r="H1820" s="33" t="s">
        <v>201</v>
      </c>
      <c r="I1820" s="33" t="s">
        <v>197</v>
      </c>
      <c r="J1820" s="34">
        <v>2689.2</v>
      </c>
      <c r="K1820" s="34"/>
      <c r="L1820" s="34">
        <v>2689.2</v>
      </c>
    </row>
    <row r="1821" spans="2:12" x14ac:dyDescent="0.3">
      <c r="B1821" s="25">
        <v>1827</v>
      </c>
      <c r="C1821" s="33">
        <v>2868</v>
      </c>
      <c r="D1821" s="33" t="s">
        <v>473</v>
      </c>
      <c r="E1821" s="35">
        <v>44693</v>
      </c>
      <c r="F1821" s="33">
        <v>2</v>
      </c>
      <c r="G1821" s="33" t="s">
        <v>122</v>
      </c>
      <c r="H1821" s="33" t="s">
        <v>201</v>
      </c>
      <c r="I1821" s="33" t="s">
        <v>196</v>
      </c>
      <c r="J1821" s="34">
        <v>8760.77</v>
      </c>
      <c r="K1821" s="34"/>
      <c r="L1821" s="34">
        <v>8760.77</v>
      </c>
    </row>
    <row r="1822" spans="2:12" x14ac:dyDescent="0.3">
      <c r="B1822" s="25">
        <v>1828</v>
      </c>
      <c r="C1822" s="33">
        <v>2869</v>
      </c>
      <c r="D1822" s="33" t="s">
        <v>609</v>
      </c>
      <c r="E1822" s="35">
        <v>44693</v>
      </c>
      <c r="F1822" s="33">
        <v>2</v>
      </c>
      <c r="G1822" s="33" t="s">
        <v>124</v>
      </c>
      <c r="H1822" s="33" t="s">
        <v>201</v>
      </c>
      <c r="I1822" s="33" t="s">
        <v>197</v>
      </c>
      <c r="J1822" s="34">
        <v>583.79999999999995</v>
      </c>
      <c r="K1822" s="34">
        <v>80</v>
      </c>
      <c r="L1822" s="34">
        <v>503.8</v>
      </c>
    </row>
    <row r="1823" spans="2:12" x14ac:dyDescent="0.3">
      <c r="B1823" s="25">
        <v>1829</v>
      </c>
      <c r="C1823" s="33">
        <v>2870</v>
      </c>
      <c r="D1823" s="33" t="s">
        <v>584</v>
      </c>
      <c r="E1823" s="35">
        <v>44693</v>
      </c>
      <c r="F1823" s="33">
        <v>2</v>
      </c>
      <c r="G1823" s="33" t="s">
        <v>122</v>
      </c>
      <c r="H1823" s="33" t="s">
        <v>201</v>
      </c>
      <c r="I1823" s="33" t="s">
        <v>196</v>
      </c>
      <c r="J1823" s="34">
        <v>3625.62</v>
      </c>
      <c r="K1823" s="34"/>
      <c r="L1823" s="34">
        <v>3625.62</v>
      </c>
    </row>
    <row r="1824" spans="2:12" x14ac:dyDescent="0.3">
      <c r="B1824" s="25">
        <v>1830</v>
      </c>
      <c r="C1824" s="33">
        <v>2874</v>
      </c>
      <c r="D1824" s="33" t="s">
        <v>403</v>
      </c>
      <c r="E1824" s="35">
        <v>44693</v>
      </c>
      <c r="F1824" s="33">
        <v>2</v>
      </c>
      <c r="G1824" s="33" t="s">
        <v>122</v>
      </c>
      <c r="H1824" s="33" t="s">
        <v>201</v>
      </c>
      <c r="I1824" s="33" t="s">
        <v>196</v>
      </c>
      <c r="J1824" s="34">
        <v>2275.02</v>
      </c>
      <c r="K1824" s="34"/>
      <c r="L1824" s="34">
        <v>2275.02</v>
      </c>
    </row>
    <row r="1825" spans="2:12" x14ac:dyDescent="0.3">
      <c r="B1825" s="25">
        <v>1831</v>
      </c>
      <c r="C1825" s="33" t="s">
        <v>1003</v>
      </c>
      <c r="D1825" s="33" t="s">
        <v>516</v>
      </c>
      <c r="E1825" s="35">
        <v>44693</v>
      </c>
      <c r="F1825" s="33">
        <v>2</v>
      </c>
      <c r="G1825" s="33" t="s">
        <v>628</v>
      </c>
      <c r="H1825" s="33" t="s">
        <v>201</v>
      </c>
      <c r="I1825" s="33" t="s">
        <v>75</v>
      </c>
      <c r="J1825" s="34">
        <v>1122</v>
      </c>
      <c r="K1825" s="34"/>
      <c r="L1825" s="34">
        <v>1122</v>
      </c>
    </row>
    <row r="1826" spans="2:12" x14ac:dyDescent="0.3">
      <c r="B1826" s="25">
        <v>1832</v>
      </c>
      <c r="C1826" s="33">
        <v>33574</v>
      </c>
      <c r="D1826" s="33" t="s">
        <v>233</v>
      </c>
      <c r="E1826" s="35">
        <v>44701</v>
      </c>
      <c r="F1826" s="33">
        <v>2</v>
      </c>
      <c r="G1826" s="33" t="s">
        <v>122</v>
      </c>
      <c r="H1826" s="33" t="s">
        <v>72</v>
      </c>
      <c r="I1826" s="33" t="s">
        <v>196</v>
      </c>
      <c r="J1826" s="34">
        <v>980</v>
      </c>
      <c r="K1826" s="34"/>
      <c r="L1826" s="34">
        <v>980</v>
      </c>
    </row>
    <row r="1827" spans="2:12" x14ac:dyDescent="0.3">
      <c r="B1827" s="25">
        <v>1833</v>
      </c>
      <c r="C1827" s="33">
        <v>33584</v>
      </c>
      <c r="D1827" s="33" t="s">
        <v>394</v>
      </c>
      <c r="E1827" s="35">
        <v>44705</v>
      </c>
      <c r="F1827" s="33">
        <v>2</v>
      </c>
      <c r="G1827" s="33" t="s">
        <v>122</v>
      </c>
      <c r="H1827" s="33" t="s">
        <v>72</v>
      </c>
      <c r="I1827" s="33" t="s">
        <v>196</v>
      </c>
      <c r="J1827" s="34">
        <v>4752.1000000000004</v>
      </c>
      <c r="K1827" s="34"/>
      <c r="L1827" s="34">
        <v>4752.1000000000004</v>
      </c>
    </row>
    <row r="1828" spans="2:12" x14ac:dyDescent="0.3">
      <c r="B1828" s="25">
        <v>1834</v>
      </c>
      <c r="C1828" s="33">
        <v>33603</v>
      </c>
      <c r="D1828" s="33" t="s">
        <v>611</v>
      </c>
      <c r="E1828" s="35">
        <v>44711</v>
      </c>
      <c r="F1828" s="33">
        <v>2</v>
      </c>
      <c r="G1828" s="33" t="s">
        <v>628</v>
      </c>
      <c r="H1828" s="33" t="s">
        <v>72</v>
      </c>
      <c r="I1828" s="33" t="s">
        <v>75</v>
      </c>
      <c r="J1828" s="34">
        <v>1701.5</v>
      </c>
      <c r="K1828" s="34"/>
      <c r="L1828" s="34">
        <v>1701.5</v>
      </c>
    </row>
    <row r="1829" spans="2:12" x14ac:dyDescent="0.3">
      <c r="B1829" s="25">
        <v>1835</v>
      </c>
      <c r="C1829" s="33">
        <v>33615</v>
      </c>
      <c r="D1829" s="33" t="s">
        <v>394</v>
      </c>
      <c r="E1829" s="35">
        <v>44712</v>
      </c>
      <c r="F1829" s="33">
        <v>2</v>
      </c>
      <c r="G1829" s="33" t="s">
        <v>122</v>
      </c>
      <c r="H1829" s="33" t="s">
        <v>72</v>
      </c>
      <c r="I1829" s="33" t="s">
        <v>196</v>
      </c>
      <c r="J1829" s="34">
        <v>3108.4</v>
      </c>
      <c r="K1829" s="34"/>
      <c r="L1829" s="34">
        <v>3108.4</v>
      </c>
    </row>
    <row r="1830" spans="2:12" x14ac:dyDescent="0.3">
      <c r="B1830" s="25">
        <v>1836</v>
      </c>
      <c r="C1830" s="33">
        <v>33616</v>
      </c>
      <c r="D1830" s="33" t="s">
        <v>394</v>
      </c>
      <c r="E1830" s="35">
        <v>44712</v>
      </c>
      <c r="F1830" s="33">
        <v>2</v>
      </c>
      <c r="G1830" s="33" t="s">
        <v>122</v>
      </c>
      <c r="H1830" s="33" t="s">
        <v>72</v>
      </c>
      <c r="I1830" s="33" t="s">
        <v>196</v>
      </c>
      <c r="J1830" s="34">
        <v>950.4</v>
      </c>
      <c r="K1830" s="34"/>
      <c r="L1830" s="34">
        <v>950.4</v>
      </c>
    </row>
    <row r="1831" spans="2:12" x14ac:dyDescent="0.3">
      <c r="B1831" s="25">
        <v>1837</v>
      </c>
      <c r="C1831" s="33">
        <v>33386</v>
      </c>
      <c r="D1831" s="33" t="s">
        <v>1004</v>
      </c>
      <c r="E1831" s="35">
        <v>44677</v>
      </c>
      <c r="F1831" s="33">
        <v>2</v>
      </c>
      <c r="G1831" s="33" t="s">
        <v>122</v>
      </c>
      <c r="H1831" s="33" t="s">
        <v>72</v>
      </c>
      <c r="I1831" s="33" t="s">
        <v>196</v>
      </c>
      <c r="J1831" s="34">
        <v>8415.9</v>
      </c>
      <c r="K1831" s="34"/>
      <c r="L1831" s="34">
        <v>8415.9</v>
      </c>
    </row>
    <row r="1832" spans="2:12" x14ac:dyDescent="0.3">
      <c r="B1832" s="25">
        <v>1838</v>
      </c>
      <c r="C1832" s="33" t="s">
        <v>1005</v>
      </c>
      <c r="D1832" s="33" t="s">
        <v>1004</v>
      </c>
      <c r="E1832" s="35">
        <v>44680</v>
      </c>
      <c r="F1832" s="33">
        <v>2</v>
      </c>
      <c r="G1832" s="33" t="s">
        <v>231</v>
      </c>
      <c r="H1832" s="33" t="s">
        <v>72</v>
      </c>
      <c r="I1832" s="33" t="s">
        <v>198</v>
      </c>
      <c r="J1832" s="34">
        <v>13085.6</v>
      </c>
      <c r="K1832" s="34"/>
      <c r="L1832" s="34">
        <v>13085.6</v>
      </c>
    </row>
    <row r="1833" spans="2:12" x14ac:dyDescent="0.3">
      <c r="B1833" s="25">
        <v>1839</v>
      </c>
      <c r="C1833" s="33">
        <v>2586</v>
      </c>
      <c r="D1833" s="33" t="s">
        <v>1006</v>
      </c>
      <c r="E1833" s="35">
        <v>44713</v>
      </c>
      <c r="F1833" s="33">
        <v>2</v>
      </c>
      <c r="G1833" s="33" t="s">
        <v>122</v>
      </c>
      <c r="H1833" s="33" t="s">
        <v>71</v>
      </c>
      <c r="I1833" s="33" t="s">
        <v>196</v>
      </c>
      <c r="J1833" s="34">
        <v>1004.7</v>
      </c>
      <c r="K1833" s="34"/>
      <c r="L1833" s="34">
        <v>1004.7</v>
      </c>
    </row>
    <row r="1834" spans="2:12" x14ac:dyDescent="0.3">
      <c r="B1834" s="25">
        <v>1840</v>
      </c>
      <c r="C1834" s="33">
        <v>2763</v>
      </c>
      <c r="D1834" s="33" t="s">
        <v>751</v>
      </c>
      <c r="E1834" s="35">
        <v>44685</v>
      </c>
      <c r="F1834" s="33">
        <v>2</v>
      </c>
      <c r="G1834" s="33" t="s">
        <v>628</v>
      </c>
      <c r="H1834" s="33" t="s">
        <v>71</v>
      </c>
      <c r="I1834" s="33" t="s">
        <v>75</v>
      </c>
      <c r="J1834" s="34">
        <v>118.79</v>
      </c>
      <c r="K1834" s="34"/>
      <c r="L1834" s="34">
        <v>118.79</v>
      </c>
    </row>
    <row r="1835" spans="2:12" x14ac:dyDescent="0.3">
      <c r="B1835" s="25">
        <v>1841</v>
      </c>
      <c r="C1835" s="33" t="s">
        <v>1007</v>
      </c>
      <c r="D1835" s="33" t="s">
        <v>1008</v>
      </c>
      <c r="E1835" s="35">
        <v>44712</v>
      </c>
      <c r="F1835" s="33">
        <v>2</v>
      </c>
      <c r="G1835" s="33" t="s">
        <v>122</v>
      </c>
      <c r="H1835" s="33" t="s">
        <v>70</v>
      </c>
      <c r="I1835" s="33" t="s">
        <v>196</v>
      </c>
      <c r="J1835" s="34">
        <v>2286.92</v>
      </c>
      <c r="K1835" s="34">
        <v>80</v>
      </c>
      <c r="L1835" s="34">
        <v>2206.92</v>
      </c>
    </row>
    <row r="1836" spans="2:12" x14ac:dyDescent="0.3">
      <c r="B1836" s="25">
        <v>1842</v>
      </c>
      <c r="C1836" s="33">
        <v>3212</v>
      </c>
      <c r="D1836" s="33" t="s">
        <v>788</v>
      </c>
      <c r="E1836" s="35">
        <v>44706</v>
      </c>
      <c r="F1836" s="33">
        <v>2</v>
      </c>
      <c r="G1836" s="33" t="s">
        <v>122</v>
      </c>
      <c r="H1836" s="33" t="s">
        <v>201</v>
      </c>
      <c r="I1836" s="33" t="s">
        <v>196</v>
      </c>
      <c r="J1836" s="34">
        <v>1144.83</v>
      </c>
      <c r="K1836" s="34"/>
      <c r="L1836" s="34">
        <v>1144.83</v>
      </c>
    </row>
    <row r="1837" spans="2:12" x14ac:dyDescent="0.3">
      <c r="B1837" s="25">
        <v>1843</v>
      </c>
      <c r="C1837" s="33" t="s">
        <v>1009</v>
      </c>
      <c r="D1837" s="33" t="s">
        <v>788</v>
      </c>
      <c r="E1837" s="35">
        <v>44711</v>
      </c>
      <c r="F1837" s="33">
        <v>2</v>
      </c>
      <c r="G1837" s="33" t="s">
        <v>231</v>
      </c>
      <c r="H1837" s="33" t="s">
        <v>201</v>
      </c>
      <c r="I1837" s="33" t="s">
        <v>198</v>
      </c>
      <c r="J1837" s="34">
        <v>1510.4</v>
      </c>
      <c r="K1837" s="34"/>
      <c r="L1837" s="34">
        <v>1510.4</v>
      </c>
    </row>
    <row r="1838" spans="2:12" x14ac:dyDescent="0.3">
      <c r="B1838" s="25">
        <v>1844</v>
      </c>
      <c r="C1838" s="33">
        <v>1649</v>
      </c>
      <c r="D1838" s="33" t="s">
        <v>894</v>
      </c>
      <c r="E1838" s="35">
        <v>44663</v>
      </c>
      <c r="F1838" s="33">
        <v>2</v>
      </c>
      <c r="G1838" s="33" t="s">
        <v>122</v>
      </c>
      <c r="H1838" s="33" t="s">
        <v>71</v>
      </c>
      <c r="I1838" s="33" t="s">
        <v>196</v>
      </c>
      <c r="J1838" s="34">
        <v>256.62</v>
      </c>
      <c r="K1838" s="34"/>
      <c r="L1838" s="34">
        <v>256.62</v>
      </c>
    </row>
    <row r="1839" spans="2:12" x14ac:dyDescent="0.3">
      <c r="B1839" s="25">
        <v>1845</v>
      </c>
      <c r="C1839" s="33">
        <v>2090</v>
      </c>
      <c r="D1839" s="33" t="s">
        <v>403</v>
      </c>
      <c r="E1839" s="35">
        <v>44687</v>
      </c>
      <c r="F1839" s="33">
        <v>2</v>
      </c>
      <c r="G1839" s="33" t="s">
        <v>122</v>
      </c>
      <c r="H1839" s="33" t="s">
        <v>71</v>
      </c>
      <c r="I1839" s="33" t="s">
        <v>196</v>
      </c>
      <c r="J1839" s="34">
        <v>1292.24</v>
      </c>
      <c r="K1839" s="34"/>
      <c r="L1839" s="34">
        <v>1292.24</v>
      </c>
    </row>
    <row r="1840" spans="2:12" x14ac:dyDescent="0.3">
      <c r="B1840" s="25">
        <v>1846</v>
      </c>
      <c r="C1840" s="33">
        <v>2091</v>
      </c>
      <c r="D1840" s="33" t="s">
        <v>393</v>
      </c>
      <c r="E1840" s="35">
        <v>44687</v>
      </c>
      <c r="F1840" s="33">
        <v>2</v>
      </c>
      <c r="G1840" s="33" t="s">
        <v>122</v>
      </c>
      <c r="H1840" s="33" t="s">
        <v>71</v>
      </c>
      <c r="I1840" s="33" t="s">
        <v>196</v>
      </c>
      <c r="J1840" s="34">
        <v>1314.21</v>
      </c>
      <c r="K1840" s="34"/>
      <c r="L1840" s="34">
        <v>1314.21</v>
      </c>
    </row>
    <row r="1841" spans="2:12" x14ac:dyDescent="0.3">
      <c r="B1841" s="25">
        <v>1847</v>
      </c>
      <c r="C1841" s="33">
        <v>2154</v>
      </c>
      <c r="D1841" s="33" t="s">
        <v>1010</v>
      </c>
      <c r="E1841" s="35">
        <v>44692</v>
      </c>
      <c r="F1841" s="33">
        <v>2</v>
      </c>
      <c r="G1841" s="33" t="s">
        <v>124</v>
      </c>
      <c r="H1841" s="33" t="s">
        <v>71</v>
      </c>
      <c r="I1841" s="33" t="s">
        <v>197</v>
      </c>
      <c r="J1841" s="34">
        <v>849.86</v>
      </c>
      <c r="K1841" s="34">
        <v>80</v>
      </c>
      <c r="L1841" s="34">
        <v>769.86</v>
      </c>
    </row>
    <row r="1842" spans="2:12" x14ac:dyDescent="0.3">
      <c r="B1842" s="25">
        <v>1848</v>
      </c>
      <c r="C1842" s="33">
        <v>2155</v>
      </c>
      <c r="D1842" s="33" t="s">
        <v>426</v>
      </c>
      <c r="E1842" s="35">
        <v>44692</v>
      </c>
      <c r="F1842" s="33">
        <v>2</v>
      </c>
      <c r="G1842" s="33" t="s">
        <v>628</v>
      </c>
      <c r="H1842" s="33" t="s">
        <v>71</v>
      </c>
      <c r="I1842" s="33" t="s">
        <v>75</v>
      </c>
      <c r="J1842" s="34">
        <v>2413.92</v>
      </c>
      <c r="K1842" s="34"/>
      <c r="L1842" s="34">
        <v>2413.92</v>
      </c>
    </row>
    <row r="1843" spans="2:12" x14ac:dyDescent="0.3">
      <c r="B1843" s="25">
        <v>1849</v>
      </c>
      <c r="C1843" s="33">
        <v>2156</v>
      </c>
      <c r="D1843" s="33" t="s">
        <v>839</v>
      </c>
      <c r="E1843" s="35">
        <v>44692</v>
      </c>
      <c r="F1843" s="33">
        <v>2</v>
      </c>
      <c r="G1843" s="33" t="s">
        <v>124</v>
      </c>
      <c r="H1843" s="33" t="s">
        <v>71</v>
      </c>
      <c r="I1843" s="33" t="s">
        <v>197</v>
      </c>
      <c r="J1843" s="34">
        <v>3099.76</v>
      </c>
      <c r="K1843" s="34"/>
      <c r="L1843" s="34">
        <v>3099.76</v>
      </c>
    </row>
    <row r="1844" spans="2:12" x14ac:dyDescent="0.3">
      <c r="B1844" s="25">
        <v>1850</v>
      </c>
      <c r="C1844" s="33">
        <v>2229</v>
      </c>
      <c r="D1844" s="33" t="s">
        <v>277</v>
      </c>
      <c r="E1844" s="35">
        <v>44694</v>
      </c>
      <c r="F1844" s="33">
        <v>2</v>
      </c>
      <c r="G1844" s="33" t="s">
        <v>124</v>
      </c>
      <c r="H1844" s="33" t="s">
        <v>71</v>
      </c>
      <c r="I1844" s="33" t="s">
        <v>197</v>
      </c>
      <c r="J1844" s="34">
        <v>100.1</v>
      </c>
      <c r="K1844" s="34"/>
      <c r="L1844" s="34">
        <v>100.1</v>
      </c>
    </row>
    <row r="1845" spans="2:12" x14ac:dyDescent="0.3">
      <c r="B1845" s="25">
        <v>1851</v>
      </c>
      <c r="C1845" s="33">
        <v>2230</v>
      </c>
      <c r="D1845" s="33" t="s">
        <v>277</v>
      </c>
      <c r="E1845" s="35">
        <v>44694</v>
      </c>
      <c r="F1845" s="33">
        <v>2</v>
      </c>
      <c r="G1845" s="33" t="s">
        <v>124</v>
      </c>
      <c r="H1845" s="33" t="s">
        <v>71</v>
      </c>
      <c r="I1845" s="33" t="s">
        <v>197</v>
      </c>
      <c r="J1845" s="34">
        <v>910.91</v>
      </c>
      <c r="K1845" s="34"/>
      <c r="L1845" s="34">
        <v>910.91</v>
      </c>
    </row>
    <row r="1846" spans="2:12" x14ac:dyDescent="0.3">
      <c r="B1846" s="25">
        <v>1852</v>
      </c>
      <c r="C1846" s="33">
        <v>2284</v>
      </c>
      <c r="D1846" s="33" t="s">
        <v>963</v>
      </c>
      <c r="E1846" s="35">
        <v>44699</v>
      </c>
      <c r="F1846" s="33">
        <v>2</v>
      </c>
      <c r="G1846" s="33" t="s">
        <v>231</v>
      </c>
      <c r="H1846" s="33" t="s">
        <v>71</v>
      </c>
      <c r="I1846" s="33" t="s">
        <v>198</v>
      </c>
      <c r="J1846" s="34">
        <v>964.78</v>
      </c>
      <c r="K1846" s="34"/>
      <c r="L1846" s="34">
        <v>964.78</v>
      </c>
    </row>
    <row r="1847" spans="2:12" x14ac:dyDescent="0.3">
      <c r="B1847" s="25">
        <v>1853</v>
      </c>
      <c r="C1847" s="33">
        <v>2380</v>
      </c>
      <c r="D1847" s="33" t="s">
        <v>654</v>
      </c>
      <c r="E1847" s="35">
        <v>44701</v>
      </c>
      <c r="F1847" s="33">
        <v>2</v>
      </c>
      <c r="G1847" s="33" t="s">
        <v>628</v>
      </c>
      <c r="H1847" s="33" t="s">
        <v>71</v>
      </c>
      <c r="I1847" s="33" t="s">
        <v>75</v>
      </c>
      <c r="J1847" s="34">
        <v>2018.01</v>
      </c>
      <c r="K1847" s="34"/>
      <c r="L1847" s="34">
        <v>2018.01</v>
      </c>
    </row>
    <row r="1848" spans="2:12" x14ac:dyDescent="0.3">
      <c r="B1848" s="25">
        <v>1854</v>
      </c>
      <c r="C1848" s="33">
        <v>2439</v>
      </c>
      <c r="D1848" s="33" t="s">
        <v>838</v>
      </c>
      <c r="E1848" s="35">
        <v>44704</v>
      </c>
      <c r="F1848" s="33">
        <v>2</v>
      </c>
      <c r="G1848" s="33" t="s">
        <v>124</v>
      </c>
      <c r="H1848" s="33" t="s">
        <v>71</v>
      </c>
      <c r="I1848" s="33" t="s">
        <v>197</v>
      </c>
      <c r="J1848" s="34">
        <v>1529.13</v>
      </c>
      <c r="K1848" s="34"/>
      <c r="L1848" s="34">
        <v>1529.13</v>
      </c>
    </row>
    <row r="1849" spans="2:12" x14ac:dyDescent="0.3">
      <c r="B1849" s="25">
        <v>1855</v>
      </c>
      <c r="C1849" s="33">
        <v>2468</v>
      </c>
      <c r="D1849" s="33" t="s">
        <v>363</v>
      </c>
      <c r="E1849" s="35">
        <v>44706</v>
      </c>
      <c r="F1849" s="33">
        <v>2</v>
      </c>
      <c r="G1849" s="33" t="s">
        <v>124</v>
      </c>
      <c r="H1849" s="33" t="s">
        <v>71</v>
      </c>
      <c r="I1849" s="33" t="s">
        <v>197</v>
      </c>
      <c r="J1849" s="34">
        <v>1068.25</v>
      </c>
      <c r="K1849" s="34"/>
      <c r="L1849" s="34">
        <v>1068.25</v>
      </c>
    </row>
    <row r="1850" spans="2:12" x14ac:dyDescent="0.3">
      <c r="B1850" s="25">
        <v>1856</v>
      </c>
      <c r="C1850" s="33" t="s">
        <v>1011</v>
      </c>
      <c r="D1850" s="33" t="s">
        <v>1012</v>
      </c>
      <c r="E1850" s="35">
        <v>44706</v>
      </c>
      <c r="F1850" s="33">
        <v>2</v>
      </c>
      <c r="G1850" s="33" t="s">
        <v>628</v>
      </c>
      <c r="H1850" s="33" t="s">
        <v>71</v>
      </c>
      <c r="I1850" s="33" t="s">
        <v>75</v>
      </c>
      <c r="J1850" s="34">
        <v>1083.81</v>
      </c>
      <c r="K1850" s="34"/>
      <c r="L1850" s="34">
        <v>1083.81</v>
      </c>
    </row>
    <row r="1851" spans="2:12" x14ac:dyDescent="0.3">
      <c r="B1851" s="25">
        <v>1857</v>
      </c>
      <c r="C1851" s="33">
        <v>2490</v>
      </c>
      <c r="D1851" s="33" t="s">
        <v>1013</v>
      </c>
      <c r="E1851" s="35">
        <v>44706</v>
      </c>
      <c r="F1851" s="33">
        <v>2</v>
      </c>
      <c r="G1851" s="33" t="s">
        <v>231</v>
      </c>
      <c r="H1851" s="33" t="s">
        <v>71</v>
      </c>
      <c r="I1851" s="33" t="s">
        <v>198</v>
      </c>
      <c r="J1851" s="34">
        <v>2043.28</v>
      </c>
      <c r="K1851" s="34"/>
      <c r="L1851" s="34">
        <v>2043.28</v>
      </c>
    </row>
    <row r="1852" spans="2:12" x14ac:dyDescent="0.3">
      <c r="B1852" s="25">
        <v>1858</v>
      </c>
      <c r="C1852" s="33">
        <v>2539</v>
      </c>
      <c r="D1852" s="33" t="s">
        <v>1014</v>
      </c>
      <c r="E1852" s="35">
        <v>44712</v>
      </c>
      <c r="F1852" s="33">
        <v>2</v>
      </c>
      <c r="G1852" s="33" t="s">
        <v>122</v>
      </c>
      <c r="H1852" s="33" t="s">
        <v>71</v>
      </c>
      <c r="I1852" s="33" t="s">
        <v>196</v>
      </c>
      <c r="J1852" s="34">
        <v>1046.27</v>
      </c>
      <c r="K1852" s="34"/>
      <c r="L1852" s="34">
        <v>1046.27</v>
      </c>
    </row>
    <row r="1853" spans="2:12" x14ac:dyDescent="0.3">
      <c r="B1853" s="25">
        <v>1859</v>
      </c>
      <c r="C1853" s="33">
        <v>3473</v>
      </c>
      <c r="D1853" s="33" t="s">
        <v>760</v>
      </c>
      <c r="E1853" s="35">
        <v>44719</v>
      </c>
      <c r="F1853" s="33">
        <v>2</v>
      </c>
      <c r="G1853" s="33" t="s">
        <v>122</v>
      </c>
      <c r="H1853" s="33" t="s">
        <v>201</v>
      </c>
      <c r="I1853" s="33" t="s">
        <v>196</v>
      </c>
      <c r="J1853" s="34">
        <v>257.39999999999998</v>
      </c>
      <c r="K1853" s="34"/>
      <c r="L1853" s="34">
        <v>257.39999999999998</v>
      </c>
    </row>
    <row r="1854" spans="2:12" x14ac:dyDescent="0.3">
      <c r="B1854" s="25">
        <v>1860</v>
      </c>
      <c r="C1854" s="33">
        <v>33651</v>
      </c>
      <c r="D1854" s="33" t="s">
        <v>462</v>
      </c>
      <c r="E1854" s="35">
        <v>44720</v>
      </c>
      <c r="F1854" s="33">
        <v>2</v>
      </c>
      <c r="G1854" s="33" t="s">
        <v>122</v>
      </c>
      <c r="H1854" s="33" t="s">
        <v>72</v>
      </c>
      <c r="I1854" s="33" t="s">
        <v>196</v>
      </c>
      <c r="J1854" s="34">
        <v>5320.7</v>
      </c>
      <c r="K1854" s="34"/>
      <c r="L1854" s="34">
        <v>5320.7</v>
      </c>
    </row>
    <row r="1855" spans="2:12" x14ac:dyDescent="0.3">
      <c r="B1855" s="25">
        <v>1861</v>
      </c>
      <c r="C1855" s="33">
        <v>33674</v>
      </c>
      <c r="D1855" s="33" t="s">
        <v>461</v>
      </c>
      <c r="E1855" s="35">
        <v>44722</v>
      </c>
      <c r="F1855" s="33">
        <v>2</v>
      </c>
      <c r="G1855" s="33" t="s">
        <v>122</v>
      </c>
      <c r="H1855" s="33" t="s">
        <v>72</v>
      </c>
      <c r="I1855" s="33" t="s">
        <v>196</v>
      </c>
      <c r="J1855" s="34">
        <v>617</v>
      </c>
      <c r="K1855" s="34">
        <v>100</v>
      </c>
      <c r="L1855" s="34">
        <v>517</v>
      </c>
    </row>
    <row r="1856" spans="2:12" x14ac:dyDescent="0.3">
      <c r="B1856" s="25">
        <v>1862</v>
      </c>
      <c r="C1856" s="33">
        <v>33715</v>
      </c>
      <c r="D1856" s="33" t="s">
        <v>394</v>
      </c>
      <c r="E1856" s="35">
        <v>44726</v>
      </c>
      <c r="F1856" s="33">
        <v>2</v>
      </c>
      <c r="G1856" s="33" t="s">
        <v>122</v>
      </c>
      <c r="H1856" s="33" t="s">
        <v>72</v>
      </c>
      <c r="I1856" s="33" t="s">
        <v>196</v>
      </c>
      <c r="J1856" s="34">
        <v>5655.4</v>
      </c>
      <c r="K1856" s="34"/>
      <c r="L1856" s="34">
        <v>5655.4</v>
      </c>
    </row>
    <row r="1857" spans="2:12" x14ac:dyDescent="0.3">
      <c r="B1857" s="25">
        <v>1863</v>
      </c>
      <c r="C1857" s="33" t="s">
        <v>1015</v>
      </c>
      <c r="D1857" s="33" t="s">
        <v>1016</v>
      </c>
      <c r="E1857" s="35">
        <v>44729</v>
      </c>
      <c r="F1857" s="33">
        <v>2</v>
      </c>
      <c r="G1857" s="33" t="s">
        <v>122</v>
      </c>
      <c r="H1857" s="33" t="s">
        <v>70</v>
      </c>
      <c r="I1857" s="33" t="s">
        <v>196</v>
      </c>
      <c r="J1857" s="34">
        <v>1022.32</v>
      </c>
      <c r="K1857" s="34"/>
      <c r="L1857" s="34">
        <v>1022.32</v>
      </c>
    </row>
    <row r="1858" spans="2:12" x14ac:dyDescent="0.3">
      <c r="B1858" s="25">
        <v>1864</v>
      </c>
      <c r="C1858" s="33">
        <v>33744</v>
      </c>
      <c r="D1858" s="33" t="s">
        <v>394</v>
      </c>
      <c r="E1858" s="35">
        <v>44732</v>
      </c>
      <c r="F1858" s="33">
        <v>2</v>
      </c>
      <c r="G1858" s="33" t="s">
        <v>122</v>
      </c>
      <c r="H1858" s="33" t="s">
        <v>72</v>
      </c>
      <c r="I1858" s="33" t="s">
        <v>196</v>
      </c>
      <c r="J1858" s="34">
        <v>6316</v>
      </c>
      <c r="K1858" s="34"/>
      <c r="L1858" s="34">
        <v>6316</v>
      </c>
    </row>
    <row r="1859" spans="2:12" x14ac:dyDescent="0.3">
      <c r="B1859" s="25">
        <v>1865</v>
      </c>
      <c r="C1859" s="33">
        <v>33750</v>
      </c>
      <c r="D1859" s="33" t="s">
        <v>1017</v>
      </c>
      <c r="E1859" s="35">
        <v>44733</v>
      </c>
      <c r="F1859" s="33">
        <v>2</v>
      </c>
      <c r="G1859" s="33" t="s">
        <v>122</v>
      </c>
      <c r="H1859" s="33" t="s">
        <v>72</v>
      </c>
      <c r="I1859" s="33" t="s">
        <v>196</v>
      </c>
      <c r="J1859" s="34">
        <v>7753.2</v>
      </c>
      <c r="K1859" s="34"/>
      <c r="L1859" s="34">
        <v>7753.2</v>
      </c>
    </row>
    <row r="1860" spans="2:12" x14ac:dyDescent="0.3">
      <c r="B1860" s="25">
        <v>1866</v>
      </c>
      <c r="C1860" s="33">
        <v>33751</v>
      </c>
      <c r="D1860" s="33" t="s">
        <v>531</v>
      </c>
      <c r="E1860" s="35">
        <v>44734</v>
      </c>
      <c r="F1860" s="33">
        <v>2</v>
      </c>
      <c r="G1860" s="33" t="s">
        <v>122</v>
      </c>
      <c r="H1860" s="33" t="s">
        <v>72</v>
      </c>
      <c r="I1860" s="33" t="s">
        <v>196</v>
      </c>
      <c r="J1860" s="34">
        <v>6669.6</v>
      </c>
      <c r="K1860" s="34"/>
      <c r="L1860" s="34">
        <v>6669.6</v>
      </c>
    </row>
    <row r="1861" spans="2:12" x14ac:dyDescent="0.3">
      <c r="B1861" s="25">
        <v>1867</v>
      </c>
      <c r="C1861" s="33">
        <v>33752</v>
      </c>
      <c r="D1861" s="33" t="s">
        <v>395</v>
      </c>
      <c r="E1861" s="35">
        <v>44734</v>
      </c>
      <c r="F1861" s="33">
        <v>2</v>
      </c>
      <c r="G1861" s="33" t="s">
        <v>122</v>
      </c>
      <c r="H1861" s="33" t="s">
        <v>72</v>
      </c>
      <c r="I1861" s="33" t="s">
        <v>196</v>
      </c>
      <c r="J1861" s="34">
        <v>10012.799999999999</v>
      </c>
      <c r="K1861" s="34"/>
      <c r="L1861" s="34">
        <v>10012.799999999999</v>
      </c>
    </row>
    <row r="1862" spans="2:12" x14ac:dyDescent="0.3">
      <c r="B1862" s="25">
        <v>1868</v>
      </c>
      <c r="C1862" s="33">
        <v>3036</v>
      </c>
      <c r="D1862" s="33" t="s">
        <v>566</v>
      </c>
      <c r="E1862" s="35">
        <v>44699</v>
      </c>
      <c r="F1862" s="33">
        <v>2</v>
      </c>
      <c r="G1862" s="33" t="s">
        <v>122</v>
      </c>
      <c r="H1862" s="33" t="s">
        <v>201</v>
      </c>
      <c r="I1862" s="33" t="s">
        <v>196</v>
      </c>
      <c r="J1862" s="34">
        <v>172.66</v>
      </c>
      <c r="K1862" s="34"/>
      <c r="L1862" s="34">
        <v>172.66</v>
      </c>
    </row>
    <row r="1863" spans="2:12" x14ac:dyDescent="0.3">
      <c r="B1863" s="25">
        <v>1869</v>
      </c>
      <c r="C1863" s="33">
        <v>3071</v>
      </c>
      <c r="D1863" s="33" t="s">
        <v>573</v>
      </c>
      <c r="E1863" s="35">
        <v>44700</v>
      </c>
      <c r="F1863" s="33">
        <v>2</v>
      </c>
      <c r="G1863" s="33" t="s">
        <v>124</v>
      </c>
      <c r="H1863" s="33" t="s">
        <v>201</v>
      </c>
      <c r="I1863" s="33" t="s">
        <v>197</v>
      </c>
      <c r="J1863" s="34">
        <v>1554.52</v>
      </c>
      <c r="K1863" s="34"/>
      <c r="L1863" s="34">
        <v>1554.52</v>
      </c>
    </row>
    <row r="1864" spans="2:12" x14ac:dyDescent="0.3">
      <c r="B1864" s="25">
        <v>1870</v>
      </c>
      <c r="C1864" s="33">
        <v>3075</v>
      </c>
      <c r="D1864" s="33" t="s">
        <v>473</v>
      </c>
      <c r="E1864" s="35">
        <v>44700</v>
      </c>
      <c r="F1864" s="33">
        <v>2</v>
      </c>
      <c r="G1864" s="33" t="s">
        <v>122</v>
      </c>
      <c r="H1864" s="33" t="s">
        <v>201</v>
      </c>
      <c r="I1864" s="33" t="s">
        <v>196</v>
      </c>
      <c r="J1864" s="34">
        <v>2546.9299999999998</v>
      </c>
      <c r="K1864" s="34"/>
      <c r="L1864" s="34">
        <v>2546.9299999999998</v>
      </c>
    </row>
    <row r="1865" spans="2:12" x14ac:dyDescent="0.3">
      <c r="B1865" s="25">
        <v>1871</v>
      </c>
      <c r="C1865" s="33">
        <v>3076</v>
      </c>
      <c r="D1865" s="33" t="s">
        <v>852</v>
      </c>
      <c r="E1865" s="35">
        <v>44700</v>
      </c>
      <c r="F1865" s="33">
        <v>2</v>
      </c>
      <c r="G1865" s="33" t="s">
        <v>124</v>
      </c>
      <c r="H1865" s="33" t="s">
        <v>201</v>
      </c>
      <c r="I1865" s="33" t="s">
        <v>197</v>
      </c>
      <c r="J1865" s="34">
        <v>325.2</v>
      </c>
      <c r="K1865" s="34"/>
      <c r="L1865" s="34">
        <v>325.2</v>
      </c>
    </row>
    <row r="1866" spans="2:12" x14ac:dyDescent="0.3">
      <c r="B1866" s="25">
        <v>1872</v>
      </c>
      <c r="C1866" s="33">
        <v>3077</v>
      </c>
      <c r="D1866" s="33" t="s">
        <v>852</v>
      </c>
      <c r="E1866" s="35">
        <v>44700</v>
      </c>
      <c r="F1866" s="33">
        <v>2</v>
      </c>
      <c r="G1866" s="33" t="s">
        <v>124</v>
      </c>
      <c r="H1866" s="33" t="s">
        <v>201</v>
      </c>
      <c r="I1866" s="33" t="s">
        <v>197</v>
      </c>
      <c r="J1866" s="34">
        <v>232.8</v>
      </c>
      <c r="K1866" s="34"/>
      <c r="L1866" s="34">
        <v>232.8</v>
      </c>
    </row>
    <row r="1867" spans="2:12" x14ac:dyDescent="0.3">
      <c r="B1867" s="25">
        <v>1873</v>
      </c>
      <c r="C1867" s="33">
        <v>3078</v>
      </c>
      <c r="D1867" s="33" t="s">
        <v>852</v>
      </c>
      <c r="E1867" s="35">
        <v>44700</v>
      </c>
      <c r="F1867" s="33">
        <v>2</v>
      </c>
      <c r="G1867" s="33" t="s">
        <v>124</v>
      </c>
      <c r="H1867" s="33" t="s">
        <v>201</v>
      </c>
      <c r="I1867" s="33" t="s">
        <v>197</v>
      </c>
      <c r="J1867" s="34">
        <v>422.4</v>
      </c>
      <c r="K1867" s="34"/>
      <c r="L1867" s="34">
        <v>422.4</v>
      </c>
    </row>
    <row r="1868" spans="2:12" x14ac:dyDescent="0.3">
      <c r="B1868" s="25">
        <v>1874</v>
      </c>
      <c r="C1868" s="33">
        <v>3093</v>
      </c>
      <c r="D1868" s="33" t="s">
        <v>1018</v>
      </c>
      <c r="E1868" s="35">
        <v>44700</v>
      </c>
      <c r="F1868" s="33">
        <v>2</v>
      </c>
      <c r="G1868" s="33" t="s">
        <v>124</v>
      </c>
      <c r="H1868" s="33" t="s">
        <v>201</v>
      </c>
      <c r="I1868" s="33" t="s">
        <v>197</v>
      </c>
      <c r="J1868" s="34">
        <v>2635.71</v>
      </c>
      <c r="K1868" s="34"/>
      <c r="L1868" s="34">
        <v>2635.71</v>
      </c>
    </row>
    <row r="1869" spans="2:12" x14ac:dyDescent="0.3">
      <c r="B1869" s="25">
        <v>1875</v>
      </c>
      <c r="C1869" s="33">
        <v>3094</v>
      </c>
      <c r="D1869" s="33" t="s">
        <v>1019</v>
      </c>
      <c r="E1869" s="35">
        <v>44700</v>
      </c>
      <c r="F1869" s="33">
        <v>2</v>
      </c>
      <c r="G1869" s="33" t="s">
        <v>124</v>
      </c>
      <c r="H1869" s="33" t="s">
        <v>201</v>
      </c>
      <c r="I1869" s="33" t="s">
        <v>197</v>
      </c>
      <c r="J1869" s="34">
        <v>428</v>
      </c>
      <c r="K1869" s="34">
        <v>80</v>
      </c>
      <c r="L1869" s="34">
        <v>348</v>
      </c>
    </row>
    <row r="1870" spans="2:12" x14ac:dyDescent="0.3">
      <c r="B1870" s="25">
        <v>1876</v>
      </c>
      <c r="C1870" s="33">
        <v>3199</v>
      </c>
      <c r="D1870" s="33" t="s">
        <v>396</v>
      </c>
      <c r="E1870" s="35">
        <v>44706</v>
      </c>
      <c r="F1870" s="33">
        <v>2</v>
      </c>
      <c r="G1870" s="33" t="s">
        <v>122</v>
      </c>
      <c r="H1870" s="33" t="s">
        <v>201</v>
      </c>
      <c r="I1870" s="33" t="s">
        <v>196</v>
      </c>
      <c r="J1870" s="34">
        <v>2024</v>
      </c>
      <c r="K1870" s="34"/>
      <c r="L1870" s="34">
        <v>2024</v>
      </c>
    </row>
    <row r="1871" spans="2:12" x14ac:dyDescent="0.3">
      <c r="B1871" s="25">
        <v>1877</v>
      </c>
      <c r="C1871" s="33">
        <v>3200</v>
      </c>
      <c r="D1871" s="33" t="s">
        <v>563</v>
      </c>
      <c r="E1871" s="35">
        <v>44706</v>
      </c>
      <c r="F1871" s="33">
        <v>2</v>
      </c>
      <c r="G1871" s="33" t="s">
        <v>124</v>
      </c>
      <c r="H1871" s="33" t="s">
        <v>201</v>
      </c>
      <c r="I1871" s="33" t="s">
        <v>197</v>
      </c>
      <c r="J1871" s="34">
        <v>4475.3100000000004</v>
      </c>
      <c r="K1871" s="34"/>
      <c r="L1871" s="34">
        <v>4475.3100000000004</v>
      </c>
    </row>
    <row r="1872" spans="2:12" x14ac:dyDescent="0.3">
      <c r="B1872" s="25">
        <v>1878</v>
      </c>
      <c r="C1872" s="33">
        <v>3203</v>
      </c>
      <c r="D1872" s="33" t="s">
        <v>632</v>
      </c>
      <c r="E1872" s="35">
        <v>44706</v>
      </c>
      <c r="F1872" s="33">
        <v>2</v>
      </c>
      <c r="G1872" s="33" t="s">
        <v>122</v>
      </c>
      <c r="H1872" s="33" t="s">
        <v>201</v>
      </c>
      <c r="I1872" s="33" t="s">
        <v>196</v>
      </c>
      <c r="J1872" s="34">
        <v>9082.7999999999993</v>
      </c>
      <c r="K1872" s="34"/>
      <c r="L1872" s="34">
        <v>9082.7999999999993</v>
      </c>
    </row>
    <row r="1873" spans="2:12" x14ac:dyDescent="0.3">
      <c r="B1873" s="25">
        <v>1879</v>
      </c>
      <c r="C1873" s="33">
        <v>3204</v>
      </c>
      <c r="D1873" s="33" t="s">
        <v>473</v>
      </c>
      <c r="E1873" s="35">
        <v>44706</v>
      </c>
      <c r="F1873" s="33">
        <v>2</v>
      </c>
      <c r="G1873" s="33" t="s">
        <v>122</v>
      </c>
      <c r="H1873" s="33" t="s">
        <v>201</v>
      </c>
      <c r="I1873" s="33" t="s">
        <v>196</v>
      </c>
      <c r="J1873" s="34">
        <v>12128.42</v>
      </c>
      <c r="K1873" s="34"/>
      <c r="L1873" s="34">
        <v>12128.42</v>
      </c>
    </row>
    <row r="1874" spans="2:12" x14ac:dyDescent="0.3">
      <c r="B1874" s="25">
        <v>1880</v>
      </c>
      <c r="C1874" s="33">
        <v>3205</v>
      </c>
      <c r="D1874" s="33" t="s">
        <v>556</v>
      </c>
      <c r="E1874" s="35">
        <v>44706</v>
      </c>
      <c r="F1874" s="33">
        <v>2</v>
      </c>
      <c r="G1874" s="33" t="s">
        <v>124</v>
      </c>
      <c r="H1874" s="33" t="s">
        <v>201</v>
      </c>
      <c r="I1874" s="33" t="s">
        <v>197</v>
      </c>
      <c r="J1874" s="34">
        <v>249.56</v>
      </c>
      <c r="K1874" s="34"/>
      <c r="L1874" s="34">
        <v>249.56</v>
      </c>
    </row>
    <row r="1875" spans="2:12" x14ac:dyDescent="0.3">
      <c r="B1875" s="25">
        <v>1881</v>
      </c>
      <c r="C1875" s="33">
        <v>3206</v>
      </c>
      <c r="D1875" s="33" t="s">
        <v>558</v>
      </c>
      <c r="E1875" s="35">
        <v>44706</v>
      </c>
      <c r="F1875" s="33">
        <v>2</v>
      </c>
      <c r="G1875" s="33" t="s">
        <v>124</v>
      </c>
      <c r="H1875" s="33" t="s">
        <v>201</v>
      </c>
      <c r="I1875" s="33" t="s">
        <v>197</v>
      </c>
      <c r="J1875" s="34">
        <v>860.8</v>
      </c>
      <c r="K1875" s="34">
        <v>60</v>
      </c>
      <c r="L1875" s="34">
        <v>800.8</v>
      </c>
    </row>
    <row r="1876" spans="2:12" x14ac:dyDescent="0.3">
      <c r="B1876" s="25">
        <v>1882</v>
      </c>
      <c r="C1876" s="33">
        <v>3207</v>
      </c>
      <c r="D1876" s="33" t="s">
        <v>1020</v>
      </c>
      <c r="E1876" s="35">
        <v>44706</v>
      </c>
      <c r="F1876" s="33">
        <v>2</v>
      </c>
      <c r="G1876" s="33" t="s">
        <v>122</v>
      </c>
      <c r="H1876" s="33" t="s">
        <v>201</v>
      </c>
      <c r="I1876" s="33" t="s">
        <v>196</v>
      </c>
      <c r="J1876" s="34">
        <v>1095</v>
      </c>
      <c r="K1876" s="34"/>
      <c r="L1876" s="34">
        <v>1095</v>
      </c>
    </row>
    <row r="1877" spans="2:12" x14ac:dyDescent="0.3">
      <c r="B1877" s="25">
        <v>1883</v>
      </c>
      <c r="C1877" s="33">
        <v>3209</v>
      </c>
      <c r="D1877" s="33" t="s">
        <v>584</v>
      </c>
      <c r="E1877" s="35">
        <v>44706</v>
      </c>
      <c r="F1877" s="33">
        <v>2</v>
      </c>
      <c r="G1877" s="33" t="s">
        <v>122</v>
      </c>
      <c r="H1877" s="33" t="s">
        <v>201</v>
      </c>
      <c r="I1877" s="33" t="s">
        <v>196</v>
      </c>
      <c r="J1877" s="34">
        <v>1993.85</v>
      </c>
      <c r="K1877" s="34"/>
      <c r="L1877" s="34">
        <v>1993.85</v>
      </c>
    </row>
    <row r="1878" spans="2:12" x14ac:dyDescent="0.3">
      <c r="B1878" s="25">
        <v>1884</v>
      </c>
      <c r="C1878" s="33">
        <v>3211</v>
      </c>
      <c r="D1878" s="33" t="s">
        <v>660</v>
      </c>
      <c r="E1878" s="35">
        <v>44706</v>
      </c>
      <c r="F1878" s="33">
        <v>2</v>
      </c>
      <c r="G1878" s="33" t="s">
        <v>124</v>
      </c>
      <c r="H1878" s="33" t="s">
        <v>201</v>
      </c>
      <c r="I1878" s="33" t="s">
        <v>197</v>
      </c>
      <c r="J1878" s="34">
        <v>220.68</v>
      </c>
      <c r="K1878" s="34">
        <v>80</v>
      </c>
      <c r="L1878" s="34">
        <v>140.68</v>
      </c>
    </row>
    <row r="1879" spans="2:12" x14ac:dyDescent="0.3">
      <c r="B1879" s="25">
        <v>1885</v>
      </c>
      <c r="C1879" s="33">
        <v>3245</v>
      </c>
      <c r="D1879" s="33" t="s">
        <v>563</v>
      </c>
      <c r="E1879" s="35">
        <v>44707</v>
      </c>
      <c r="F1879" s="33">
        <v>2</v>
      </c>
      <c r="G1879" s="33" t="s">
        <v>124</v>
      </c>
      <c r="H1879" s="33" t="s">
        <v>201</v>
      </c>
      <c r="I1879" s="33" t="s">
        <v>197</v>
      </c>
      <c r="J1879" s="34">
        <v>765.52</v>
      </c>
      <c r="K1879" s="34"/>
      <c r="L1879" s="34">
        <v>765.52</v>
      </c>
    </row>
    <row r="1880" spans="2:12" x14ac:dyDescent="0.3">
      <c r="B1880" s="25">
        <v>1886</v>
      </c>
      <c r="C1880" s="33">
        <v>3363</v>
      </c>
      <c r="D1880" s="33" t="s">
        <v>566</v>
      </c>
      <c r="E1880" s="35">
        <v>44713</v>
      </c>
      <c r="F1880" s="33">
        <v>2</v>
      </c>
      <c r="G1880" s="33" t="s">
        <v>122</v>
      </c>
      <c r="H1880" s="33" t="s">
        <v>201</v>
      </c>
      <c r="I1880" s="33" t="s">
        <v>196</v>
      </c>
      <c r="J1880" s="34">
        <v>1005.77</v>
      </c>
      <c r="K1880" s="34"/>
      <c r="L1880" s="34">
        <v>1005.77</v>
      </c>
    </row>
    <row r="1881" spans="2:12" x14ac:dyDescent="0.3">
      <c r="B1881" s="25">
        <v>1887</v>
      </c>
      <c r="C1881" s="33">
        <v>3364</v>
      </c>
      <c r="D1881" s="33" t="s">
        <v>556</v>
      </c>
      <c r="E1881" s="35">
        <v>44713</v>
      </c>
      <c r="F1881" s="33">
        <v>2</v>
      </c>
      <c r="G1881" s="33" t="s">
        <v>124</v>
      </c>
      <c r="H1881" s="33" t="s">
        <v>201</v>
      </c>
      <c r="I1881" s="33" t="s">
        <v>197</v>
      </c>
      <c r="J1881" s="34">
        <v>2069.7600000000002</v>
      </c>
      <c r="K1881" s="34"/>
      <c r="L1881" s="34">
        <v>2069.7600000000002</v>
      </c>
    </row>
    <row r="1882" spans="2:12" x14ac:dyDescent="0.3">
      <c r="B1882" s="25">
        <v>1888</v>
      </c>
      <c r="C1882" s="33">
        <v>3365</v>
      </c>
      <c r="D1882" s="33" t="s">
        <v>570</v>
      </c>
      <c r="E1882" s="35">
        <v>44713</v>
      </c>
      <c r="F1882" s="33">
        <v>2</v>
      </c>
      <c r="G1882" s="33" t="s">
        <v>628</v>
      </c>
      <c r="H1882" s="33" t="s">
        <v>201</v>
      </c>
      <c r="I1882" s="33" t="s">
        <v>75</v>
      </c>
      <c r="J1882" s="34">
        <v>523.29999999999995</v>
      </c>
      <c r="K1882" s="34">
        <v>80</v>
      </c>
      <c r="L1882" s="34">
        <v>443.3</v>
      </c>
    </row>
    <row r="1883" spans="2:12" x14ac:dyDescent="0.3">
      <c r="B1883" s="25">
        <v>1889</v>
      </c>
      <c r="C1883" s="33">
        <v>3367</v>
      </c>
      <c r="D1883" s="33" t="s">
        <v>584</v>
      </c>
      <c r="E1883" s="35">
        <v>44713</v>
      </c>
      <c r="F1883" s="33">
        <v>2</v>
      </c>
      <c r="G1883" s="33" t="s">
        <v>122</v>
      </c>
      <c r="H1883" s="33" t="s">
        <v>201</v>
      </c>
      <c r="I1883" s="33" t="s">
        <v>196</v>
      </c>
      <c r="J1883" s="34">
        <v>2560.8000000000002</v>
      </c>
      <c r="K1883" s="34"/>
      <c r="L1883" s="34">
        <v>2560.8000000000002</v>
      </c>
    </row>
    <row r="1884" spans="2:12" x14ac:dyDescent="0.3">
      <c r="B1884" s="25">
        <v>1890</v>
      </c>
      <c r="C1884" s="33">
        <v>3368</v>
      </c>
      <c r="D1884" s="33" t="s">
        <v>584</v>
      </c>
      <c r="E1884" s="35">
        <v>44713</v>
      </c>
      <c r="F1884" s="33">
        <v>2</v>
      </c>
      <c r="G1884" s="33" t="s">
        <v>122</v>
      </c>
      <c r="H1884" s="33" t="s">
        <v>201</v>
      </c>
      <c r="I1884" s="33" t="s">
        <v>196</v>
      </c>
      <c r="J1884" s="34">
        <v>353.03</v>
      </c>
      <c r="K1884" s="34"/>
      <c r="L1884" s="34">
        <v>353.03</v>
      </c>
    </row>
    <row r="1885" spans="2:12" x14ac:dyDescent="0.3">
      <c r="B1885" s="25">
        <v>1891</v>
      </c>
      <c r="C1885" s="33">
        <v>3369</v>
      </c>
      <c r="D1885" s="33" t="s">
        <v>411</v>
      </c>
      <c r="E1885" s="35">
        <v>44713</v>
      </c>
      <c r="F1885" s="33">
        <v>2</v>
      </c>
      <c r="G1885" s="33" t="s">
        <v>122</v>
      </c>
      <c r="H1885" s="33" t="s">
        <v>201</v>
      </c>
      <c r="I1885" s="33" t="s">
        <v>196</v>
      </c>
      <c r="J1885" s="34">
        <v>2221.9299999999998</v>
      </c>
      <c r="K1885" s="34"/>
      <c r="L1885" s="34">
        <v>2221.9299999999998</v>
      </c>
    </row>
    <row r="1886" spans="2:12" x14ac:dyDescent="0.3">
      <c r="B1886" s="25">
        <v>1892</v>
      </c>
      <c r="C1886" s="33">
        <v>3370</v>
      </c>
      <c r="D1886" s="33" t="s">
        <v>411</v>
      </c>
      <c r="E1886" s="35">
        <v>44713</v>
      </c>
      <c r="F1886" s="33">
        <v>2</v>
      </c>
      <c r="G1886" s="33" t="s">
        <v>122</v>
      </c>
      <c r="H1886" s="33" t="s">
        <v>201</v>
      </c>
      <c r="I1886" s="33" t="s">
        <v>196</v>
      </c>
      <c r="J1886" s="34">
        <v>1482.8</v>
      </c>
      <c r="K1886" s="34"/>
      <c r="L1886" s="34">
        <v>1482.8</v>
      </c>
    </row>
    <row r="1887" spans="2:12" x14ac:dyDescent="0.3">
      <c r="B1887" s="25">
        <v>1893</v>
      </c>
      <c r="C1887" s="33">
        <v>3371</v>
      </c>
      <c r="D1887" s="33" t="s">
        <v>676</v>
      </c>
      <c r="E1887" s="35">
        <v>44713</v>
      </c>
      <c r="F1887" s="33">
        <v>2</v>
      </c>
      <c r="G1887" s="33" t="s">
        <v>124</v>
      </c>
      <c r="H1887" s="33" t="s">
        <v>201</v>
      </c>
      <c r="I1887" s="33" t="s">
        <v>197</v>
      </c>
      <c r="J1887" s="34">
        <v>14811.6</v>
      </c>
      <c r="K1887" s="34"/>
      <c r="L1887" s="34">
        <v>14811.6</v>
      </c>
    </row>
    <row r="1888" spans="2:12" x14ac:dyDescent="0.3">
      <c r="B1888" s="25">
        <v>1894</v>
      </c>
      <c r="C1888" s="33">
        <v>3372</v>
      </c>
      <c r="D1888" s="33" t="s">
        <v>1021</v>
      </c>
      <c r="E1888" s="35">
        <v>44713</v>
      </c>
      <c r="F1888" s="33">
        <v>2</v>
      </c>
      <c r="G1888" s="33" t="s">
        <v>628</v>
      </c>
      <c r="H1888" s="33" t="s">
        <v>201</v>
      </c>
      <c r="I1888" s="33" t="s">
        <v>75</v>
      </c>
      <c r="J1888" s="34">
        <v>3896.2</v>
      </c>
      <c r="K1888" s="34"/>
      <c r="L1888" s="34">
        <v>3896.2</v>
      </c>
    </row>
    <row r="1889" spans="2:12" x14ac:dyDescent="0.3">
      <c r="B1889" s="25">
        <v>1895</v>
      </c>
      <c r="C1889" s="33">
        <v>3413</v>
      </c>
      <c r="D1889" s="33" t="s">
        <v>676</v>
      </c>
      <c r="E1889" s="35">
        <v>44715</v>
      </c>
      <c r="F1889" s="33">
        <v>2</v>
      </c>
      <c r="G1889" s="33" t="s">
        <v>124</v>
      </c>
      <c r="H1889" s="33" t="s">
        <v>201</v>
      </c>
      <c r="I1889" s="33" t="s">
        <v>197</v>
      </c>
      <c r="J1889" s="34">
        <v>852.8</v>
      </c>
      <c r="K1889" s="34">
        <v>80</v>
      </c>
      <c r="L1889" s="34">
        <v>772.8</v>
      </c>
    </row>
    <row r="1890" spans="2:12" x14ac:dyDescent="0.3">
      <c r="B1890" s="25">
        <v>1896</v>
      </c>
      <c r="C1890" s="33">
        <v>33753</v>
      </c>
      <c r="D1890" s="33" t="s">
        <v>611</v>
      </c>
      <c r="E1890" s="35">
        <v>44735</v>
      </c>
      <c r="F1890" s="33">
        <v>2</v>
      </c>
      <c r="G1890" s="33" t="s">
        <v>628</v>
      </c>
      <c r="H1890" s="33" t="s">
        <v>72</v>
      </c>
      <c r="I1890" s="33" t="s">
        <v>75</v>
      </c>
      <c r="J1890" s="34">
        <v>5358</v>
      </c>
      <c r="K1890" s="34"/>
      <c r="L1890" s="34">
        <v>5358</v>
      </c>
    </row>
    <row r="1891" spans="2:12" x14ac:dyDescent="0.3">
      <c r="B1891" s="25">
        <v>1897</v>
      </c>
      <c r="C1891" s="33">
        <v>12761</v>
      </c>
      <c r="D1891" s="33" t="s">
        <v>1022</v>
      </c>
      <c r="E1891" s="35">
        <v>44712</v>
      </c>
      <c r="F1891" s="33">
        <v>2</v>
      </c>
      <c r="G1891" s="33" t="s">
        <v>122</v>
      </c>
      <c r="H1891" s="33" t="s">
        <v>73</v>
      </c>
      <c r="I1891" s="33" t="s">
        <v>196</v>
      </c>
      <c r="J1891" s="34">
        <v>2092.75</v>
      </c>
      <c r="K1891" s="34"/>
      <c r="L1891" s="34">
        <v>2092.75</v>
      </c>
    </row>
    <row r="1892" spans="2:12" x14ac:dyDescent="0.3">
      <c r="B1892" s="25">
        <v>1898</v>
      </c>
      <c r="C1892" s="33">
        <v>12762</v>
      </c>
      <c r="D1892" s="33" t="s">
        <v>1022</v>
      </c>
      <c r="E1892" s="35">
        <v>44712</v>
      </c>
      <c r="F1892" s="33">
        <v>2</v>
      </c>
      <c r="G1892" s="33" t="s">
        <v>122</v>
      </c>
      <c r="H1892" s="33" t="s">
        <v>73</v>
      </c>
      <c r="I1892" s="33" t="s">
        <v>196</v>
      </c>
      <c r="J1892" s="34">
        <v>3181.98</v>
      </c>
      <c r="K1892" s="34"/>
      <c r="L1892" s="34">
        <v>3181.98</v>
      </c>
    </row>
    <row r="1893" spans="2:12" x14ac:dyDescent="0.3">
      <c r="B1893" s="25">
        <v>1899</v>
      </c>
      <c r="C1893" s="33">
        <v>33758</v>
      </c>
      <c r="D1893" s="33" t="s">
        <v>394</v>
      </c>
      <c r="E1893" s="35">
        <v>44735</v>
      </c>
      <c r="F1893" s="33">
        <v>2</v>
      </c>
      <c r="G1893" s="33" t="s">
        <v>122</v>
      </c>
      <c r="H1893" s="33" t="s">
        <v>72</v>
      </c>
      <c r="I1893" s="33" t="s">
        <v>196</v>
      </c>
      <c r="J1893" s="34">
        <v>4671.42</v>
      </c>
      <c r="K1893" s="34"/>
      <c r="L1893" s="34">
        <v>4671.42</v>
      </c>
    </row>
    <row r="1894" spans="2:12" x14ac:dyDescent="0.3">
      <c r="B1894" s="25">
        <v>1900</v>
      </c>
      <c r="C1894" s="33">
        <v>33759</v>
      </c>
      <c r="D1894" s="33" t="s">
        <v>394</v>
      </c>
      <c r="E1894" s="35">
        <v>44735</v>
      </c>
      <c r="F1894" s="33">
        <v>2</v>
      </c>
      <c r="G1894" s="33" t="s">
        <v>122</v>
      </c>
      <c r="H1894" s="33" t="s">
        <v>72</v>
      </c>
      <c r="I1894" s="33" t="s">
        <v>196</v>
      </c>
      <c r="J1894" s="34">
        <v>15503.7</v>
      </c>
      <c r="K1894" s="34"/>
      <c r="L1894" s="34">
        <v>15503.7</v>
      </c>
    </row>
    <row r="1895" spans="2:12" x14ac:dyDescent="0.3">
      <c r="B1895" s="25">
        <v>1901</v>
      </c>
      <c r="C1895" s="33" t="s">
        <v>1023</v>
      </c>
      <c r="D1895" s="33" t="s">
        <v>1024</v>
      </c>
      <c r="E1895" s="35">
        <v>44734</v>
      </c>
      <c r="F1895" s="33">
        <v>2</v>
      </c>
      <c r="G1895" s="33" t="s">
        <v>124</v>
      </c>
      <c r="H1895" s="33" t="s">
        <v>71</v>
      </c>
      <c r="I1895" s="33" t="s">
        <v>197</v>
      </c>
      <c r="J1895" s="34">
        <v>1001.37</v>
      </c>
      <c r="K1895" s="34"/>
      <c r="L1895" s="34">
        <v>1001.37</v>
      </c>
    </row>
    <row r="1896" spans="2:12" x14ac:dyDescent="0.3">
      <c r="B1896" s="25">
        <v>1902</v>
      </c>
      <c r="C1896" s="33">
        <v>2930</v>
      </c>
      <c r="D1896" s="33" t="s">
        <v>1024</v>
      </c>
      <c r="E1896" s="35">
        <v>44736</v>
      </c>
      <c r="F1896" s="33">
        <v>2</v>
      </c>
      <c r="G1896" s="33" t="s">
        <v>122</v>
      </c>
      <c r="H1896" s="33" t="s">
        <v>71</v>
      </c>
      <c r="I1896" s="33" t="s">
        <v>196</v>
      </c>
      <c r="J1896" s="34">
        <v>721.89</v>
      </c>
      <c r="K1896" s="34"/>
      <c r="L1896" s="34">
        <v>721.89</v>
      </c>
    </row>
    <row r="1897" spans="2:12" x14ac:dyDescent="0.3">
      <c r="B1897" s="25">
        <v>1903</v>
      </c>
      <c r="C1897" s="33">
        <v>2929</v>
      </c>
      <c r="D1897" s="33" t="s">
        <v>895</v>
      </c>
      <c r="E1897" s="35">
        <v>44736</v>
      </c>
      <c r="F1897" s="33">
        <v>2</v>
      </c>
      <c r="G1897" s="33" t="s">
        <v>122</v>
      </c>
      <c r="H1897" s="33" t="s">
        <v>71</v>
      </c>
      <c r="I1897" s="33" t="s">
        <v>196</v>
      </c>
      <c r="J1897" s="34">
        <v>208.38</v>
      </c>
      <c r="K1897" s="34"/>
      <c r="L1897" s="34">
        <v>208.38</v>
      </c>
    </row>
    <row r="1898" spans="2:12" x14ac:dyDescent="0.3">
      <c r="B1898" s="25">
        <v>1904</v>
      </c>
      <c r="C1898" s="33">
        <v>382420</v>
      </c>
      <c r="D1898" s="33" t="s">
        <v>1038</v>
      </c>
      <c r="E1898" s="35">
        <v>44739</v>
      </c>
      <c r="F1898" s="33">
        <v>2</v>
      </c>
      <c r="G1898" s="33" t="s">
        <v>122</v>
      </c>
      <c r="H1898" s="33" t="s">
        <v>200</v>
      </c>
      <c r="I1898" s="33" t="s">
        <v>196</v>
      </c>
      <c r="J1898" s="34">
        <v>3117.84</v>
      </c>
      <c r="K1898" s="34"/>
      <c r="L1898" s="34">
        <v>3117.84</v>
      </c>
    </row>
    <row r="1899" spans="2:12" x14ac:dyDescent="0.3">
      <c r="B1899" s="25">
        <v>1905</v>
      </c>
      <c r="C1899" s="33" t="s">
        <v>1039</v>
      </c>
      <c r="D1899" s="33" t="s">
        <v>1038</v>
      </c>
      <c r="E1899" s="35">
        <v>44711</v>
      </c>
      <c r="F1899" s="33">
        <v>2</v>
      </c>
      <c r="G1899" s="33" t="s">
        <v>124</v>
      </c>
      <c r="H1899" s="33" t="s">
        <v>200</v>
      </c>
      <c r="I1899" s="33" t="s">
        <v>197</v>
      </c>
      <c r="J1899" s="34">
        <v>4039.02</v>
      </c>
      <c r="K1899" s="34"/>
      <c r="L1899" s="34">
        <v>4039.02</v>
      </c>
    </row>
    <row r="1900" spans="2:12" x14ac:dyDescent="0.3">
      <c r="B1900" s="25">
        <v>1906</v>
      </c>
      <c r="C1900" s="33" t="s">
        <v>1040</v>
      </c>
      <c r="D1900" s="33" t="s">
        <v>553</v>
      </c>
      <c r="E1900" s="35">
        <v>44747</v>
      </c>
      <c r="F1900" s="33">
        <v>3</v>
      </c>
      <c r="G1900" s="33" t="s">
        <v>122</v>
      </c>
      <c r="H1900" s="33" t="s">
        <v>72</v>
      </c>
      <c r="I1900" s="33" t="s">
        <v>196</v>
      </c>
      <c r="J1900" s="34">
        <v>-220</v>
      </c>
      <c r="K1900" s="34"/>
      <c r="L1900" s="34">
        <v>-220</v>
      </c>
    </row>
    <row r="1901" spans="2:12" x14ac:dyDescent="0.3">
      <c r="B1901" s="25">
        <v>1907</v>
      </c>
      <c r="C1901" s="33">
        <v>33860</v>
      </c>
      <c r="D1901" s="33" t="s">
        <v>394</v>
      </c>
      <c r="E1901" s="35">
        <v>44747</v>
      </c>
      <c r="F1901" s="33">
        <v>3</v>
      </c>
      <c r="G1901" s="33" t="s">
        <v>122</v>
      </c>
      <c r="H1901" s="33" t="s">
        <v>72</v>
      </c>
      <c r="I1901" s="33" t="s">
        <v>196</v>
      </c>
      <c r="J1901" s="34">
        <v>10560.6</v>
      </c>
      <c r="K1901" s="34"/>
      <c r="L1901" s="34">
        <v>10560.6</v>
      </c>
    </row>
    <row r="1902" spans="2:12" x14ac:dyDescent="0.3">
      <c r="B1902" s="25">
        <v>1908</v>
      </c>
      <c r="C1902" s="33">
        <v>33861</v>
      </c>
      <c r="D1902" s="33" t="s">
        <v>1041</v>
      </c>
      <c r="E1902" s="35">
        <v>44748</v>
      </c>
      <c r="F1902" s="33">
        <v>3</v>
      </c>
      <c r="G1902" s="33" t="s">
        <v>231</v>
      </c>
      <c r="H1902" s="33" t="s">
        <v>72</v>
      </c>
      <c r="I1902" s="33" t="s">
        <v>198</v>
      </c>
      <c r="J1902" s="34">
        <v>27154.2</v>
      </c>
      <c r="K1902" s="34"/>
      <c r="L1902" s="34">
        <v>27154.2</v>
      </c>
    </row>
    <row r="1903" spans="2:12" x14ac:dyDescent="0.3">
      <c r="B1903" s="25">
        <v>1909</v>
      </c>
      <c r="C1903" s="33" t="s">
        <v>1042</v>
      </c>
      <c r="D1903" s="33" t="s">
        <v>613</v>
      </c>
      <c r="E1903" s="35">
        <v>44734</v>
      </c>
      <c r="F1903" s="33">
        <v>2</v>
      </c>
      <c r="G1903" s="33" t="s">
        <v>124</v>
      </c>
      <c r="H1903" s="33" t="s">
        <v>70</v>
      </c>
      <c r="I1903" s="33" t="s">
        <v>197</v>
      </c>
      <c r="J1903" s="34">
        <v>5083.5600000000004</v>
      </c>
      <c r="K1903" s="34"/>
      <c r="L1903" s="34">
        <v>5083.5600000000004</v>
      </c>
    </row>
    <row r="1904" spans="2:12" x14ac:dyDescent="0.3">
      <c r="B1904" s="25">
        <v>1910</v>
      </c>
      <c r="C1904" s="33">
        <v>33768</v>
      </c>
      <c r="D1904" s="33" t="s">
        <v>463</v>
      </c>
      <c r="E1904" s="35">
        <v>44739</v>
      </c>
      <c r="F1904" s="33">
        <v>2</v>
      </c>
      <c r="G1904" s="33" t="s">
        <v>122</v>
      </c>
      <c r="H1904" s="33" t="s">
        <v>72</v>
      </c>
      <c r="I1904" s="33" t="s">
        <v>196</v>
      </c>
      <c r="J1904" s="34">
        <v>29399</v>
      </c>
      <c r="K1904" s="34"/>
      <c r="L1904" s="34">
        <v>29399</v>
      </c>
    </row>
    <row r="1905" spans="2:12" x14ac:dyDescent="0.3">
      <c r="B1905" s="25">
        <v>1911</v>
      </c>
      <c r="C1905" s="33">
        <v>33769</v>
      </c>
      <c r="D1905" s="33" t="s">
        <v>659</v>
      </c>
      <c r="E1905" s="35">
        <v>44739</v>
      </c>
      <c r="F1905" s="33">
        <v>2</v>
      </c>
      <c r="G1905" s="33" t="s">
        <v>122</v>
      </c>
      <c r="H1905" s="33" t="s">
        <v>72</v>
      </c>
      <c r="I1905" s="33" t="s">
        <v>196</v>
      </c>
      <c r="J1905" s="34">
        <v>6763</v>
      </c>
      <c r="K1905" s="34"/>
      <c r="L1905" s="34">
        <v>6763</v>
      </c>
    </row>
    <row r="1906" spans="2:12" x14ac:dyDescent="0.3">
      <c r="B1906" s="25">
        <v>1912</v>
      </c>
      <c r="C1906" s="33">
        <v>33770</v>
      </c>
      <c r="D1906" s="33" t="s">
        <v>611</v>
      </c>
      <c r="E1906" s="35">
        <v>44739</v>
      </c>
      <c r="F1906" s="33">
        <v>2</v>
      </c>
      <c r="G1906" s="33" t="s">
        <v>628</v>
      </c>
      <c r="H1906" s="33" t="s">
        <v>72</v>
      </c>
      <c r="I1906" s="33" t="s">
        <v>75</v>
      </c>
      <c r="J1906" s="34">
        <v>505</v>
      </c>
      <c r="K1906" s="34"/>
      <c r="L1906" s="34">
        <v>505</v>
      </c>
    </row>
    <row r="1907" spans="2:12" x14ac:dyDescent="0.3">
      <c r="B1907" s="25">
        <v>1913</v>
      </c>
      <c r="C1907" s="33">
        <v>33806</v>
      </c>
      <c r="D1907" s="33" t="s">
        <v>489</v>
      </c>
      <c r="E1907" s="35">
        <v>44741</v>
      </c>
      <c r="F1907" s="33">
        <v>2</v>
      </c>
      <c r="G1907" s="33" t="s">
        <v>628</v>
      </c>
      <c r="H1907" s="33" t="s">
        <v>72</v>
      </c>
      <c r="I1907" s="33" t="s">
        <v>75</v>
      </c>
      <c r="J1907" s="34">
        <v>1030.5999999999999</v>
      </c>
      <c r="K1907" s="34"/>
      <c r="L1907" s="34">
        <v>1030.5999999999999</v>
      </c>
    </row>
    <row r="1908" spans="2:12" x14ac:dyDescent="0.3">
      <c r="B1908" s="25">
        <v>1914</v>
      </c>
      <c r="C1908" s="33">
        <v>33842</v>
      </c>
      <c r="D1908" s="33" t="s">
        <v>1043</v>
      </c>
      <c r="E1908" s="35">
        <v>44743</v>
      </c>
      <c r="F1908" s="33">
        <v>3</v>
      </c>
      <c r="G1908" s="33" t="s">
        <v>122</v>
      </c>
      <c r="H1908" s="33" t="s">
        <v>72</v>
      </c>
      <c r="I1908" s="33" t="s">
        <v>196</v>
      </c>
      <c r="J1908" s="34">
        <v>7080.6</v>
      </c>
      <c r="K1908" s="34"/>
      <c r="L1908" s="34">
        <v>7080.6</v>
      </c>
    </row>
    <row r="1909" spans="2:12" x14ac:dyDescent="0.3">
      <c r="B1909" s="25">
        <v>1915</v>
      </c>
      <c r="C1909" s="33">
        <v>33843</v>
      </c>
      <c r="D1909" s="33" t="s">
        <v>395</v>
      </c>
      <c r="E1909" s="35">
        <v>44743</v>
      </c>
      <c r="F1909" s="33">
        <v>3</v>
      </c>
      <c r="G1909" s="33" t="s">
        <v>122</v>
      </c>
      <c r="H1909" s="33" t="s">
        <v>72</v>
      </c>
      <c r="I1909" s="33" t="s">
        <v>196</v>
      </c>
      <c r="J1909" s="34">
        <v>4104</v>
      </c>
      <c r="K1909" s="34"/>
      <c r="L1909" s="34">
        <v>4104</v>
      </c>
    </row>
    <row r="1910" spans="2:12" x14ac:dyDescent="0.3">
      <c r="B1910" s="25">
        <v>1916</v>
      </c>
      <c r="C1910" s="33">
        <v>33844</v>
      </c>
      <c r="D1910" s="33" t="s">
        <v>394</v>
      </c>
      <c r="E1910" s="35">
        <v>44743</v>
      </c>
      <c r="F1910" s="33">
        <v>3</v>
      </c>
      <c r="G1910" s="33" t="s">
        <v>122</v>
      </c>
      <c r="H1910" s="33" t="s">
        <v>72</v>
      </c>
      <c r="I1910" s="33" t="s">
        <v>196</v>
      </c>
      <c r="J1910" s="34">
        <v>6742</v>
      </c>
      <c r="K1910" s="34"/>
      <c r="L1910" s="34">
        <v>6742</v>
      </c>
    </row>
    <row r="1911" spans="2:12" x14ac:dyDescent="0.3">
      <c r="B1911" s="25">
        <v>1917</v>
      </c>
      <c r="C1911" s="33">
        <v>3521</v>
      </c>
      <c r="D1911" s="33" t="s">
        <v>689</v>
      </c>
      <c r="E1911" s="35">
        <v>44720</v>
      </c>
      <c r="F1911" s="33">
        <v>2</v>
      </c>
      <c r="G1911" s="33" t="s">
        <v>124</v>
      </c>
      <c r="H1911" s="33" t="s">
        <v>201</v>
      </c>
      <c r="I1911" s="33" t="s">
        <v>197</v>
      </c>
      <c r="J1911" s="34">
        <v>3188.4</v>
      </c>
      <c r="K1911" s="34"/>
      <c r="L1911" s="34">
        <v>3188.4</v>
      </c>
    </row>
    <row r="1912" spans="2:12" x14ac:dyDescent="0.3">
      <c r="B1912" s="25">
        <v>1918</v>
      </c>
      <c r="C1912" s="33">
        <v>3522</v>
      </c>
      <c r="D1912" s="33" t="s">
        <v>584</v>
      </c>
      <c r="E1912" s="35">
        <v>44720</v>
      </c>
      <c r="F1912" s="33">
        <v>2</v>
      </c>
      <c r="G1912" s="33" t="s">
        <v>122</v>
      </c>
      <c r="H1912" s="33" t="s">
        <v>201</v>
      </c>
      <c r="I1912" s="33" t="s">
        <v>196</v>
      </c>
      <c r="J1912" s="34">
        <v>2065.09</v>
      </c>
      <c r="K1912" s="34"/>
      <c r="L1912" s="34">
        <v>2065.09</v>
      </c>
    </row>
    <row r="1913" spans="2:12" x14ac:dyDescent="0.3">
      <c r="B1913" s="25">
        <v>1919</v>
      </c>
      <c r="C1913" s="33" t="s">
        <v>1044</v>
      </c>
      <c r="D1913" s="33" t="s">
        <v>562</v>
      </c>
      <c r="E1913" s="35">
        <v>44720</v>
      </c>
      <c r="F1913" s="33">
        <v>2</v>
      </c>
      <c r="G1913" s="33" t="s">
        <v>231</v>
      </c>
      <c r="H1913" s="33" t="s">
        <v>201</v>
      </c>
      <c r="I1913" s="33" t="s">
        <v>198</v>
      </c>
      <c r="J1913" s="34">
        <v>2538</v>
      </c>
      <c r="K1913" s="34"/>
      <c r="L1913" s="34">
        <v>2538</v>
      </c>
    </row>
    <row r="1914" spans="2:12" x14ac:dyDescent="0.3">
      <c r="B1914" s="25">
        <v>1920</v>
      </c>
      <c r="C1914" s="33" t="s">
        <v>1045</v>
      </c>
      <c r="D1914" s="33" t="s">
        <v>362</v>
      </c>
      <c r="E1914" s="35">
        <v>44720</v>
      </c>
      <c r="F1914" s="33">
        <v>2</v>
      </c>
      <c r="G1914" s="33" t="s">
        <v>124</v>
      </c>
      <c r="H1914" s="33" t="s">
        <v>201</v>
      </c>
      <c r="I1914" s="33" t="s">
        <v>197</v>
      </c>
      <c r="J1914" s="34">
        <v>2674.94</v>
      </c>
      <c r="K1914" s="34"/>
      <c r="L1914" s="34">
        <v>2674.94</v>
      </c>
    </row>
    <row r="1915" spans="2:12" x14ac:dyDescent="0.3">
      <c r="B1915" s="25">
        <v>1921</v>
      </c>
      <c r="C1915" s="33">
        <v>3554</v>
      </c>
      <c r="D1915" s="33" t="s">
        <v>1046</v>
      </c>
      <c r="E1915" s="35">
        <v>44721</v>
      </c>
      <c r="F1915" s="33">
        <v>2</v>
      </c>
      <c r="G1915" s="33" t="s">
        <v>122</v>
      </c>
      <c r="H1915" s="33" t="s">
        <v>201</v>
      </c>
      <c r="I1915" s="33" t="s">
        <v>196</v>
      </c>
      <c r="J1915" s="34">
        <v>2381.5</v>
      </c>
      <c r="K1915" s="34"/>
      <c r="L1915" s="34">
        <v>2381.5</v>
      </c>
    </row>
    <row r="1916" spans="2:12" x14ac:dyDescent="0.3">
      <c r="B1916" s="25">
        <v>1922</v>
      </c>
      <c r="C1916" s="33">
        <v>3561</v>
      </c>
      <c r="D1916" s="33" t="s">
        <v>372</v>
      </c>
      <c r="E1916" s="35">
        <v>44721</v>
      </c>
      <c r="F1916" s="33">
        <v>2</v>
      </c>
      <c r="G1916" s="33" t="s">
        <v>124</v>
      </c>
      <c r="H1916" s="33" t="s">
        <v>201</v>
      </c>
      <c r="I1916" s="33" t="s">
        <v>197</v>
      </c>
      <c r="J1916" s="34">
        <v>344.4</v>
      </c>
      <c r="K1916" s="34"/>
      <c r="L1916" s="34">
        <v>344.4</v>
      </c>
    </row>
    <row r="1917" spans="2:12" x14ac:dyDescent="0.3">
      <c r="B1917" s="25">
        <v>1923</v>
      </c>
      <c r="C1917" s="33">
        <v>3677</v>
      </c>
      <c r="D1917" s="33" t="s">
        <v>573</v>
      </c>
      <c r="E1917" s="35">
        <v>44728</v>
      </c>
      <c r="F1917" s="33">
        <v>2</v>
      </c>
      <c r="G1917" s="33" t="s">
        <v>124</v>
      </c>
      <c r="H1917" s="33" t="s">
        <v>201</v>
      </c>
      <c r="I1917" s="33" t="s">
        <v>197</v>
      </c>
      <c r="J1917" s="34">
        <v>4571.6000000000004</v>
      </c>
      <c r="K1917" s="34"/>
      <c r="L1917" s="34">
        <v>4571.6000000000004</v>
      </c>
    </row>
    <row r="1918" spans="2:12" x14ac:dyDescent="0.3">
      <c r="B1918" s="25">
        <v>1924</v>
      </c>
      <c r="C1918" s="33">
        <v>3678</v>
      </c>
      <c r="D1918" s="33" t="s">
        <v>1047</v>
      </c>
      <c r="E1918" s="35">
        <v>44728</v>
      </c>
      <c r="F1918" s="33">
        <v>2</v>
      </c>
      <c r="G1918" s="33" t="s">
        <v>124</v>
      </c>
      <c r="H1918" s="33" t="s">
        <v>201</v>
      </c>
      <c r="I1918" s="33" t="s">
        <v>197</v>
      </c>
      <c r="J1918" s="34">
        <v>1250.58</v>
      </c>
      <c r="K1918" s="34"/>
      <c r="L1918" s="34">
        <v>1250.58</v>
      </c>
    </row>
    <row r="1919" spans="2:12" x14ac:dyDescent="0.3">
      <c r="B1919" s="25">
        <v>1925</v>
      </c>
      <c r="C1919" s="33">
        <v>3679</v>
      </c>
      <c r="D1919" s="33" t="s">
        <v>581</v>
      </c>
      <c r="E1919" s="35">
        <v>44728</v>
      </c>
      <c r="F1919" s="33">
        <v>2</v>
      </c>
      <c r="G1919" s="33" t="s">
        <v>124</v>
      </c>
      <c r="H1919" s="33" t="s">
        <v>201</v>
      </c>
      <c r="I1919" s="33" t="s">
        <v>197</v>
      </c>
      <c r="J1919" s="34">
        <v>7620.25</v>
      </c>
      <c r="K1919" s="34"/>
      <c r="L1919" s="34">
        <v>7620.25</v>
      </c>
    </row>
    <row r="1920" spans="2:12" x14ac:dyDescent="0.3">
      <c r="B1920" s="25">
        <v>1926</v>
      </c>
      <c r="C1920" s="33">
        <v>3680</v>
      </c>
      <c r="D1920" s="33" t="s">
        <v>556</v>
      </c>
      <c r="E1920" s="35">
        <v>44728</v>
      </c>
      <c r="F1920" s="33">
        <v>2</v>
      </c>
      <c r="G1920" s="33" t="s">
        <v>124</v>
      </c>
      <c r="H1920" s="33" t="s">
        <v>201</v>
      </c>
      <c r="I1920" s="33" t="s">
        <v>197</v>
      </c>
      <c r="J1920" s="34">
        <v>4126.04</v>
      </c>
      <c r="K1920" s="34"/>
      <c r="L1920" s="34">
        <v>4126.04</v>
      </c>
    </row>
    <row r="1921" spans="2:12" x14ac:dyDescent="0.3">
      <c r="B1921" s="25">
        <v>1927</v>
      </c>
      <c r="C1921" s="33">
        <v>3681</v>
      </c>
      <c r="D1921" s="33" t="s">
        <v>584</v>
      </c>
      <c r="E1921" s="35">
        <v>44728</v>
      </c>
      <c r="F1921" s="33">
        <v>2</v>
      </c>
      <c r="G1921" s="33" t="s">
        <v>122</v>
      </c>
      <c r="H1921" s="33" t="s">
        <v>201</v>
      </c>
      <c r="I1921" s="33" t="s">
        <v>196</v>
      </c>
      <c r="J1921" s="34">
        <v>427.35</v>
      </c>
      <c r="K1921" s="34"/>
      <c r="L1921" s="34">
        <v>427.35</v>
      </c>
    </row>
    <row r="1922" spans="2:12" x14ac:dyDescent="0.3">
      <c r="B1922" s="25">
        <v>1928</v>
      </c>
      <c r="C1922" s="33">
        <v>3685</v>
      </c>
      <c r="D1922" s="33" t="s">
        <v>1048</v>
      </c>
      <c r="E1922" s="35">
        <v>44728</v>
      </c>
      <c r="F1922" s="33">
        <v>2</v>
      </c>
      <c r="G1922" s="33" t="s">
        <v>122</v>
      </c>
      <c r="H1922" s="33" t="s">
        <v>201</v>
      </c>
      <c r="I1922" s="33" t="s">
        <v>196</v>
      </c>
      <c r="J1922" s="34">
        <v>2497.4499999999998</v>
      </c>
      <c r="K1922" s="34"/>
      <c r="L1922" s="34">
        <v>2497.4499999999998</v>
      </c>
    </row>
    <row r="1923" spans="2:12" x14ac:dyDescent="0.3">
      <c r="B1923" s="25">
        <v>1929</v>
      </c>
      <c r="C1923" s="33">
        <v>3686</v>
      </c>
      <c r="D1923" s="33" t="s">
        <v>1048</v>
      </c>
      <c r="E1923" s="35">
        <v>44728</v>
      </c>
      <c r="F1923" s="33">
        <v>2</v>
      </c>
      <c r="G1923" s="33" t="s">
        <v>122</v>
      </c>
      <c r="H1923" s="33" t="s">
        <v>201</v>
      </c>
      <c r="I1923" s="33" t="s">
        <v>196</v>
      </c>
      <c r="J1923" s="34">
        <v>1128.5999999999999</v>
      </c>
      <c r="K1923" s="34"/>
      <c r="L1923" s="34">
        <v>1128.5999999999999</v>
      </c>
    </row>
    <row r="1924" spans="2:12" x14ac:dyDescent="0.3">
      <c r="B1924" s="25">
        <v>1930</v>
      </c>
      <c r="C1924" s="33">
        <v>3688</v>
      </c>
      <c r="D1924" s="33" t="s">
        <v>473</v>
      </c>
      <c r="E1924" s="35">
        <v>44728</v>
      </c>
      <c r="F1924" s="33">
        <v>2</v>
      </c>
      <c r="G1924" s="33" t="s">
        <v>122</v>
      </c>
      <c r="H1924" s="33" t="s">
        <v>201</v>
      </c>
      <c r="I1924" s="33" t="s">
        <v>196</v>
      </c>
      <c r="J1924" s="34">
        <v>13534.43</v>
      </c>
      <c r="K1924" s="34"/>
      <c r="L1924" s="34">
        <v>13534.43</v>
      </c>
    </row>
    <row r="1925" spans="2:12" x14ac:dyDescent="0.3">
      <c r="B1925" s="25">
        <v>1931</v>
      </c>
      <c r="C1925" s="33">
        <v>3852</v>
      </c>
      <c r="D1925" s="33" t="s">
        <v>556</v>
      </c>
      <c r="E1925" s="35">
        <v>44735</v>
      </c>
      <c r="F1925" s="33">
        <v>2</v>
      </c>
      <c r="G1925" s="33" t="s">
        <v>124</v>
      </c>
      <c r="H1925" s="33" t="s">
        <v>201</v>
      </c>
      <c r="I1925" s="33" t="s">
        <v>197</v>
      </c>
      <c r="J1925" s="34">
        <v>1913.45</v>
      </c>
      <c r="K1925" s="34"/>
      <c r="L1925" s="34">
        <v>1913.45</v>
      </c>
    </row>
    <row r="1926" spans="2:12" x14ac:dyDescent="0.3">
      <c r="B1926" s="25">
        <v>1932</v>
      </c>
      <c r="C1926" s="33">
        <v>51695</v>
      </c>
      <c r="D1926" s="33" t="s">
        <v>400</v>
      </c>
      <c r="E1926" s="35">
        <v>44700</v>
      </c>
      <c r="F1926" s="33">
        <v>2</v>
      </c>
      <c r="G1926" s="33" t="s">
        <v>231</v>
      </c>
      <c r="H1926" s="33">
        <v>53</v>
      </c>
      <c r="I1926" s="33" t="s">
        <v>198</v>
      </c>
      <c r="J1926" s="34">
        <v>2337.64</v>
      </c>
      <c r="K1926" s="34"/>
      <c r="L1926" s="34">
        <v>2337.64</v>
      </c>
    </row>
    <row r="1927" spans="2:12" x14ac:dyDescent="0.3">
      <c r="B1927" s="25">
        <v>1933</v>
      </c>
      <c r="C1927" s="33">
        <v>51696</v>
      </c>
      <c r="D1927" s="33" t="s">
        <v>400</v>
      </c>
      <c r="E1927" s="35">
        <v>44700</v>
      </c>
      <c r="F1927" s="33">
        <v>2</v>
      </c>
      <c r="G1927" s="33" t="s">
        <v>231</v>
      </c>
      <c r="H1927" s="33">
        <v>53</v>
      </c>
      <c r="I1927" s="33" t="s">
        <v>198</v>
      </c>
      <c r="J1927" s="34">
        <v>226.01</v>
      </c>
      <c r="K1927" s="34"/>
      <c r="L1927" s="34">
        <v>226.01</v>
      </c>
    </row>
    <row r="1928" spans="2:12" x14ac:dyDescent="0.3">
      <c r="B1928" s="25">
        <v>1934</v>
      </c>
      <c r="C1928" s="33" t="s">
        <v>1049</v>
      </c>
      <c r="D1928" s="33" t="s">
        <v>443</v>
      </c>
      <c r="E1928" s="35">
        <v>44700</v>
      </c>
      <c r="F1928" s="33">
        <v>2</v>
      </c>
      <c r="G1928" s="33" t="s">
        <v>122</v>
      </c>
      <c r="H1928" s="33" t="s">
        <v>73</v>
      </c>
      <c r="I1928" s="33" t="s">
        <v>196</v>
      </c>
      <c r="J1928" s="34">
        <v>2896.5</v>
      </c>
      <c r="K1928" s="34"/>
      <c r="L1928" s="34">
        <v>2896.5</v>
      </c>
    </row>
    <row r="1929" spans="2:12" x14ac:dyDescent="0.3">
      <c r="B1929" s="25">
        <v>1935</v>
      </c>
      <c r="C1929" s="33">
        <v>51700</v>
      </c>
      <c r="D1929" s="33" t="s">
        <v>473</v>
      </c>
      <c r="E1929" s="35">
        <v>44700</v>
      </c>
      <c r="F1929" s="33">
        <v>2</v>
      </c>
      <c r="G1929" s="33" t="s">
        <v>122</v>
      </c>
      <c r="H1929" s="33" t="s">
        <v>73</v>
      </c>
      <c r="I1929" s="33" t="s">
        <v>196</v>
      </c>
      <c r="J1929" s="34">
        <v>2722.28</v>
      </c>
      <c r="K1929" s="34"/>
      <c r="L1929" s="34">
        <v>2722.28</v>
      </c>
    </row>
    <row r="1930" spans="2:12" x14ac:dyDescent="0.3">
      <c r="B1930" s="25">
        <v>1936</v>
      </c>
      <c r="C1930" s="33">
        <v>51701</v>
      </c>
      <c r="D1930" s="33" t="s">
        <v>665</v>
      </c>
      <c r="E1930" s="35">
        <v>44700</v>
      </c>
      <c r="F1930" s="33">
        <v>2</v>
      </c>
      <c r="G1930" s="33" t="s">
        <v>124</v>
      </c>
      <c r="H1930" s="33">
        <v>53</v>
      </c>
      <c r="I1930" s="33" t="s">
        <v>197</v>
      </c>
      <c r="J1930" s="34">
        <v>1774.01</v>
      </c>
      <c r="K1930" s="34"/>
      <c r="L1930" s="34">
        <v>1774.01</v>
      </c>
    </row>
    <row r="1931" spans="2:12" x14ac:dyDescent="0.3">
      <c r="B1931" s="25">
        <v>1937</v>
      </c>
      <c r="C1931" s="33">
        <v>51783</v>
      </c>
      <c r="D1931" s="33" t="s">
        <v>275</v>
      </c>
      <c r="E1931" s="35">
        <v>44707</v>
      </c>
      <c r="F1931" s="33">
        <v>2</v>
      </c>
      <c r="G1931" s="33" t="s">
        <v>124</v>
      </c>
      <c r="H1931" s="33" t="s">
        <v>73</v>
      </c>
      <c r="I1931" s="33" t="s">
        <v>197</v>
      </c>
      <c r="J1931" s="34">
        <v>2538.5</v>
      </c>
      <c r="K1931" s="34"/>
      <c r="L1931" s="34">
        <v>2538.5</v>
      </c>
    </row>
    <row r="1932" spans="2:12" x14ac:dyDescent="0.3">
      <c r="B1932" s="25">
        <v>1938</v>
      </c>
      <c r="C1932" s="33">
        <v>51826</v>
      </c>
      <c r="D1932" s="33" t="s">
        <v>400</v>
      </c>
      <c r="E1932" s="35">
        <v>44708</v>
      </c>
      <c r="F1932" s="33">
        <v>2</v>
      </c>
      <c r="G1932" s="33" t="s">
        <v>231</v>
      </c>
      <c r="H1932" s="33">
        <v>53</v>
      </c>
      <c r="I1932" s="33" t="s">
        <v>198</v>
      </c>
      <c r="J1932" s="34">
        <v>809.93</v>
      </c>
      <c r="K1932" s="34"/>
      <c r="L1932" s="34">
        <v>809.93</v>
      </c>
    </row>
    <row r="1933" spans="2:12" x14ac:dyDescent="0.3">
      <c r="B1933" s="25">
        <v>1939</v>
      </c>
      <c r="C1933" s="33" t="s">
        <v>1050</v>
      </c>
      <c r="D1933" s="33" t="s">
        <v>400</v>
      </c>
      <c r="E1933" s="35">
        <v>44708</v>
      </c>
      <c r="F1933" s="33">
        <v>2</v>
      </c>
      <c r="G1933" s="33" t="s">
        <v>231</v>
      </c>
      <c r="H1933" s="33">
        <v>53</v>
      </c>
      <c r="I1933" s="33" t="s">
        <v>198</v>
      </c>
      <c r="J1933" s="34">
        <v>1032.51</v>
      </c>
      <c r="K1933" s="34"/>
      <c r="L1933" s="34">
        <v>1032.51</v>
      </c>
    </row>
    <row r="1934" spans="2:12" x14ac:dyDescent="0.3">
      <c r="B1934" s="25">
        <v>1940</v>
      </c>
      <c r="C1934" s="33">
        <v>51828</v>
      </c>
      <c r="D1934" s="33" t="s">
        <v>400</v>
      </c>
      <c r="E1934" s="35">
        <v>44708</v>
      </c>
      <c r="F1934" s="33">
        <v>2</v>
      </c>
      <c r="G1934" s="33" t="s">
        <v>231</v>
      </c>
      <c r="H1934" s="33">
        <v>53</v>
      </c>
      <c r="I1934" s="33" t="s">
        <v>198</v>
      </c>
      <c r="J1934" s="34">
        <v>621.21</v>
      </c>
      <c r="K1934" s="34"/>
      <c r="L1934" s="34">
        <v>621.21</v>
      </c>
    </row>
    <row r="1935" spans="2:12" x14ac:dyDescent="0.3">
      <c r="B1935" s="25">
        <v>1941</v>
      </c>
      <c r="C1935" s="33">
        <v>51832</v>
      </c>
      <c r="D1935" s="33" t="s">
        <v>401</v>
      </c>
      <c r="E1935" s="35">
        <v>44708</v>
      </c>
      <c r="F1935" s="33">
        <v>2</v>
      </c>
      <c r="G1935" s="33" t="s">
        <v>231</v>
      </c>
      <c r="H1935" s="33">
        <v>53</v>
      </c>
      <c r="I1935" s="33" t="s">
        <v>198</v>
      </c>
      <c r="J1935" s="34">
        <v>2080.71</v>
      </c>
      <c r="K1935" s="34"/>
      <c r="L1935" s="34">
        <v>2080.71</v>
      </c>
    </row>
    <row r="1936" spans="2:12" x14ac:dyDescent="0.3">
      <c r="B1936" s="25">
        <v>1942</v>
      </c>
      <c r="C1936" s="33">
        <v>51934</v>
      </c>
      <c r="D1936" s="33" t="s">
        <v>438</v>
      </c>
      <c r="E1936" s="35">
        <v>44721</v>
      </c>
      <c r="F1936" s="33">
        <v>2</v>
      </c>
      <c r="G1936" s="33" t="s">
        <v>122</v>
      </c>
      <c r="H1936" s="33" t="s">
        <v>73</v>
      </c>
      <c r="I1936" s="33" t="s">
        <v>196</v>
      </c>
      <c r="J1936" s="34">
        <v>38</v>
      </c>
      <c r="K1936" s="34"/>
      <c r="L1936" s="34">
        <v>38</v>
      </c>
    </row>
    <row r="1937" spans="2:12" x14ac:dyDescent="0.3">
      <c r="B1937" s="25">
        <v>1943</v>
      </c>
      <c r="C1937" s="33">
        <v>52005</v>
      </c>
      <c r="D1937" s="33" t="s">
        <v>281</v>
      </c>
      <c r="E1937" s="35">
        <v>44728</v>
      </c>
      <c r="F1937" s="33">
        <v>2</v>
      </c>
      <c r="G1937" s="33" t="s">
        <v>124</v>
      </c>
      <c r="H1937" s="33">
        <v>53</v>
      </c>
      <c r="I1937" s="33" t="s">
        <v>197</v>
      </c>
      <c r="J1937" s="34">
        <v>1085.5</v>
      </c>
      <c r="K1937" s="34"/>
      <c r="L1937" s="34">
        <v>1085.5</v>
      </c>
    </row>
    <row r="1938" spans="2:12" x14ac:dyDescent="0.3">
      <c r="B1938" s="25">
        <v>1944</v>
      </c>
      <c r="C1938" s="33">
        <v>52007</v>
      </c>
      <c r="D1938" s="33" t="s">
        <v>401</v>
      </c>
      <c r="E1938" s="35">
        <v>44728</v>
      </c>
      <c r="F1938" s="33">
        <v>2</v>
      </c>
      <c r="G1938" s="33" t="s">
        <v>231</v>
      </c>
      <c r="H1938" s="33">
        <v>53</v>
      </c>
      <c r="I1938" s="33" t="s">
        <v>198</v>
      </c>
      <c r="J1938" s="34">
        <v>2829.61</v>
      </c>
      <c r="K1938" s="34"/>
      <c r="L1938" s="34">
        <v>2829.61</v>
      </c>
    </row>
    <row r="1939" spans="2:12" x14ac:dyDescent="0.3">
      <c r="B1939" s="25">
        <v>1945</v>
      </c>
      <c r="C1939" s="33">
        <v>52008</v>
      </c>
      <c r="D1939" s="33" t="s">
        <v>414</v>
      </c>
      <c r="E1939" s="35">
        <v>44728</v>
      </c>
      <c r="F1939" s="33">
        <v>2</v>
      </c>
      <c r="G1939" s="33" t="s">
        <v>122</v>
      </c>
      <c r="H1939" s="33" t="s">
        <v>73</v>
      </c>
      <c r="I1939" s="33" t="s">
        <v>196</v>
      </c>
      <c r="J1939" s="34">
        <v>60</v>
      </c>
      <c r="K1939" s="34"/>
      <c r="L1939" s="34">
        <v>60</v>
      </c>
    </row>
    <row r="1940" spans="2:12" x14ac:dyDescent="0.3">
      <c r="B1940" s="25">
        <v>1946</v>
      </c>
      <c r="C1940" s="33">
        <v>52009</v>
      </c>
      <c r="D1940" s="33" t="s">
        <v>412</v>
      </c>
      <c r="E1940" s="35">
        <v>44728</v>
      </c>
      <c r="F1940" s="33">
        <v>2</v>
      </c>
      <c r="G1940" s="33" t="s">
        <v>231</v>
      </c>
      <c r="H1940" s="33">
        <v>53</v>
      </c>
      <c r="I1940" s="33" t="s">
        <v>198</v>
      </c>
      <c r="J1940" s="34">
        <v>276</v>
      </c>
      <c r="K1940" s="34"/>
      <c r="L1940" s="34">
        <v>276</v>
      </c>
    </row>
    <row r="1941" spans="2:12" x14ac:dyDescent="0.3">
      <c r="B1941" s="25">
        <v>1947</v>
      </c>
      <c r="C1941" s="33" t="s">
        <v>1051</v>
      </c>
      <c r="D1941" s="33" t="s">
        <v>400</v>
      </c>
      <c r="E1941" s="35">
        <v>44729</v>
      </c>
      <c r="F1941" s="33">
        <v>2</v>
      </c>
      <c r="G1941" s="33" t="s">
        <v>231</v>
      </c>
      <c r="H1941" s="33">
        <v>53</v>
      </c>
      <c r="I1941" s="33" t="s">
        <v>198</v>
      </c>
      <c r="J1941" s="34">
        <v>34.92</v>
      </c>
      <c r="K1941" s="34"/>
      <c r="L1941" s="34">
        <v>34.92</v>
      </c>
    </row>
    <row r="1942" spans="2:12" x14ac:dyDescent="0.3">
      <c r="B1942" s="25">
        <v>1948</v>
      </c>
      <c r="C1942" s="33" t="s">
        <v>1052</v>
      </c>
      <c r="D1942" s="33" t="s">
        <v>412</v>
      </c>
      <c r="E1942" s="35">
        <v>44735</v>
      </c>
      <c r="F1942" s="33">
        <v>2</v>
      </c>
      <c r="G1942" s="33" t="s">
        <v>231</v>
      </c>
      <c r="H1942" s="33">
        <v>53</v>
      </c>
      <c r="I1942" s="33" t="s">
        <v>198</v>
      </c>
      <c r="J1942" s="34">
        <v>1056</v>
      </c>
      <c r="K1942" s="34"/>
      <c r="L1942" s="34">
        <v>1056</v>
      </c>
    </row>
    <row r="1943" spans="2:12" x14ac:dyDescent="0.3">
      <c r="B1943" s="25">
        <v>1949</v>
      </c>
      <c r="C1943" s="33" t="s">
        <v>1053</v>
      </c>
      <c r="D1943" s="33" t="s">
        <v>414</v>
      </c>
      <c r="E1943" s="35">
        <v>44735</v>
      </c>
      <c r="F1943" s="33">
        <v>2</v>
      </c>
      <c r="G1943" s="33" t="s">
        <v>122</v>
      </c>
      <c r="H1943" s="33">
        <v>53</v>
      </c>
      <c r="I1943" s="33" t="s">
        <v>196</v>
      </c>
      <c r="J1943" s="34">
        <v>367</v>
      </c>
      <c r="K1943" s="34"/>
      <c r="L1943" s="34">
        <v>367</v>
      </c>
    </row>
    <row r="1944" spans="2:12" x14ac:dyDescent="0.3">
      <c r="B1944" s="25">
        <v>1950</v>
      </c>
      <c r="C1944" s="33">
        <v>8008</v>
      </c>
      <c r="D1944" s="33" t="s">
        <v>410</v>
      </c>
      <c r="E1944" s="35">
        <v>44712</v>
      </c>
      <c r="F1944" s="33">
        <v>2</v>
      </c>
      <c r="G1944" s="33" t="s">
        <v>231</v>
      </c>
      <c r="H1944" s="33" t="s">
        <v>69</v>
      </c>
      <c r="I1944" s="33" t="s">
        <v>198</v>
      </c>
      <c r="J1944" s="34">
        <v>53</v>
      </c>
      <c r="K1944" s="34"/>
      <c r="L1944" s="34">
        <v>53</v>
      </c>
    </row>
    <row r="1945" spans="2:12" x14ac:dyDescent="0.3">
      <c r="B1945" s="25">
        <v>1951</v>
      </c>
      <c r="C1945" s="33">
        <v>8048</v>
      </c>
      <c r="D1945" s="33" t="s">
        <v>403</v>
      </c>
      <c r="E1945" s="35">
        <v>44712</v>
      </c>
      <c r="F1945" s="33">
        <v>2</v>
      </c>
      <c r="G1945" s="33" t="s">
        <v>122</v>
      </c>
      <c r="H1945" s="33" t="s">
        <v>69</v>
      </c>
      <c r="I1945" s="33" t="s">
        <v>196</v>
      </c>
      <c r="J1945" s="34">
        <v>3167.5</v>
      </c>
      <c r="K1945" s="34"/>
      <c r="L1945" s="34">
        <v>3167.5</v>
      </c>
    </row>
    <row r="1946" spans="2:12" x14ac:dyDescent="0.3">
      <c r="B1946" s="25">
        <v>1952</v>
      </c>
      <c r="C1946" s="33">
        <v>8319</v>
      </c>
      <c r="D1946" s="33" t="s">
        <v>403</v>
      </c>
      <c r="E1946" s="35">
        <v>44720</v>
      </c>
      <c r="F1946" s="33">
        <v>2</v>
      </c>
      <c r="G1946" s="33" t="s">
        <v>122</v>
      </c>
      <c r="H1946" s="33" t="s">
        <v>69</v>
      </c>
      <c r="I1946" s="33" t="s">
        <v>196</v>
      </c>
      <c r="J1946" s="34">
        <v>1991</v>
      </c>
      <c r="K1946" s="34"/>
      <c r="L1946" s="34">
        <v>1991</v>
      </c>
    </row>
    <row r="1947" spans="2:12" x14ac:dyDescent="0.3">
      <c r="B1947" s="25">
        <v>1953</v>
      </c>
      <c r="C1947" s="33">
        <v>8957</v>
      </c>
      <c r="D1947" s="33" t="s">
        <v>410</v>
      </c>
      <c r="E1947" s="35">
        <v>44734</v>
      </c>
      <c r="F1947" s="33">
        <v>2</v>
      </c>
      <c r="G1947" s="33" t="s">
        <v>231</v>
      </c>
      <c r="H1947" s="33" t="s">
        <v>69</v>
      </c>
      <c r="I1947" s="33" t="s">
        <v>198</v>
      </c>
      <c r="J1947" s="34">
        <v>14030.99</v>
      </c>
      <c r="K1947" s="34"/>
      <c r="L1947" s="34">
        <v>14030.99</v>
      </c>
    </row>
    <row r="1948" spans="2:12" x14ac:dyDescent="0.3">
      <c r="B1948" s="25">
        <v>1954</v>
      </c>
      <c r="C1948" s="33">
        <v>52179</v>
      </c>
      <c r="D1948" s="33" t="s">
        <v>512</v>
      </c>
      <c r="E1948" s="35">
        <v>44686</v>
      </c>
      <c r="F1948" s="33">
        <v>2</v>
      </c>
      <c r="G1948" s="33" t="s">
        <v>122</v>
      </c>
      <c r="H1948" s="33" t="s">
        <v>69</v>
      </c>
      <c r="I1948" s="33" t="s">
        <v>196</v>
      </c>
      <c r="J1948" s="34">
        <v>1605.5</v>
      </c>
      <c r="K1948" s="34"/>
      <c r="L1948" s="34">
        <v>1605.5</v>
      </c>
    </row>
    <row r="1949" spans="2:12" x14ac:dyDescent="0.3">
      <c r="B1949" s="25">
        <v>1955</v>
      </c>
      <c r="C1949" s="33">
        <v>52438</v>
      </c>
      <c r="D1949" s="33" t="s">
        <v>482</v>
      </c>
      <c r="E1949" s="35">
        <v>44700</v>
      </c>
      <c r="F1949" s="33">
        <v>2</v>
      </c>
      <c r="G1949" s="33" t="s">
        <v>122</v>
      </c>
      <c r="H1949" s="33" t="s">
        <v>69</v>
      </c>
      <c r="I1949" s="33" t="s">
        <v>196</v>
      </c>
      <c r="J1949" s="34">
        <v>1642</v>
      </c>
      <c r="K1949" s="34"/>
      <c r="L1949" s="34">
        <v>1642</v>
      </c>
    </row>
    <row r="1950" spans="2:12" x14ac:dyDescent="0.3">
      <c r="B1950" s="25">
        <v>1956</v>
      </c>
      <c r="C1950" s="33">
        <v>52439</v>
      </c>
      <c r="D1950" s="33" t="s">
        <v>482</v>
      </c>
      <c r="E1950" s="35">
        <v>44700</v>
      </c>
      <c r="F1950" s="33">
        <v>2</v>
      </c>
      <c r="G1950" s="33" t="s">
        <v>122</v>
      </c>
      <c r="H1950" s="33" t="s">
        <v>69</v>
      </c>
      <c r="I1950" s="33" t="s">
        <v>196</v>
      </c>
      <c r="J1950" s="34">
        <v>21</v>
      </c>
      <c r="K1950" s="34"/>
      <c r="L1950" s="34">
        <v>21</v>
      </c>
    </row>
    <row r="1951" spans="2:12" x14ac:dyDescent="0.3">
      <c r="B1951" s="25">
        <v>1957</v>
      </c>
      <c r="C1951" s="33">
        <v>52440</v>
      </c>
      <c r="D1951" s="33" t="s">
        <v>482</v>
      </c>
      <c r="E1951" s="35">
        <v>44700</v>
      </c>
      <c r="F1951" s="33">
        <v>2</v>
      </c>
      <c r="G1951" s="33" t="s">
        <v>122</v>
      </c>
      <c r="H1951" s="33" t="s">
        <v>69</v>
      </c>
      <c r="I1951" s="33" t="s">
        <v>196</v>
      </c>
      <c r="J1951" s="34">
        <v>1179.51</v>
      </c>
      <c r="K1951" s="34"/>
      <c r="L1951" s="34">
        <v>1179.51</v>
      </c>
    </row>
    <row r="1952" spans="2:12" x14ac:dyDescent="0.3">
      <c r="B1952" s="25">
        <v>1958</v>
      </c>
      <c r="C1952" s="33">
        <v>52441</v>
      </c>
      <c r="D1952" s="33" t="s">
        <v>416</v>
      </c>
      <c r="E1952" s="35">
        <v>44700</v>
      </c>
      <c r="F1952" s="33">
        <v>2</v>
      </c>
      <c r="G1952" s="33" t="s">
        <v>231</v>
      </c>
      <c r="H1952" s="33" t="s">
        <v>69</v>
      </c>
      <c r="I1952" s="33" t="s">
        <v>198</v>
      </c>
      <c r="J1952" s="34">
        <v>1950.98</v>
      </c>
      <c r="K1952" s="34"/>
      <c r="L1952" s="34">
        <v>1950.98</v>
      </c>
    </row>
    <row r="1953" spans="2:12" x14ac:dyDescent="0.3">
      <c r="B1953" s="25">
        <v>1959</v>
      </c>
      <c r="C1953" s="33">
        <v>52445</v>
      </c>
      <c r="D1953" s="33" t="s">
        <v>438</v>
      </c>
      <c r="E1953" s="35">
        <v>44700</v>
      </c>
      <c r="F1953" s="33">
        <v>2</v>
      </c>
      <c r="G1953" s="33" t="s">
        <v>122</v>
      </c>
      <c r="H1953" s="33" t="s">
        <v>69</v>
      </c>
      <c r="I1953" s="33" t="s">
        <v>196</v>
      </c>
      <c r="J1953" s="34">
        <v>663.75</v>
      </c>
      <c r="K1953" s="34"/>
      <c r="L1953" s="34">
        <v>663.75</v>
      </c>
    </row>
    <row r="1954" spans="2:12" x14ac:dyDescent="0.3">
      <c r="B1954" s="25">
        <v>1960</v>
      </c>
      <c r="C1954" s="33">
        <v>52446</v>
      </c>
      <c r="D1954" s="33" t="s">
        <v>411</v>
      </c>
      <c r="E1954" s="35">
        <v>44700</v>
      </c>
      <c r="F1954" s="33">
        <v>2</v>
      </c>
      <c r="G1954" s="33" t="s">
        <v>122</v>
      </c>
      <c r="H1954" s="33" t="s">
        <v>69</v>
      </c>
      <c r="I1954" s="33" t="s">
        <v>196</v>
      </c>
      <c r="J1954" s="34">
        <v>1320</v>
      </c>
      <c r="K1954" s="34"/>
      <c r="L1954" s="34">
        <v>1320</v>
      </c>
    </row>
    <row r="1955" spans="2:12" x14ac:dyDescent="0.3">
      <c r="B1955" s="25">
        <v>1961</v>
      </c>
      <c r="C1955" s="33">
        <v>52490</v>
      </c>
      <c r="D1955" s="33" t="s">
        <v>400</v>
      </c>
      <c r="E1955" s="35">
        <v>44701</v>
      </c>
      <c r="F1955" s="33">
        <v>2</v>
      </c>
      <c r="G1955" s="33" t="s">
        <v>231</v>
      </c>
      <c r="H1955" s="33" t="s">
        <v>69</v>
      </c>
      <c r="I1955" s="33" t="s">
        <v>198</v>
      </c>
      <c r="J1955" s="34">
        <v>893.36</v>
      </c>
      <c r="K1955" s="34"/>
      <c r="L1955" s="34">
        <v>893.36</v>
      </c>
    </row>
    <row r="1956" spans="2:12" x14ac:dyDescent="0.3">
      <c r="B1956" s="25">
        <v>1962</v>
      </c>
      <c r="C1956" s="33">
        <v>52491</v>
      </c>
      <c r="D1956" s="33" t="s">
        <v>400</v>
      </c>
      <c r="E1956" s="35">
        <v>44701</v>
      </c>
      <c r="F1956" s="33">
        <v>2</v>
      </c>
      <c r="G1956" s="33" t="s">
        <v>231</v>
      </c>
      <c r="H1956" s="33" t="s">
        <v>69</v>
      </c>
      <c r="I1956" s="33" t="s">
        <v>198</v>
      </c>
      <c r="J1956" s="34">
        <v>913.7</v>
      </c>
      <c r="K1956" s="34"/>
      <c r="L1956" s="34">
        <v>913.7</v>
      </c>
    </row>
    <row r="1957" spans="2:12" x14ac:dyDescent="0.3">
      <c r="B1957" s="25">
        <v>1963</v>
      </c>
      <c r="C1957" s="33">
        <v>52492</v>
      </c>
      <c r="D1957" s="33" t="s">
        <v>400</v>
      </c>
      <c r="E1957" s="35">
        <v>44701</v>
      </c>
      <c r="F1957" s="33">
        <v>2</v>
      </c>
      <c r="G1957" s="33" t="s">
        <v>231</v>
      </c>
      <c r="H1957" s="33" t="s">
        <v>69</v>
      </c>
      <c r="I1957" s="33" t="s">
        <v>198</v>
      </c>
      <c r="J1957" s="34">
        <v>12.61</v>
      </c>
      <c r="K1957" s="34"/>
      <c r="L1957" s="34">
        <v>12.61</v>
      </c>
    </row>
    <row r="1958" spans="2:12" x14ac:dyDescent="0.3">
      <c r="B1958" s="25">
        <v>1964</v>
      </c>
      <c r="C1958" s="33">
        <v>52559</v>
      </c>
      <c r="D1958" s="33" t="s">
        <v>512</v>
      </c>
      <c r="E1958" s="35">
        <v>44707</v>
      </c>
      <c r="F1958" s="33">
        <v>2</v>
      </c>
      <c r="G1958" s="33" t="s">
        <v>122</v>
      </c>
      <c r="H1958" s="33" t="s">
        <v>69</v>
      </c>
      <c r="I1958" s="33" t="s">
        <v>196</v>
      </c>
      <c r="J1958" s="34">
        <v>41</v>
      </c>
      <c r="K1958" s="34"/>
      <c r="L1958" s="34">
        <v>41</v>
      </c>
    </row>
    <row r="1959" spans="2:12" x14ac:dyDescent="0.3">
      <c r="B1959" s="25">
        <v>1965</v>
      </c>
      <c r="C1959" s="33">
        <v>52644</v>
      </c>
      <c r="D1959" s="33" t="s">
        <v>404</v>
      </c>
      <c r="E1959" s="35">
        <v>44708</v>
      </c>
      <c r="F1959" s="33">
        <v>2</v>
      </c>
      <c r="G1959" s="33" t="s">
        <v>122</v>
      </c>
      <c r="H1959" s="33" t="s">
        <v>69</v>
      </c>
      <c r="I1959" s="33" t="s">
        <v>196</v>
      </c>
      <c r="J1959" s="34">
        <v>338.5</v>
      </c>
      <c r="K1959" s="34"/>
      <c r="L1959" s="34">
        <v>338.5</v>
      </c>
    </row>
    <row r="1960" spans="2:12" x14ac:dyDescent="0.3">
      <c r="B1960" s="25">
        <v>1966</v>
      </c>
      <c r="C1960" s="33">
        <v>52648</v>
      </c>
      <c r="D1960" s="33" t="s">
        <v>275</v>
      </c>
      <c r="E1960" s="35">
        <v>44708</v>
      </c>
      <c r="F1960" s="33">
        <v>2</v>
      </c>
      <c r="G1960" s="33" t="s">
        <v>124</v>
      </c>
      <c r="H1960" s="33" t="s">
        <v>69</v>
      </c>
      <c r="I1960" s="33" t="s">
        <v>197</v>
      </c>
      <c r="J1960" s="34">
        <v>5597.99</v>
      </c>
      <c r="K1960" s="34"/>
      <c r="L1960" s="34">
        <v>5597.99</v>
      </c>
    </row>
    <row r="1961" spans="2:12" x14ac:dyDescent="0.3">
      <c r="B1961" s="25">
        <v>1967</v>
      </c>
      <c r="C1961" s="33">
        <v>52649</v>
      </c>
      <c r="D1961" s="33" t="s">
        <v>234</v>
      </c>
      <c r="E1961" s="35">
        <v>44708</v>
      </c>
      <c r="F1961" s="33">
        <v>2</v>
      </c>
      <c r="G1961" s="33" t="s">
        <v>122</v>
      </c>
      <c r="H1961" s="33" t="s">
        <v>69</v>
      </c>
      <c r="I1961" s="33" t="s">
        <v>196</v>
      </c>
      <c r="J1961" s="34">
        <v>1849.6</v>
      </c>
      <c r="K1961" s="34"/>
      <c r="L1961" s="34">
        <v>1849.6</v>
      </c>
    </row>
    <row r="1962" spans="2:12" x14ac:dyDescent="0.3">
      <c r="B1962" s="25">
        <v>1968</v>
      </c>
      <c r="C1962" s="33" t="s">
        <v>1054</v>
      </c>
      <c r="D1962" s="33" t="s">
        <v>400</v>
      </c>
      <c r="E1962" s="35">
        <v>44711</v>
      </c>
      <c r="F1962" s="33">
        <v>2</v>
      </c>
      <c r="G1962" s="33" t="s">
        <v>231</v>
      </c>
      <c r="H1962" s="33" t="s">
        <v>69</v>
      </c>
      <c r="I1962" s="33" t="s">
        <v>198</v>
      </c>
      <c r="J1962" s="34">
        <v>1638.31</v>
      </c>
      <c r="K1962" s="34"/>
      <c r="L1962" s="34">
        <v>1638.31</v>
      </c>
    </row>
    <row r="1963" spans="2:12" x14ac:dyDescent="0.3">
      <c r="B1963" s="25">
        <v>1969</v>
      </c>
      <c r="C1963" s="33">
        <v>52684</v>
      </c>
      <c r="D1963" s="33" t="s">
        <v>400</v>
      </c>
      <c r="E1963" s="35">
        <v>44711</v>
      </c>
      <c r="F1963" s="33">
        <v>2</v>
      </c>
      <c r="G1963" s="33" t="s">
        <v>231</v>
      </c>
      <c r="H1963" s="33" t="s">
        <v>69</v>
      </c>
      <c r="I1963" s="33" t="s">
        <v>198</v>
      </c>
      <c r="J1963" s="34">
        <v>805.57</v>
      </c>
      <c r="K1963" s="34"/>
      <c r="L1963" s="34">
        <v>805.57</v>
      </c>
    </row>
    <row r="1964" spans="2:12" x14ac:dyDescent="0.3">
      <c r="B1964" s="25">
        <v>1970</v>
      </c>
      <c r="C1964" s="33" t="s">
        <v>1055</v>
      </c>
      <c r="D1964" s="33" t="s">
        <v>400</v>
      </c>
      <c r="E1964" s="35">
        <v>44711</v>
      </c>
      <c r="F1964" s="33">
        <v>2</v>
      </c>
      <c r="G1964" s="33" t="s">
        <v>231</v>
      </c>
      <c r="H1964" s="33" t="s">
        <v>69</v>
      </c>
      <c r="I1964" s="33" t="s">
        <v>198</v>
      </c>
      <c r="J1964" s="34">
        <v>971.44</v>
      </c>
      <c r="K1964" s="34"/>
      <c r="L1964" s="34">
        <v>971.44</v>
      </c>
    </row>
    <row r="1965" spans="2:12" x14ac:dyDescent="0.3">
      <c r="B1965" s="25">
        <v>1971</v>
      </c>
      <c r="C1965" s="33" t="s">
        <v>1056</v>
      </c>
      <c r="D1965" s="33" t="s">
        <v>400</v>
      </c>
      <c r="E1965" s="35">
        <v>44711</v>
      </c>
      <c r="F1965" s="33">
        <v>2</v>
      </c>
      <c r="G1965" s="33" t="s">
        <v>231</v>
      </c>
      <c r="H1965" s="33" t="s">
        <v>69</v>
      </c>
      <c r="I1965" s="33" t="s">
        <v>198</v>
      </c>
      <c r="J1965" s="34">
        <v>1148.94</v>
      </c>
      <c r="K1965" s="34"/>
      <c r="L1965" s="34">
        <v>1148.94</v>
      </c>
    </row>
    <row r="1966" spans="2:12" x14ac:dyDescent="0.3">
      <c r="B1966" s="25">
        <v>1972</v>
      </c>
      <c r="C1966" s="33" t="s">
        <v>1057</v>
      </c>
      <c r="D1966" s="33" t="s">
        <v>400</v>
      </c>
      <c r="E1966" s="35">
        <v>44711</v>
      </c>
      <c r="F1966" s="33">
        <v>2</v>
      </c>
      <c r="G1966" s="33" t="s">
        <v>231</v>
      </c>
      <c r="H1966" s="33" t="s">
        <v>69</v>
      </c>
      <c r="I1966" s="33" t="s">
        <v>198</v>
      </c>
      <c r="J1966" s="34">
        <v>938.47</v>
      </c>
      <c r="K1966" s="34"/>
      <c r="L1966" s="34">
        <v>938.47</v>
      </c>
    </row>
    <row r="1967" spans="2:12" x14ac:dyDescent="0.3">
      <c r="B1967" s="25">
        <v>1973</v>
      </c>
      <c r="C1967" s="33">
        <v>52697</v>
      </c>
      <c r="D1967" s="33" t="s">
        <v>805</v>
      </c>
      <c r="E1967" s="35">
        <v>44711</v>
      </c>
      <c r="F1967" s="33">
        <v>2</v>
      </c>
      <c r="G1967" s="33" t="s">
        <v>231</v>
      </c>
      <c r="H1967" s="33" t="s">
        <v>69</v>
      </c>
      <c r="I1967" s="33" t="s">
        <v>198</v>
      </c>
      <c r="J1967" s="34">
        <v>7834.5</v>
      </c>
      <c r="K1967" s="34"/>
      <c r="L1967" s="34">
        <v>7834.5</v>
      </c>
    </row>
    <row r="1968" spans="2:12" x14ac:dyDescent="0.3">
      <c r="B1968" s="25">
        <v>1974</v>
      </c>
      <c r="C1968" s="33">
        <v>52733</v>
      </c>
      <c r="D1968" s="33" t="s">
        <v>400</v>
      </c>
      <c r="E1968" s="35">
        <v>44713</v>
      </c>
      <c r="F1968" s="33">
        <v>2</v>
      </c>
      <c r="G1968" s="33" t="s">
        <v>231</v>
      </c>
      <c r="H1968" s="33" t="s">
        <v>69</v>
      </c>
      <c r="I1968" s="33" t="s">
        <v>198</v>
      </c>
      <c r="J1968" s="34">
        <v>4130.1899999999996</v>
      </c>
      <c r="K1968" s="34"/>
      <c r="L1968" s="34">
        <v>4130.1899999999996</v>
      </c>
    </row>
    <row r="1969" spans="2:12" x14ac:dyDescent="0.3">
      <c r="B1969" s="25">
        <v>1975</v>
      </c>
      <c r="C1969" s="33">
        <v>52734</v>
      </c>
      <c r="D1969" s="33" t="s">
        <v>409</v>
      </c>
      <c r="E1969" s="35">
        <v>44713</v>
      </c>
      <c r="F1969" s="33">
        <v>2</v>
      </c>
      <c r="G1969" s="33" t="s">
        <v>231</v>
      </c>
      <c r="H1969" s="33" t="s">
        <v>69</v>
      </c>
      <c r="I1969" s="33" t="s">
        <v>198</v>
      </c>
      <c r="J1969" s="34">
        <v>1403.09</v>
      </c>
      <c r="K1969" s="34"/>
      <c r="L1969" s="34">
        <v>1403.09</v>
      </c>
    </row>
    <row r="1970" spans="2:12" x14ac:dyDescent="0.3">
      <c r="B1970" s="25">
        <v>1976</v>
      </c>
      <c r="C1970" s="33">
        <v>52735</v>
      </c>
      <c r="D1970" s="33" t="s">
        <v>404</v>
      </c>
      <c r="E1970" s="35">
        <v>44713</v>
      </c>
      <c r="F1970" s="33">
        <v>2</v>
      </c>
      <c r="G1970" s="33" t="s">
        <v>122</v>
      </c>
      <c r="H1970" s="33" t="s">
        <v>69</v>
      </c>
      <c r="I1970" s="33" t="s">
        <v>196</v>
      </c>
      <c r="J1970" s="34">
        <v>4711</v>
      </c>
      <c r="K1970" s="34"/>
      <c r="L1970" s="34">
        <v>4711</v>
      </c>
    </row>
    <row r="1971" spans="2:12" x14ac:dyDescent="0.3">
      <c r="B1971" s="25">
        <v>1977</v>
      </c>
      <c r="C1971" s="33">
        <v>52838</v>
      </c>
      <c r="D1971" s="33" t="s">
        <v>409</v>
      </c>
      <c r="E1971" s="35">
        <v>44722</v>
      </c>
      <c r="F1971" s="33">
        <v>2</v>
      </c>
      <c r="G1971" s="33" t="s">
        <v>231</v>
      </c>
      <c r="H1971" s="33" t="s">
        <v>69</v>
      </c>
      <c r="I1971" s="33" t="s">
        <v>198</v>
      </c>
      <c r="J1971" s="34">
        <v>1110.1500000000001</v>
      </c>
      <c r="K1971" s="34"/>
      <c r="L1971" s="34">
        <v>1110.1500000000001</v>
      </c>
    </row>
    <row r="1972" spans="2:12" x14ac:dyDescent="0.3">
      <c r="B1972" s="25">
        <v>1978</v>
      </c>
      <c r="C1972" s="33">
        <v>52847</v>
      </c>
      <c r="D1972" s="33" t="s">
        <v>400</v>
      </c>
      <c r="E1972" s="35">
        <v>44722</v>
      </c>
      <c r="F1972" s="33">
        <v>2</v>
      </c>
      <c r="G1972" s="33" t="s">
        <v>231</v>
      </c>
      <c r="H1972" s="33" t="s">
        <v>69</v>
      </c>
      <c r="I1972" s="33" t="s">
        <v>198</v>
      </c>
      <c r="J1972" s="34">
        <v>4292.1499999999996</v>
      </c>
      <c r="K1972" s="34"/>
      <c r="L1972" s="34">
        <v>4292.1499999999996</v>
      </c>
    </row>
    <row r="1973" spans="2:12" x14ac:dyDescent="0.3">
      <c r="B1973" s="25">
        <v>1979</v>
      </c>
      <c r="C1973" s="33">
        <v>52848</v>
      </c>
      <c r="D1973" s="33" t="s">
        <v>400</v>
      </c>
      <c r="E1973" s="35">
        <v>44722</v>
      </c>
      <c r="F1973" s="33">
        <v>2</v>
      </c>
      <c r="G1973" s="33" t="s">
        <v>231</v>
      </c>
      <c r="H1973" s="33" t="s">
        <v>69</v>
      </c>
      <c r="I1973" s="33" t="s">
        <v>198</v>
      </c>
      <c r="J1973" s="34">
        <v>1594.67</v>
      </c>
      <c r="K1973" s="34"/>
      <c r="L1973" s="34">
        <v>1594.67</v>
      </c>
    </row>
    <row r="1974" spans="2:12" x14ac:dyDescent="0.3">
      <c r="B1974" s="25">
        <v>1980</v>
      </c>
      <c r="C1974" s="33">
        <v>52849</v>
      </c>
      <c r="D1974" s="33" t="s">
        <v>400</v>
      </c>
      <c r="E1974" s="35">
        <v>44722</v>
      </c>
      <c r="F1974" s="33">
        <v>2</v>
      </c>
      <c r="G1974" s="33" t="s">
        <v>231</v>
      </c>
      <c r="H1974" s="33" t="s">
        <v>69</v>
      </c>
      <c r="I1974" s="33" t="s">
        <v>198</v>
      </c>
      <c r="J1974" s="34">
        <v>689.66</v>
      </c>
      <c r="K1974" s="34"/>
      <c r="L1974" s="34">
        <v>689.66</v>
      </c>
    </row>
    <row r="1975" spans="2:12" x14ac:dyDescent="0.3">
      <c r="B1975" s="25">
        <v>1981</v>
      </c>
      <c r="C1975" s="33">
        <v>52850</v>
      </c>
      <c r="D1975" s="33" t="s">
        <v>400</v>
      </c>
      <c r="E1975" s="35">
        <v>44722</v>
      </c>
      <c r="F1975" s="33">
        <v>2</v>
      </c>
      <c r="G1975" s="33" t="s">
        <v>231</v>
      </c>
      <c r="H1975" s="33" t="s">
        <v>69</v>
      </c>
      <c r="I1975" s="33" t="s">
        <v>198</v>
      </c>
      <c r="J1975" s="34">
        <v>428.72</v>
      </c>
      <c r="K1975" s="34"/>
      <c r="L1975" s="34">
        <v>428.72</v>
      </c>
    </row>
    <row r="1976" spans="2:12" x14ac:dyDescent="0.3">
      <c r="B1976" s="25">
        <v>1982</v>
      </c>
      <c r="C1976" s="33">
        <v>52851</v>
      </c>
      <c r="D1976" s="33" t="s">
        <v>400</v>
      </c>
      <c r="E1976" s="35">
        <v>44722</v>
      </c>
      <c r="F1976" s="33">
        <v>2</v>
      </c>
      <c r="G1976" s="33" t="s">
        <v>231</v>
      </c>
      <c r="H1976" s="33" t="s">
        <v>69</v>
      </c>
      <c r="I1976" s="33" t="s">
        <v>198</v>
      </c>
      <c r="J1976" s="34">
        <v>1689.24</v>
      </c>
      <c r="K1976" s="34"/>
      <c r="L1976" s="34">
        <v>1689.24</v>
      </c>
    </row>
    <row r="1977" spans="2:12" x14ac:dyDescent="0.3">
      <c r="B1977" s="25">
        <v>1983</v>
      </c>
      <c r="C1977" s="33">
        <v>52852</v>
      </c>
      <c r="D1977" s="33" t="s">
        <v>400</v>
      </c>
      <c r="E1977" s="35">
        <v>44722</v>
      </c>
      <c r="F1977" s="33">
        <v>2</v>
      </c>
      <c r="G1977" s="33" t="s">
        <v>231</v>
      </c>
      <c r="H1977" s="33" t="s">
        <v>69</v>
      </c>
      <c r="I1977" s="33" t="s">
        <v>198</v>
      </c>
      <c r="J1977" s="34">
        <v>823.5</v>
      </c>
      <c r="K1977" s="34"/>
      <c r="L1977" s="34">
        <v>823.5</v>
      </c>
    </row>
    <row r="1978" spans="2:12" x14ac:dyDescent="0.3">
      <c r="B1978" s="25">
        <v>1984</v>
      </c>
      <c r="C1978" s="33">
        <v>52853</v>
      </c>
      <c r="D1978" s="33" t="s">
        <v>400</v>
      </c>
      <c r="E1978" s="35">
        <v>44722</v>
      </c>
      <c r="F1978" s="33">
        <v>2</v>
      </c>
      <c r="G1978" s="33" t="s">
        <v>231</v>
      </c>
      <c r="H1978" s="33" t="s">
        <v>69</v>
      </c>
      <c r="I1978" s="33" t="s">
        <v>198</v>
      </c>
      <c r="J1978" s="34">
        <v>1793.45</v>
      </c>
      <c r="K1978" s="34"/>
      <c r="L1978" s="34">
        <v>1793.45</v>
      </c>
    </row>
    <row r="1979" spans="2:12" x14ac:dyDescent="0.3">
      <c r="B1979" s="25">
        <v>1985</v>
      </c>
      <c r="C1979" s="33">
        <v>52854</v>
      </c>
      <c r="D1979" s="33" t="s">
        <v>400</v>
      </c>
      <c r="E1979" s="35">
        <v>44722</v>
      </c>
      <c r="F1979" s="33">
        <v>2</v>
      </c>
      <c r="G1979" s="33" t="s">
        <v>231</v>
      </c>
      <c r="H1979" s="33" t="s">
        <v>69</v>
      </c>
      <c r="I1979" s="33" t="s">
        <v>198</v>
      </c>
      <c r="J1979" s="34">
        <v>669.32</v>
      </c>
      <c r="K1979" s="34"/>
      <c r="L1979" s="34">
        <v>669.32</v>
      </c>
    </row>
    <row r="1980" spans="2:12" x14ac:dyDescent="0.3">
      <c r="B1980" s="25">
        <v>1986</v>
      </c>
      <c r="C1980" s="33">
        <v>52858</v>
      </c>
      <c r="D1980" s="33" t="s">
        <v>805</v>
      </c>
      <c r="E1980" s="35">
        <v>44722</v>
      </c>
      <c r="F1980" s="33">
        <v>2</v>
      </c>
      <c r="G1980" s="33" t="s">
        <v>231</v>
      </c>
      <c r="H1980" s="33" t="s">
        <v>69</v>
      </c>
      <c r="I1980" s="33" t="s">
        <v>198</v>
      </c>
      <c r="J1980" s="34">
        <v>3178</v>
      </c>
      <c r="K1980" s="34"/>
      <c r="L1980" s="34">
        <v>3178</v>
      </c>
    </row>
    <row r="1981" spans="2:12" x14ac:dyDescent="0.3">
      <c r="B1981" s="25">
        <v>1987</v>
      </c>
      <c r="C1981" s="33">
        <v>52924</v>
      </c>
      <c r="D1981" s="33" t="s">
        <v>400</v>
      </c>
      <c r="E1981" s="35">
        <v>44727</v>
      </c>
      <c r="F1981" s="33">
        <v>2</v>
      </c>
      <c r="G1981" s="33" t="s">
        <v>231</v>
      </c>
      <c r="H1981" s="33" t="s">
        <v>69</v>
      </c>
      <c r="I1981" s="33" t="s">
        <v>198</v>
      </c>
      <c r="J1981" s="34">
        <v>16.97</v>
      </c>
      <c r="K1981" s="34"/>
      <c r="L1981" s="34">
        <v>16.97</v>
      </c>
    </row>
    <row r="1982" spans="2:12" x14ac:dyDescent="0.3">
      <c r="B1982" s="25">
        <v>1988</v>
      </c>
      <c r="C1982" s="33">
        <v>52939</v>
      </c>
      <c r="D1982" s="33" t="s">
        <v>416</v>
      </c>
      <c r="E1982" s="35">
        <v>44729</v>
      </c>
      <c r="F1982" s="33">
        <v>2</v>
      </c>
      <c r="G1982" s="33" t="s">
        <v>231</v>
      </c>
      <c r="H1982" s="33" t="s">
        <v>69</v>
      </c>
      <c r="I1982" s="33" t="s">
        <v>198</v>
      </c>
      <c r="J1982" s="34">
        <v>1618</v>
      </c>
      <c r="K1982" s="34"/>
      <c r="L1982" s="34">
        <v>1618</v>
      </c>
    </row>
    <row r="1983" spans="2:12" x14ac:dyDescent="0.3">
      <c r="B1983" s="25">
        <v>1989</v>
      </c>
      <c r="C1983" s="33">
        <v>52972</v>
      </c>
      <c r="D1983" s="33" t="s">
        <v>404</v>
      </c>
      <c r="E1983" s="35">
        <v>44729</v>
      </c>
      <c r="F1983" s="33">
        <v>2</v>
      </c>
      <c r="G1983" s="33" t="s">
        <v>122</v>
      </c>
      <c r="H1983" s="33" t="s">
        <v>69</v>
      </c>
      <c r="I1983" s="33" t="s">
        <v>196</v>
      </c>
      <c r="J1983" s="34">
        <v>2435.9</v>
      </c>
      <c r="K1983" s="34"/>
      <c r="L1983" s="34">
        <v>2435.9</v>
      </c>
    </row>
    <row r="1984" spans="2:12" x14ac:dyDescent="0.3">
      <c r="B1984" s="25">
        <v>1990</v>
      </c>
      <c r="C1984" s="33">
        <v>52974</v>
      </c>
      <c r="D1984" s="33" t="s">
        <v>414</v>
      </c>
      <c r="E1984" s="35">
        <v>44729</v>
      </c>
      <c r="F1984" s="33">
        <v>2</v>
      </c>
      <c r="G1984" s="33" t="s">
        <v>122</v>
      </c>
      <c r="H1984" s="33" t="s">
        <v>69</v>
      </c>
      <c r="I1984" s="33" t="s">
        <v>196</v>
      </c>
      <c r="J1984" s="34">
        <v>1616.49</v>
      </c>
      <c r="K1984" s="34"/>
      <c r="L1984" s="34">
        <v>1616.49</v>
      </c>
    </row>
    <row r="1985" spans="2:12" x14ac:dyDescent="0.3">
      <c r="B1985" s="25">
        <v>1991</v>
      </c>
      <c r="C1985" s="33">
        <v>52977</v>
      </c>
      <c r="D1985" s="33" t="s">
        <v>752</v>
      </c>
      <c r="E1985" s="35">
        <v>44729</v>
      </c>
      <c r="F1985" s="33">
        <v>2</v>
      </c>
      <c r="G1985" s="33" t="s">
        <v>122</v>
      </c>
      <c r="H1985" s="33" t="s">
        <v>69</v>
      </c>
      <c r="I1985" s="33" t="s">
        <v>196</v>
      </c>
      <c r="J1985" s="34">
        <v>1746.98</v>
      </c>
      <c r="K1985" s="34"/>
      <c r="L1985" s="34">
        <v>1746.98</v>
      </c>
    </row>
    <row r="1986" spans="2:12" x14ac:dyDescent="0.3">
      <c r="B1986" s="25">
        <v>1992</v>
      </c>
      <c r="C1986" s="33" t="s">
        <v>1058</v>
      </c>
      <c r="D1986" s="33" t="s">
        <v>412</v>
      </c>
      <c r="E1986" s="35">
        <v>44729</v>
      </c>
      <c r="F1986" s="33">
        <v>2</v>
      </c>
      <c r="G1986" s="33" t="s">
        <v>231</v>
      </c>
      <c r="H1986" s="33" t="s">
        <v>69</v>
      </c>
      <c r="I1986" s="33" t="s">
        <v>198</v>
      </c>
      <c r="J1986" s="34">
        <v>913.49</v>
      </c>
      <c r="K1986" s="34"/>
      <c r="L1986" s="34">
        <v>913.49</v>
      </c>
    </row>
    <row r="1987" spans="2:12" x14ac:dyDescent="0.3">
      <c r="B1987" s="25">
        <v>1993</v>
      </c>
      <c r="C1987" s="33" t="s">
        <v>1059</v>
      </c>
      <c r="D1987" s="33" t="s">
        <v>406</v>
      </c>
      <c r="E1987" s="35">
        <v>44729</v>
      </c>
      <c r="F1987" s="33">
        <v>2</v>
      </c>
      <c r="G1987" s="33" t="s">
        <v>122</v>
      </c>
      <c r="H1987" s="33" t="s">
        <v>69</v>
      </c>
      <c r="I1987" s="33" t="s">
        <v>196</v>
      </c>
      <c r="J1987" s="34">
        <v>1004</v>
      </c>
      <c r="K1987" s="34"/>
      <c r="L1987" s="34">
        <v>1004</v>
      </c>
    </row>
    <row r="1988" spans="2:12" x14ac:dyDescent="0.3">
      <c r="B1988" s="25">
        <v>1994</v>
      </c>
      <c r="C1988" s="33" t="s">
        <v>1060</v>
      </c>
      <c r="D1988" s="33" t="s">
        <v>281</v>
      </c>
      <c r="E1988" s="35">
        <v>44729</v>
      </c>
      <c r="F1988" s="33">
        <v>2</v>
      </c>
      <c r="G1988" s="33" t="s">
        <v>124</v>
      </c>
      <c r="H1988" s="33" t="s">
        <v>69</v>
      </c>
      <c r="I1988" s="33" t="s">
        <v>197</v>
      </c>
      <c r="J1988" s="34">
        <v>28732.91</v>
      </c>
      <c r="K1988" s="34"/>
      <c r="L1988" s="34">
        <v>28732.91</v>
      </c>
    </row>
    <row r="1989" spans="2:12" x14ac:dyDescent="0.3">
      <c r="B1989" s="25">
        <v>1995</v>
      </c>
      <c r="C1989" s="33">
        <v>52990</v>
      </c>
      <c r="D1989" s="33" t="s">
        <v>281</v>
      </c>
      <c r="E1989" s="35">
        <v>44729</v>
      </c>
      <c r="F1989" s="33">
        <v>2</v>
      </c>
      <c r="G1989" s="33" t="s">
        <v>124</v>
      </c>
      <c r="H1989" s="33" t="s">
        <v>69</v>
      </c>
      <c r="I1989" s="33" t="s">
        <v>197</v>
      </c>
      <c r="J1989" s="34">
        <v>162.24</v>
      </c>
      <c r="K1989" s="34"/>
      <c r="L1989" s="34">
        <v>162.24</v>
      </c>
    </row>
    <row r="1990" spans="2:12" x14ac:dyDescent="0.3">
      <c r="B1990" s="25">
        <v>1996</v>
      </c>
      <c r="C1990" s="33">
        <v>53069</v>
      </c>
      <c r="D1990" s="33" t="s">
        <v>400</v>
      </c>
      <c r="E1990" s="35">
        <v>44735</v>
      </c>
      <c r="F1990" s="33">
        <v>2</v>
      </c>
      <c r="G1990" s="33" t="s">
        <v>231</v>
      </c>
      <c r="H1990" s="33" t="s">
        <v>69</v>
      </c>
      <c r="I1990" s="33" t="s">
        <v>198</v>
      </c>
      <c r="J1990" s="34">
        <v>206.6</v>
      </c>
      <c r="K1990" s="34"/>
      <c r="L1990" s="34">
        <v>206.6</v>
      </c>
    </row>
    <row r="1991" spans="2:12" x14ac:dyDescent="0.3">
      <c r="B1991" s="25">
        <v>1997</v>
      </c>
      <c r="C1991" s="33">
        <v>53070</v>
      </c>
      <c r="D1991" s="33" t="s">
        <v>400</v>
      </c>
      <c r="E1991" s="35">
        <v>44735</v>
      </c>
      <c r="F1991" s="33">
        <v>2</v>
      </c>
      <c r="G1991" s="33" t="s">
        <v>231</v>
      </c>
      <c r="H1991" s="33" t="s">
        <v>69</v>
      </c>
      <c r="I1991" s="33" t="s">
        <v>198</v>
      </c>
      <c r="J1991" s="34">
        <v>752.23</v>
      </c>
      <c r="K1991" s="34"/>
      <c r="L1991" s="34">
        <v>752.23</v>
      </c>
    </row>
    <row r="1992" spans="2:12" x14ac:dyDescent="0.3">
      <c r="B1992" s="25">
        <v>1998</v>
      </c>
      <c r="C1992" s="33">
        <v>53071</v>
      </c>
      <c r="D1992" s="33" t="s">
        <v>400</v>
      </c>
      <c r="E1992" s="35">
        <v>44735</v>
      </c>
      <c r="F1992" s="33">
        <v>2</v>
      </c>
      <c r="G1992" s="33" t="s">
        <v>231</v>
      </c>
      <c r="H1992" s="33" t="s">
        <v>69</v>
      </c>
      <c r="I1992" s="33" t="s">
        <v>198</v>
      </c>
      <c r="J1992" s="34">
        <v>1373.49</v>
      </c>
      <c r="K1992" s="34"/>
      <c r="L1992" s="34">
        <v>1373.49</v>
      </c>
    </row>
    <row r="1993" spans="2:12" x14ac:dyDescent="0.3">
      <c r="B1993" s="25">
        <v>1999</v>
      </c>
      <c r="C1993" s="33">
        <v>53077</v>
      </c>
      <c r="D1993" s="33" t="s">
        <v>443</v>
      </c>
      <c r="E1993" s="35">
        <v>44735</v>
      </c>
      <c r="F1993" s="33">
        <v>2</v>
      </c>
      <c r="G1993" s="33" t="s">
        <v>122</v>
      </c>
      <c r="H1993" s="33" t="s">
        <v>69</v>
      </c>
      <c r="I1993" s="33" t="s">
        <v>196</v>
      </c>
      <c r="J1993" s="34">
        <v>3325</v>
      </c>
      <c r="K1993" s="34"/>
      <c r="L1993" s="34">
        <v>3325</v>
      </c>
    </row>
    <row r="1994" spans="2:12" x14ac:dyDescent="0.3">
      <c r="B1994" s="25">
        <v>2000</v>
      </c>
      <c r="C1994" s="33">
        <v>381575</v>
      </c>
      <c r="D1994" s="33" t="s">
        <v>1061</v>
      </c>
      <c r="E1994" s="35">
        <v>44652</v>
      </c>
      <c r="F1994" s="33">
        <v>2</v>
      </c>
      <c r="G1994" s="33" t="s">
        <v>122</v>
      </c>
      <c r="H1994" s="33" t="s">
        <v>200</v>
      </c>
      <c r="I1994" s="33" t="s">
        <v>196</v>
      </c>
      <c r="J1994" s="34">
        <v>3387.03</v>
      </c>
      <c r="K1994" s="34"/>
      <c r="L1994" s="34">
        <v>3387.03</v>
      </c>
    </row>
    <row r="1995" spans="2:12" x14ac:dyDescent="0.3">
      <c r="B1995" s="25">
        <v>2001</v>
      </c>
      <c r="C1995" s="33">
        <v>381714</v>
      </c>
      <c r="D1995" s="33" t="s">
        <v>1061</v>
      </c>
      <c r="E1995" s="35">
        <v>44652</v>
      </c>
      <c r="F1995" s="33">
        <v>2</v>
      </c>
      <c r="G1995" s="33" t="s">
        <v>122</v>
      </c>
      <c r="H1995" s="33" t="s">
        <v>200</v>
      </c>
      <c r="I1995" s="33" t="s">
        <v>196</v>
      </c>
      <c r="J1995" s="34">
        <v>3699.93</v>
      </c>
      <c r="K1995" s="34"/>
      <c r="L1995" s="34">
        <v>3699.93</v>
      </c>
    </row>
    <row r="1996" spans="2:12" x14ac:dyDescent="0.3">
      <c r="B1996" s="25">
        <v>2002</v>
      </c>
      <c r="C1996" s="33">
        <v>381846</v>
      </c>
      <c r="D1996" s="33" t="s">
        <v>1062</v>
      </c>
      <c r="E1996" s="35">
        <v>44657</v>
      </c>
      <c r="F1996" s="33">
        <v>2</v>
      </c>
      <c r="G1996" s="33" t="s">
        <v>122</v>
      </c>
      <c r="H1996" s="33" t="s">
        <v>200</v>
      </c>
      <c r="I1996" s="33" t="s">
        <v>196</v>
      </c>
      <c r="J1996" s="34">
        <v>2319.94</v>
      </c>
      <c r="K1996" s="34"/>
      <c r="L1996" s="34">
        <v>2319.94</v>
      </c>
    </row>
    <row r="1997" spans="2:12" x14ac:dyDescent="0.3">
      <c r="B1997" s="25">
        <v>2003</v>
      </c>
      <c r="C1997" s="33">
        <v>381862</v>
      </c>
      <c r="D1997" s="33" t="s">
        <v>1063</v>
      </c>
      <c r="E1997" s="35">
        <v>44659</v>
      </c>
      <c r="F1997" s="33">
        <v>2</v>
      </c>
      <c r="G1997" s="33" t="s">
        <v>122</v>
      </c>
      <c r="H1997" s="33" t="s">
        <v>200</v>
      </c>
      <c r="I1997" s="33" t="s">
        <v>196</v>
      </c>
      <c r="J1997" s="34">
        <v>6200.57</v>
      </c>
      <c r="K1997" s="34"/>
      <c r="L1997" s="34">
        <v>6200.57</v>
      </c>
    </row>
    <row r="1998" spans="2:12" x14ac:dyDescent="0.3">
      <c r="B1998" s="25">
        <v>2004</v>
      </c>
      <c r="C1998" s="33">
        <v>381935</v>
      </c>
      <c r="D1998" s="33" t="s">
        <v>1064</v>
      </c>
      <c r="E1998" s="35">
        <v>44670</v>
      </c>
      <c r="F1998" s="33">
        <v>2</v>
      </c>
      <c r="G1998" s="33" t="s">
        <v>231</v>
      </c>
      <c r="H1998" s="33" t="s">
        <v>200</v>
      </c>
      <c r="I1998" s="33" t="s">
        <v>198</v>
      </c>
      <c r="J1998" s="34">
        <v>1063.4100000000001</v>
      </c>
      <c r="K1998" s="34"/>
      <c r="L1998" s="34">
        <v>1063.4100000000001</v>
      </c>
    </row>
    <row r="1999" spans="2:12" x14ac:dyDescent="0.3">
      <c r="B1999" s="25">
        <v>2005</v>
      </c>
      <c r="C1999" s="33">
        <v>381952</v>
      </c>
      <c r="D1999" s="33" t="s">
        <v>395</v>
      </c>
      <c r="E1999" s="35">
        <v>44672</v>
      </c>
      <c r="F1999" s="33">
        <v>2</v>
      </c>
      <c r="G1999" s="33" t="s">
        <v>122</v>
      </c>
      <c r="H1999" s="33" t="s">
        <v>200</v>
      </c>
      <c r="I1999" s="33" t="s">
        <v>196</v>
      </c>
      <c r="J1999" s="34">
        <v>2246.11</v>
      </c>
      <c r="K1999" s="34"/>
      <c r="L1999" s="34">
        <v>2246.11</v>
      </c>
    </row>
    <row r="2000" spans="2:12" x14ac:dyDescent="0.3">
      <c r="B2000" s="25">
        <v>2006</v>
      </c>
      <c r="C2000" s="33">
        <v>381953</v>
      </c>
      <c r="D2000" s="33" t="s">
        <v>395</v>
      </c>
      <c r="E2000" s="35">
        <v>44672</v>
      </c>
      <c r="F2000" s="33">
        <v>2</v>
      </c>
      <c r="G2000" s="33" t="s">
        <v>122</v>
      </c>
      <c r="H2000" s="33" t="s">
        <v>200</v>
      </c>
      <c r="I2000" s="33" t="s">
        <v>196</v>
      </c>
      <c r="J2000" s="34">
        <v>1684.58</v>
      </c>
      <c r="K2000" s="34"/>
      <c r="L2000" s="34">
        <v>1684.58</v>
      </c>
    </row>
    <row r="2001" spans="2:12" x14ac:dyDescent="0.3">
      <c r="B2001" s="25">
        <v>2007</v>
      </c>
      <c r="C2001" s="33">
        <v>382052</v>
      </c>
      <c r="D2001" s="33" t="s">
        <v>939</v>
      </c>
      <c r="E2001" s="35">
        <v>44685</v>
      </c>
      <c r="F2001" s="33">
        <v>2</v>
      </c>
      <c r="G2001" s="33" t="s">
        <v>124</v>
      </c>
      <c r="H2001" s="33" t="s">
        <v>200</v>
      </c>
      <c r="I2001" s="33" t="s">
        <v>197</v>
      </c>
      <c r="J2001" s="34">
        <v>822.43</v>
      </c>
      <c r="K2001" s="34">
        <v>50</v>
      </c>
      <c r="L2001" s="34">
        <v>772.43</v>
      </c>
    </row>
    <row r="2002" spans="2:12" x14ac:dyDescent="0.3">
      <c r="B2002" s="25">
        <v>2008</v>
      </c>
      <c r="C2002" s="33">
        <v>382073</v>
      </c>
      <c r="D2002" s="33" t="s">
        <v>939</v>
      </c>
      <c r="E2002" s="35">
        <v>44690</v>
      </c>
      <c r="F2002" s="33">
        <v>2</v>
      </c>
      <c r="G2002" s="33" t="s">
        <v>124</v>
      </c>
      <c r="H2002" s="33" t="s">
        <v>200</v>
      </c>
      <c r="I2002" s="33" t="s">
        <v>197</v>
      </c>
      <c r="J2002" s="34">
        <v>1822.99</v>
      </c>
      <c r="K2002" s="34"/>
      <c r="L2002" s="34">
        <v>1822.99</v>
      </c>
    </row>
    <row r="2003" spans="2:12" x14ac:dyDescent="0.3">
      <c r="B2003" s="25">
        <v>2009</v>
      </c>
      <c r="C2003" s="33">
        <v>382323</v>
      </c>
      <c r="D2003" s="33" t="s">
        <v>940</v>
      </c>
      <c r="E2003" s="35">
        <v>44725</v>
      </c>
      <c r="F2003" s="33">
        <v>2</v>
      </c>
      <c r="G2003" s="33" t="s">
        <v>231</v>
      </c>
      <c r="H2003" s="33" t="s">
        <v>200</v>
      </c>
      <c r="I2003" s="33" t="s">
        <v>198</v>
      </c>
      <c r="J2003" s="34">
        <v>1706.84</v>
      </c>
      <c r="K2003" s="34"/>
      <c r="L2003" s="34">
        <v>1706.84</v>
      </c>
    </row>
    <row r="2004" spans="2:12" x14ac:dyDescent="0.3">
      <c r="B2004" s="25">
        <v>2010</v>
      </c>
      <c r="C2004" s="33">
        <v>382421</v>
      </c>
      <c r="D2004" s="33" t="s">
        <v>1065</v>
      </c>
      <c r="E2004" s="35">
        <v>44712</v>
      </c>
      <c r="F2004" s="33">
        <v>2</v>
      </c>
      <c r="G2004" s="33" t="s">
        <v>122</v>
      </c>
      <c r="H2004" s="33" t="s">
        <v>200</v>
      </c>
      <c r="I2004" s="33" t="s">
        <v>196</v>
      </c>
      <c r="J2004" s="34">
        <v>426.53</v>
      </c>
      <c r="K2004" s="34"/>
      <c r="L2004" s="34">
        <v>426.53</v>
      </c>
    </row>
    <row r="2005" spans="2:12" x14ac:dyDescent="0.3">
      <c r="B2005" s="25">
        <v>2011</v>
      </c>
      <c r="C2005" s="33">
        <v>382449</v>
      </c>
      <c r="D2005" s="33" t="s">
        <v>1066</v>
      </c>
      <c r="E2005" s="35">
        <v>44741</v>
      </c>
      <c r="F2005" s="33">
        <v>2</v>
      </c>
      <c r="G2005" s="33" t="s">
        <v>124</v>
      </c>
      <c r="H2005" s="33" t="s">
        <v>200</v>
      </c>
      <c r="I2005" s="33" t="s">
        <v>197</v>
      </c>
      <c r="J2005" s="34">
        <v>848.23</v>
      </c>
      <c r="K2005" s="34"/>
      <c r="L2005" s="34">
        <v>848.23</v>
      </c>
    </row>
    <row r="2006" spans="2:12" x14ac:dyDescent="0.3">
      <c r="B2006" s="25">
        <v>2015</v>
      </c>
      <c r="C2006" s="33">
        <v>33863</v>
      </c>
      <c r="D2006" s="33" t="s">
        <v>413</v>
      </c>
      <c r="E2006" s="35">
        <v>44749</v>
      </c>
      <c r="F2006" s="33">
        <v>3</v>
      </c>
      <c r="G2006" s="33" t="s">
        <v>122</v>
      </c>
      <c r="H2006" s="33" t="s">
        <v>72</v>
      </c>
      <c r="I2006" s="33" t="s">
        <v>196</v>
      </c>
      <c r="J2006" s="34">
        <v>15874</v>
      </c>
      <c r="K2006" s="34"/>
      <c r="L2006" s="34">
        <v>15874</v>
      </c>
    </row>
    <row r="2007" spans="2:12" x14ac:dyDescent="0.3">
      <c r="B2007" s="25">
        <v>2016</v>
      </c>
      <c r="C2007" s="33">
        <v>2573</v>
      </c>
      <c r="D2007" s="33" t="s">
        <v>519</v>
      </c>
      <c r="E2007" s="35">
        <v>44713</v>
      </c>
      <c r="F2007" s="33">
        <v>2</v>
      </c>
      <c r="G2007" s="33" t="s">
        <v>628</v>
      </c>
      <c r="H2007" s="33" t="s">
        <v>71</v>
      </c>
      <c r="I2007" s="33" t="s">
        <v>75</v>
      </c>
      <c r="J2007" s="34">
        <v>2313.19</v>
      </c>
      <c r="K2007" s="34"/>
      <c r="L2007" s="34">
        <v>2313.19</v>
      </c>
    </row>
    <row r="2008" spans="2:12" x14ac:dyDescent="0.3">
      <c r="B2008" s="25">
        <v>2017</v>
      </c>
      <c r="C2008" s="33">
        <v>2577</v>
      </c>
      <c r="D2008" s="33" t="s">
        <v>1068</v>
      </c>
      <c r="E2008" s="35">
        <v>44713</v>
      </c>
      <c r="F2008" s="33">
        <v>2</v>
      </c>
      <c r="G2008" s="33" t="s">
        <v>628</v>
      </c>
      <c r="H2008" s="33" t="s">
        <v>71</v>
      </c>
      <c r="I2008" s="33" t="s">
        <v>75</v>
      </c>
      <c r="J2008" s="34">
        <v>663.58</v>
      </c>
      <c r="K2008" s="34">
        <v>80</v>
      </c>
      <c r="L2008" s="34">
        <v>583.58000000000004</v>
      </c>
    </row>
    <row r="2009" spans="2:12" x14ac:dyDescent="0.3">
      <c r="B2009" s="25">
        <v>2018</v>
      </c>
      <c r="C2009" s="33">
        <v>2585</v>
      </c>
      <c r="D2009" s="33" t="s">
        <v>1069</v>
      </c>
      <c r="E2009" s="35">
        <v>44713</v>
      </c>
      <c r="F2009" s="33">
        <v>2</v>
      </c>
      <c r="G2009" s="33" t="s">
        <v>122</v>
      </c>
      <c r="H2009" s="33" t="s">
        <v>71</v>
      </c>
      <c r="I2009" s="33" t="s">
        <v>196</v>
      </c>
      <c r="J2009" s="34">
        <v>754.31</v>
      </c>
      <c r="K2009" s="34">
        <v>80</v>
      </c>
      <c r="L2009" s="34">
        <v>674.31</v>
      </c>
    </row>
    <row r="2010" spans="2:12" x14ac:dyDescent="0.3">
      <c r="B2010" s="25">
        <v>2019</v>
      </c>
      <c r="C2010" s="33">
        <v>2600</v>
      </c>
      <c r="D2010" s="33" t="s">
        <v>429</v>
      </c>
      <c r="E2010" s="35">
        <v>44715</v>
      </c>
      <c r="F2010" s="33">
        <v>2</v>
      </c>
      <c r="G2010" s="33" t="s">
        <v>628</v>
      </c>
      <c r="H2010" s="33" t="s">
        <v>71</v>
      </c>
      <c r="I2010" s="33" t="s">
        <v>75</v>
      </c>
      <c r="J2010" s="34">
        <v>2160.54</v>
      </c>
      <c r="K2010" s="34"/>
      <c r="L2010" s="34">
        <v>2160.54</v>
      </c>
    </row>
    <row r="2011" spans="2:12" x14ac:dyDescent="0.3">
      <c r="B2011" s="25">
        <v>2020</v>
      </c>
      <c r="C2011" s="33">
        <v>2640</v>
      </c>
      <c r="D2011" s="33" t="s">
        <v>401</v>
      </c>
      <c r="E2011" s="35">
        <v>44720</v>
      </c>
      <c r="F2011" s="33">
        <v>2</v>
      </c>
      <c r="G2011" s="33" t="s">
        <v>231</v>
      </c>
      <c r="H2011" s="33" t="s">
        <v>71</v>
      </c>
      <c r="I2011" s="33" t="s">
        <v>198</v>
      </c>
      <c r="J2011" s="34">
        <v>758.18</v>
      </c>
      <c r="K2011" s="34">
        <v>80</v>
      </c>
      <c r="L2011" s="34">
        <v>678.18</v>
      </c>
    </row>
    <row r="2012" spans="2:12" x14ac:dyDescent="0.3">
      <c r="B2012" s="25">
        <v>2021</v>
      </c>
      <c r="C2012" s="33">
        <v>2641</v>
      </c>
      <c r="D2012" s="33" t="s">
        <v>1070</v>
      </c>
      <c r="E2012" s="35">
        <v>44720</v>
      </c>
      <c r="F2012" s="33">
        <v>2</v>
      </c>
      <c r="G2012" s="33" t="s">
        <v>124</v>
      </c>
      <c r="H2012" s="33" t="s">
        <v>71</v>
      </c>
      <c r="I2012" s="33" t="s">
        <v>197</v>
      </c>
      <c r="J2012" s="34">
        <v>1241.24</v>
      </c>
      <c r="K2012" s="34"/>
      <c r="L2012" s="34">
        <v>1241.24</v>
      </c>
    </row>
    <row r="2013" spans="2:12" x14ac:dyDescent="0.3">
      <c r="B2013" s="25">
        <v>2022</v>
      </c>
      <c r="C2013" s="33">
        <v>2669</v>
      </c>
      <c r="D2013" s="33" t="s">
        <v>364</v>
      </c>
      <c r="E2013" s="35">
        <v>44721</v>
      </c>
      <c r="F2013" s="33">
        <v>2</v>
      </c>
      <c r="G2013" s="33" t="s">
        <v>124</v>
      </c>
      <c r="H2013" s="33" t="s">
        <v>71</v>
      </c>
      <c r="I2013" s="33" t="s">
        <v>197</v>
      </c>
      <c r="J2013" s="34">
        <v>602.24</v>
      </c>
      <c r="K2013" s="34"/>
      <c r="L2013" s="34">
        <v>602.24</v>
      </c>
    </row>
    <row r="2014" spans="2:12" x14ac:dyDescent="0.3">
      <c r="B2014" s="25">
        <v>2023</v>
      </c>
      <c r="C2014" s="33">
        <v>2610</v>
      </c>
      <c r="D2014" s="33" t="s">
        <v>1071</v>
      </c>
      <c r="E2014" s="35">
        <v>44718</v>
      </c>
      <c r="F2014" s="33">
        <v>2</v>
      </c>
      <c r="G2014" s="33" t="s">
        <v>628</v>
      </c>
      <c r="H2014" s="33" t="s">
        <v>71</v>
      </c>
      <c r="I2014" s="33" t="s">
        <v>75</v>
      </c>
      <c r="J2014" s="34">
        <v>507</v>
      </c>
      <c r="K2014" s="34">
        <v>145</v>
      </c>
      <c r="L2014" s="34">
        <v>362</v>
      </c>
    </row>
    <row r="2015" spans="2:12" x14ac:dyDescent="0.3">
      <c r="B2015" s="25">
        <v>2024</v>
      </c>
      <c r="C2015" s="33">
        <v>2670</v>
      </c>
      <c r="D2015" s="33" t="s">
        <v>1072</v>
      </c>
      <c r="E2015" s="35">
        <v>44721</v>
      </c>
      <c r="F2015" s="33">
        <v>2</v>
      </c>
      <c r="G2015" s="33" t="s">
        <v>628</v>
      </c>
      <c r="H2015" s="33" t="s">
        <v>71</v>
      </c>
      <c r="I2015" s="33" t="s">
        <v>75</v>
      </c>
      <c r="J2015" s="34">
        <v>462.2</v>
      </c>
      <c r="K2015" s="34">
        <v>80</v>
      </c>
      <c r="L2015" s="34">
        <v>382.2</v>
      </c>
    </row>
    <row r="2016" spans="2:12" x14ac:dyDescent="0.3">
      <c r="B2016" s="25">
        <v>2025</v>
      </c>
      <c r="C2016" s="33">
        <v>2783</v>
      </c>
      <c r="D2016" s="33" t="s">
        <v>894</v>
      </c>
      <c r="E2016" s="35">
        <v>44729</v>
      </c>
      <c r="F2016" s="33">
        <v>2</v>
      </c>
      <c r="G2016" s="33" t="s">
        <v>231</v>
      </c>
      <c r="H2016" s="33" t="s">
        <v>71</v>
      </c>
      <c r="I2016" s="33" t="s">
        <v>198</v>
      </c>
      <c r="J2016" s="34">
        <v>2084.63</v>
      </c>
      <c r="K2016" s="34"/>
      <c r="L2016" s="34">
        <v>2084.63</v>
      </c>
    </row>
    <row r="2017" spans="2:12" x14ac:dyDescent="0.3">
      <c r="B2017" s="25">
        <v>2026</v>
      </c>
      <c r="C2017" s="33">
        <v>2784</v>
      </c>
      <c r="D2017" s="33" t="s">
        <v>362</v>
      </c>
      <c r="E2017" s="35">
        <v>44729</v>
      </c>
      <c r="F2017" s="33">
        <v>2</v>
      </c>
      <c r="G2017" s="33" t="s">
        <v>124</v>
      </c>
      <c r="H2017" s="33" t="s">
        <v>71</v>
      </c>
      <c r="I2017" s="33" t="s">
        <v>75</v>
      </c>
      <c r="J2017" s="34">
        <v>722.95</v>
      </c>
      <c r="K2017" s="34">
        <v>80</v>
      </c>
      <c r="L2017" s="34">
        <v>642.95000000000005</v>
      </c>
    </row>
    <row r="2018" spans="2:12" x14ac:dyDescent="0.3">
      <c r="B2018" s="25">
        <v>2027</v>
      </c>
      <c r="C2018" s="33">
        <v>2805</v>
      </c>
      <c r="D2018" s="33" t="s">
        <v>1073</v>
      </c>
      <c r="E2018" s="35">
        <v>44732</v>
      </c>
      <c r="F2018" s="33">
        <v>2</v>
      </c>
      <c r="G2018" s="33" t="s">
        <v>628</v>
      </c>
      <c r="H2018" s="33" t="s">
        <v>71</v>
      </c>
      <c r="I2018" s="33" t="s">
        <v>75</v>
      </c>
      <c r="J2018" s="34">
        <v>1118.21</v>
      </c>
      <c r="K2018" s="34"/>
      <c r="L2018" s="34">
        <v>1118.21</v>
      </c>
    </row>
    <row r="2019" spans="2:12" x14ac:dyDescent="0.3">
      <c r="B2019" s="25">
        <v>2028</v>
      </c>
      <c r="C2019" s="33">
        <v>2974</v>
      </c>
      <c r="D2019" s="33" t="s">
        <v>401</v>
      </c>
      <c r="E2019" s="35">
        <v>44739</v>
      </c>
      <c r="F2019" s="33">
        <v>2</v>
      </c>
      <c r="G2019" s="33" t="s">
        <v>231</v>
      </c>
      <c r="H2019" s="33" t="s">
        <v>71</v>
      </c>
      <c r="I2019" s="33" t="s">
        <v>198</v>
      </c>
      <c r="J2019" s="34">
        <v>1299.8699999999999</v>
      </c>
      <c r="K2019" s="34"/>
      <c r="L2019" s="34">
        <v>1299.8699999999999</v>
      </c>
    </row>
    <row r="2020" spans="2:12" x14ac:dyDescent="0.3">
      <c r="B2020" s="25">
        <v>2029</v>
      </c>
      <c r="C2020" s="33">
        <v>2976</v>
      </c>
      <c r="D2020" s="33" t="s">
        <v>654</v>
      </c>
      <c r="E2020" s="35">
        <v>44739</v>
      </c>
      <c r="F2020" s="33">
        <v>2</v>
      </c>
      <c r="G2020" s="33" t="s">
        <v>628</v>
      </c>
      <c r="H2020" s="33" t="s">
        <v>71</v>
      </c>
      <c r="I2020" s="33" t="s">
        <v>75</v>
      </c>
      <c r="J2020" s="34">
        <v>180.68</v>
      </c>
      <c r="K2020" s="34"/>
      <c r="L2020" s="34">
        <v>180.68</v>
      </c>
    </row>
    <row r="2021" spans="2:12" x14ac:dyDescent="0.3">
      <c r="B2021" s="25">
        <v>2030</v>
      </c>
      <c r="C2021" s="33">
        <v>2977</v>
      </c>
      <c r="D2021" s="33" t="s">
        <v>654</v>
      </c>
      <c r="E2021" s="35">
        <v>44739</v>
      </c>
      <c r="F2021" s="33">
        <v>2</v>
      </c>
      <c r="G2021" s="33" t="s">
        <v>628</v>
      </c>
      <c r="H2021" s="33" t="s">
        <v>71</v>
      </c>
      <c r="I2021" s="33" t="s">
        <v>75</v>
      </c>
      <c r="J2021" s="34">
        <v>3442.44</v>
      </c>
      <c r="K2021" s="34"/>
      <c r="L2021" s="34">
        <v>3442.44</v>
      </c>
    </row>
    <row r="2022" spans="2:12" x14ac:dyDescent="0.3">
      <c r="B2022" s="25">
        <v>2031</v>
      </c>
      <c r="C2022" s="33">
        <v>3689</v>
      </c>
      <c r="D2022" s="33" t="s">
        <v>361</v>
      </c>
      <c r="E2022" s="35">
        <v>44722</v>
      </c>
      <c r="F2022" s="33">
        <v>2</v>
      </c>
      <c r="G2022" s="33" t="s">
        <v>124</v>
      </c>
      <c r="H2022" s="33" t="s">
        <v>71</v>
      </c>
      <c r="I2022" s="33" t="s">
        <v>197</v>
      </c>
      <c r="J2022" s="34">
        <v>499.96</v>
      </c>
      <c r="K2022" s="34">
        <v>80</v>
      </c>
      <c r="L2022" s="34">
        <v>419.96</v>
      </c>
    </row>
    <row r="2023" spans="2:12" x14ac:dyDescent="0.3">
      <c r="B2023" s="25">
        <v>2032</v>
      </c>
      <c r="C2023" s="33" t="s">
        <v>1074</v>
      </c>
      <c r="D2023" s="33" t="s">
        <v>361</v>
      </c>
      <c r="E2023" s="35">
        <v>44736</v>
      </c>
      <c r="F2023" s="33">
        <v>2</v>
      </c>
      <c r="G2023" s="33" t="s">
        <v>124</v>
      </c>
      <c r="H2023" s="33" t="s">
        <v>71</v>
      </c>
      <c r="I2023" s="33" t="s">
        <v>197</v>
      </c>
      <c r="J2023" s="34">
        <v>1273.77</v>
      </c>
      <c r="K2023" s="34"/>
      <c r="L2023" s="34">
        <v>1273.77</v>
      </c>
    </row>
    <row r="2024" spans="2:12" x14ac:dyDescent="0.3">
      <c r="B2024" s="25">
        <v>2033</v>
      </c>
      <c r="C2024" s="33">
        <v>3004</v>
      </c>
      <c r="D2024" s="33" t="s">
        <v>544</v>
      </c>
      <c r="E2024" s="35">
        <v>44741</v>
      </c>
      <c r="F2024" s="33">
        <v>2</v>
      </c>
      <c r="G2024" s="33" t="s">
        <v>122</v>
      </c>
      <c r="H2024" s="33" t="s">
        <v>71</v>
      </c>
      <c r="I2024" s="33" t="s">
        <v>196</v>
      </c>
      <c r="J2024" s="34">
        <v>5832.33</v>
      </c>
      <c r="K2024" s="34"/>
      <c r="L2024" s="34">
        <v>5832.33</v>
      </c>
    </row>
    <row r="2025" spans="2:12" x14ac:dyDescent="0.3">
      <c r="B2025" s="25">
        <v>2034</v>
      </c>
      <c r="C2025" s="33">
        <v>2804</v>
      </c>
      <c r="D2025" s="33" t="s">
        <v>1075</v>
      </c>
      <c r="E2025" s="35">
        <v>44732</v>
      </c>
      <c r="F2025" s="33">
        <v>2</v>
      </c>
      <c r="G2025" s="33" t="s">
        <v>122</v>
      </c>
      <c r="H2025" s="33" t="s">
        <v>71</v>
      </c>
      <c r="I2025" s="33" t="s">
        <v>196</v>
      </c>
      <c r="J2025" s="34">
        <v>776.1</v>
      </c>
      <c r="K2025" s="34">
        <v>80</v>
      </c>
      <c r="L2025" s="34">
        <v>696.1</v>
      </c>
    </row>
    <row r="2026" spans="2:12" x14ac:dyDescent="0.3">
      <c r="B2026" s="25">
        <v>2035</v>
      </c>
      <c r="C2026" s="33">
        <v>4011</v>
      </c>
      <c r="D2026" s="33" t="s">
        <v>550</v>
      </c>
      <c r="E2026" s="35">
        <v>44742</v>
      </c>
      <c r="F2026" s="33">
        <v>2</v>
      </c>
      <c r="G2026" s="33" t="s">
        <v>124</v>
      </c>
      <c r="H2026" s="33" t="s">
        <v>201</v>
      </c>
      <c r="I2026" s="33" t="s">
        <v>197</v>
      </c>
      <c r="J2026" s="34">
        <v>478.4</v>
      </c>
      <c r="K2026" s="34">
        <v>80</v>
      </c>
      <c r="L2026" s="34">
        <v>398.4</v>
      </c>
    </row>
    <row r="2027" spans="2:12" x14ac:dyDescent="0.3">
      <c r="B2027" s="25">
        <v>2036</v>
      </c>
      <c r="C2027" s="33">
        <v>4012</v>
      </c>
      <c r="D2027" s="33" t="s">
        <v>556</v>
      </c>
      <c r="E2027" s="35">
        <v>44742</v>
      </c>
      <c r="F2027" s="33">
        <v>2</v>
      </c>
      <c r="G2027" s="33" t="s">
        <v>124</v>
      </c>
      <c r="H2027" s="33" t="s">
        <v>201</v>
      </c>
      <c r="I2027" s="33" t="s">
        <v>197</v>
      </c>
      <c r="J2027" s="34">
        <v>2797.41</v>
      </c>
      <c r="K2027" s="34"/>
      <c r="L2027" s="34">
        <v>2797.41</v>
      </c>
    </row>
    <row r="2028" spans="2:12" x14ac:dyDescent="0.3">
      <c r="B2028" s="25">
        <v>2037</v>
      </c>
      <c r="C2028" s="33">
        <v>4017</v>
      </c>
      <c r="D2028" s="33" t="s">
        <v>411</v>
      </c>
      <c r="E2028" s="35">
        <v>44742</v>
      </c>
      <c r="F2028" s="33">
        <v>2</v>
      </c>
      <c r="G2028" s="33" t="s">
        <v>122</v>
      </c>
      <c r="H2028" s="33" t="s">
        <v>201</v>
      </c>
      <c r="I2028" s="33" t="s">
        <v>196</v>
      </c>
      <c r="J2028" s="34">
        <v>652.22</v>
      </c>
      <c r="K2028" s="34">
        <v>80</v>
      </c>
      <c r="L2028" s="34">
        <v>572.22</v>
      </c>
    </row>
    <row r="2029" spans="2:12" x14ac:dyDescent="0.3">
      <c r="B2029" s="25">
        <v>2038</v>
      </c>
      <c r="C2029" s="33">
        <v>4018</v>
      </c>
      <c r="D2029" s="33" t="s">
        <v>676</v>
      </c>
      <c r="E2029" s="35">
        <v>44742</v>
      </c>
      <c r="F2029" s="33">
        <v>2</v>
      </c>
      <c r="G2029" s="33" t="s">
        <v>124</v>
      </c>
      <c r="H2029" s="33" t="s">
        <v>201</v>
      </c>
      <c r="I2029" s="33" t="s">
        <v>197</v>
      </c>
      <c r="J2029" s="34">
        <v>8856.66</v>
      </c>
      <c r="K2029" s="34"/>
      <c r="L2029" s="34">
        <v>8856.66</v>
      </c>
    </row>
    <row r="2030" spans="2:12" x14ac:dyDescent="0.3">
      <c r="B2030" s="25">
        <v>2039</v>
      </c>
      <c r="C2030" s="33" t="s">
        <v>1076</v>
      </c>
      <c r="D2030" s="33" t="s">
        <v>1077</v>
      </c>
      <c r="E2030" s="35">
        <v>44736</v>
      </c>
      <c r="F2030" s="33">
        <v>2</v>
      </c>
      <c r="G2030" s="33" t="s">
        <v>124</v>
      </c>
      <c r="H2030" s="33" t="s">
        <v>71</v>
      </c>
      <c r="I2030" s="33" t="s">
        <v>197</v>
      </c>
      <c r="J2030" s="34">
        <v>2745</v>
      </c>
      <c r="K2030" s="34"/>
      <c r="L2030" s="34">
        <v>2745</v>
      </c>
    </row>
    <row r="2031" spans="2:12" x14ac:dyDescent="0.3">
      <c r="B2031" s="25">
        <v>2040</v>
      </c>
      <c r="C2031" s="33">
        <v>2900</v>
      </c>
      <c r="D2031" s="33" t="s">
        <v>1077</v>
      </c>
      <c r="E2031" s="35">
        <v>44735</v>
      </c>
      <c r="F2031" s="33">
        <v>2</v>
      </c>
      <c r="G2031" s="33" t="s">
        <v>122</v>
      </c>
      <c r="H2031" s="33" t="s">
        <v>71</v>
      </c>
      <c r="I2031" s="33" t="s">
        <v>196</v>
      </c>
      <c r="J2031" s="34">
        <v>1912.36</v>
      </c>
      <c r="K2031" s="34"/>
      <c r="L2031" s="34">
        <v>1912.36</v>
      </c>
    </row>
    <row r="2032" spans="2:12" x14ac:dyDescent="0.3">
      <c r="B2032" s="25">
        <v>2041</v>
      </c>
      <c r="C2032" s="33">
        <v>3126</v>
      </c>
      <c r="D2032" s="33" t="s">
        <v>1078</v>
      </c>
      <c r="E2032" s="35">
        <v>44750</v>
      </c>
      <c r="F2032" s="33">
        <v>3</v>
      </c>
      <c r="G2032" s="33" t="s">
        <v>122</v>
      </c>
      <c r="H2032" s="33" t="s">
        <v>71</v>
      </c>
      <c r="I2032" s="33" t="s">
        <v>196</v>
      </c>
      <c r="J2032" s="34">
        <v>762.78</v>
      </c>
      <c r="K2032" s="34"/>
      <c r="L2032" s="34">
        <v>762.78</v>
      </c>
    </row>
    <row r="2033" spans="2:12" x14ac:dyDescent="0.3">
      <c r="B2033" s="25">
        <v>2042</v>
      </c>
      <c r="C2033" s="33" t="s">
        <v>1079</v>
      </c>
      <c r="D2033" s="33" t="s">
        <v>1080</v>
      </c>
      <c r="E2033" s="35">
        <v>44760</v>
      </c>
      <c r="F2033" s="33">
        <v>3</v>
      </c>
      <c r="G2033" s="33" t="s">
        <v>124</v>
      </c>
      <c r="H2033" s="33" t="s">
        <v>71</v>
      </c>
      <c r="I2033" s="33" t="s">
        <v>197</v>
      </c>
      <c r="J2033" s="34">
        <v>1185.0899999999999</v>
      </c>
      <c r="K2033" s="34"/>
      <c r="L2033" s="34">
        <v>1185.0899999999999</v>
      </c>
    </row>
    <row r="2034" spans="2:12" x14ac:dyDescent="0.3">
      <c r="B2034" s="25">
        <v>2043</v>
      </c>
      <c r="C2034" s="33" t="s">
        <v>1081</v>
      </c>
      <c r="D2034" s="33" t="s">
        <v>1080</v>
      </c>
      <c r="E2034" s="35">
        <v>44749</v>
      </c>
      <c r="F2034" s="33">
        <v>3</v>
      </c>
      <c r="G2034" s="33" t="s">
        <v>122</v>
      </c>
      <c r="H2034" s="33" t="s">
        <v>71</v>
      </c>
      <c r="I2034" s="33" t="s">
        <v>196</v>
      </c>
      <c r="J2034" s="34">
        <v>849.88</v>
      </c>
      <c r="K2034" s="34"/>
      <c r="L2034" s="34">
        <v>849.88</v>
      </c>
    </row>
    <row r="2035" spans="2:12" x14ac:dyDescent="0.3">
      <c r="B2035" s="25">
        <v>2044</v>
      </c>
      <c r="C2035" s="33" t="s">
        <v>1082</v>
      </c>
      <c r="D2035" s="33" t="s">
        <v>1083</v>
      </c>
      <c r="E2035" s="35">
        <v>44734</v>
      </c>
      <c r="F2035" s="33">
        <v>2</v>
      </c>
      <c r="G2035" s="33" t="s">
        <v>124</v>
      </c>
      <c r="H2035" s="33" t="s">
        <v>71</v>
      </c>
      <c r="I2035" s="33" t="s">
        <v>197</v>
      </c>
      <c r="J2035" s="34">
        <v>1724.55</v>
      </c>
      <c r="K2035" s="34"/>
      <c r="L2035" s="34">
        <v>1724.55</v>
      </c>
    </row>
    <row r="2036" spans="2:12" x14ac:dyDescent="0.3">
      <c r="B2036" s="25">
        <v>2045</v>
      </c>
      <c r="C2036" s="33">
        <v>2611</v>
      </c>
      <c r="D2036" s="33" t="s">
        <v>1083</v>
      </c>
      <c r="E2036" s="35">
        <v>44734</v>
      </c>
      <c r="F2036" s="33">
        <v>2</v>
      </c>
      <c r="G2036" s="33" t="s">
        <v>122</v>
      </c>
      <c r="H2036" s="33" t="s">
        <v>71</v>
      </c>
      <c r="I2036" s="33" t="s">
        <v>196</v>
      </c>
      <c r="J2036" s="34">
        <v>954.75</v>
      </c>
      <c r="K2036" s="34"/>
      <c r="L2036" s="34">
        <v>954.75</v>
      </c>
    </row>
    <row r="2037" spans="2:12" x14ac:dyDescent="0.3">
      <c r="B2037" s="25">
        <v>2046</v>
      </c>
      <c r="C2037" s="33" t="s">
        <v>1084</v>
      </c>
      <c r="D2037" s="33" t="s">
        <v>1085</v>
      </c>
      <c r="E2037" s="35">
        <v>44760</v>
      </c>
      <c r="F2037" s="33">
        <v>3</v>
      </c>
      <c r="G2037" s="33" t="s">
        <v>124</v>
      </c>
      <c r="H2037" s="33" t="s">
        <v>71</v>
      </c>
      <c r="I2037" s="33" t="s">
        <v>197</v>
      </c>
      <c r="J2037" s="34">
        <v>1049.4100000000001</v>
      </c>
      <c r="K2037" s="34"/>
      <c r="L2037" s="34">
        <v>1049.4100000000001</v>
      </c>
    </row>
    <row r="2038" spans="2:12" x14ac:dyDescent="0.3">
      <c r="B2038" s="25">
        <v>2047</v>
      </c>
      <c r="C2038" s="33" t="s">
        <v>1086</v>
      </c>
      <c r="D2038" s="33" t="s">
        <v>1085</v>
      </c>
      <c r="E2038" s="35">
        <v>44749</v>
      </c>
      <c r="F2038" s="33">
        <v>3</v>
      </c>
      <c r="G2038" s="33" t="s">
        <v>122</v>
      </c>
      <c r="H2038" s="33" t="s">
        <v>71</v>
      </c>
      <c r="I2038" s="33" t="s">
        <v>196</v>
      </c>
      <c r="J2038" s="34">
        <v>707.11</v>
      </c>
      <c r="K2038" s="34"/>
      <c r="L2038" s="34">
        <v>707.11</v>
      </c>
    </row>
    <row r="2039" spans="2:12" x14ac:dyDescent="0.3">
      <c r="B2039" s="25">
        <v>2048</v>
      </c>
      <c r="C2039" s="33">
        <v>33541</v>
      </c>
      <c r="D2039" s="33" t="s">
        <v>1087</v>
      </c>
      <c r="E2039" s="35">
        <v>44700</v>
      </c>
      <c r="F2039" s="33">
        <v>2</v>
      </c>
      <c r="G2039" s="33" t="s">
        <v>122</v>
      </c>
      <c r="H2039" s="33" t="s">
        <v>72</v>
      </c>
      <c r="I2039" s="33" t="s">
        <v>196</v>
      </c>
      <c r="J2039" s="34">
        <v>2011</v>
      </c>
      <c r="K2039" s="34"/>
      <c r="L2039" s="34">
        <v>2011</v>
      </c>
    </row>
    <row r="2040" spans="2:12" x14ac:dyDescent="0.3">
      <c r="B2040" s="25">
        <v>2049</v>
      </c>
      <c r="C2040" s="33">
        <v>33640</v>
      </c>
      <c r="D2040" s="33" t="s">
        <v>639</v>
      </c>
      <c r="E2040" s="35">
        <v>44713</v>
      </c>
      <c r="F2040" s="33">
        <v>2</v>
      </c>
      <c r="G2040" s="33" t="s">
        <v>122</v>
      </c>
      <c r="H2040" s="33" t="s">
        <v>72</v>
      </c>
      <c r="I2040" s="33" t="s">
        <v>196</v>
      </c>
      <c r="J2040" s="34">
        <v>3934</v>
      </c>
      <c r="K2040" s="34"/>
      <c r="L2040" s="34">
        <v>3934</v>
      </c>
    </row>
    <row r="2041" spans="2:12" x14ac:dyDescent="0.3">
      <c r="B2041" s="25">
        <v>2050</v>
      </c>
      <c r="C2041" s="33" t="s">
        <v>1088</v>
      </c>
      <c r="D2041" s="33" t="s">
        <v>593</v>
      </c>
      <c r="E2041" s="35">
        <v>44742</v>
      </c>
      <c r="F2041" s="33">
        <v>2</v>
      </c>
      <c r="G2041" s="33" t="s">
        <v>122</v>
      </c>
      <c r="H2041" s="33" t="s">
        <v>69</v>
      </c>
      <c r="I2041" s="33" t="s">
        <v>196</v>
      </c>
      <c r="J2041" s="34">
        <v>2999</v>
      </c>
      <c r="K2041" s="34"/>
      <c r="L2041" s="34">
        <v>2999</v>
      </c>
    </row>
    <row r="2042" spans="2:12" x14ac:dyDescent="0.3">
      <c r="B2042" s="25">
        <v>2051</v>
      </c>
      <c r="C2042" s="33">
        <v>53296</v>
      </c>
      <c r="D2042" s="33" t="s">
        <v>275</v>
      </c>
      <c r="E2042" s="35">
        <v>44742</v>
      </c>
      <c r="F2042" s="33">
        <v>2</v>
      </c>
      <c r="G2042" s="33" t="s">
        <v>124</v>
      </c>
      <c r="H2042" s="33" t="s">
        <v>69</v>
      </c>
      <c r="I2042" s="33" t="s">
        <v>197</v>
      </c>
      <c r="J2042" s="34">
        <v>4720.5</v>
      </c>
      <c r="K2042" s="34"/>
      <c r="L2042" s="34">
        <v>4720.5</v>
      </c>
    </row>
    <row r="2043" spans="2:12" x14ac:dyDescent="0.3">
      <c r="B2043" s="25">
        <v>2052</v>
      </c>
      <c r="C2043" s="33" t="s">
        <v>1089</v>
      </c>
      <c r="D2043" s="33" t="s">
        <v>872</v>
      </c>
      <c r="E2043" s="35">
        <v>44753</v>
      </c>
      <c r="F2043" s="33">
        <v>3</v>
      </c>
      <c r="G2043" s="33" t="s">
        <v>231</v>
      </c>
      <c r="H2043" s="33" t="s">
        <v>629</v>
      </c>
      <c r="I2043" s="33" t="s">
        <v>198</v>
      </c>
      <c r="J2043" s="34">
        <v>5148.8</v>
      </c>
      <c r="K2043" s="34"/>
      <c r="L2043" s="34">
        <v>5148.8</v>
      </c>
    </row>
    <row r="2044" spans="2:12" x14ac:dyDescent="0.3">
      <c r="B2044" s="25">
        <v>2053</v>
      </c>
      <c r="C2044" s="33" t="s">
        <v>1090</v>
      </c>
      <c r="D2044" s="33" t="s">
        <v>788</v>
      </c>
      <c r="E2044" s="35">
        <v>44750</v>
      </c>
      <c r="F2044" s="33">
        <v>3</v>
      </c>
      <c r="G2044" s="33" t="s">
        <v>122</v>
      </c>
      <c r="H2044" s="33" t="s">
        <v>629</v>
      </c>
      <c r="I2044" s="33" t="s">
        <v>196</v>
      </c>
      <c r="J2044" s="34">
        <v>4040</v>
      </c>
      <c r="K2044" s="34"/>
      <c r="L2044" s="34">
        <v>4040</v>
      </c>
    </row>
    <row r="2045" spans="2:12" x14ac:dyDescent="0.3">
      <c r="B2045" s="25">
        <v>2054</v>
      </c>
      <c r="C2045" s="33" t="s">
        <v>1091</v>
      </c>
      <c r="D2045" s="33" t="s">
        <v>477</v>
      </c>
      <c r="E2045" s="35">
        <v>44681</v>
      </c>
      <c r="F2045" s="33">
        <v>2</v>
      </c>
      <c r="G2045" s="33" t="s">
        <v>628</v>
      </c>
      <c r="H2045" s="33" t="s">
        <v>70</v>
      </c>
      <c r="I2045" s="33" t="s">
        <v>75</v>
      </c>
      <c r="J2045" s="34">
        <v>10133.92</v>
      </c>
      <c r="K2045" s="34">
        <v>145</v>
      </c>
      <c r="L2045" s="34">
        <v>9988.92</v>
      </c>
    </row>
    <row r="2046" spans="2:12" x14ac:dyDescent="0.3">
      <c r="B2046" s="25">
        <v>2055</v>
      </c>
      <c r="C2046" s="33" t="s">
        <v>1092</v>
      </c>
      <c r="D2046" s="33" t="s">
        <v>938</v>
      </c>
      <c r="E2046" s="35">
        <v>44681</v>
      </c>
      <c r="F2046" s="33">
        <v>2</v>
      </c>
      <c r="G2046" s="33" t="s">
        <v>124</v>
      </c>
      <c r="H2046" s="33" t="s">
        <v>70</v>
      </c>
      <c r="I2046" s="33" t="s">
        <v>197</v>
      </c>
      <c r="J2046" s="34">
        <v>1760.4</v>
      </c>
      <c r="K2046" s="34"/>
      <c r="L2046" s="34">
        <v>1760.4</v>
      </c>
    </row>
    <row r="2047" spans="2:12" x14ac:dyDescent="0.3">
      <c r="B2047" s="25">
        <v>2056</v>
      </c>
      <c r="C2047" s="33" t="s">
        <v>1093</v>
      </c>
      <c r="D2047" s="33" t="s">
        <v>477</v>
      </c>
      <c r="E2047" s="35">
        <v>44681</v>
      </c>
      <c r="F2047" s="33">
        <v>2</v>
      </c>
      <c r="G2047" s="33" t="s">
        <v>628</v>
      </c>
      <c r="H2047" s="33" t="s">
        <v>70</v>
      </c>
      <c r="I2047" s="33" t="s">
        <v>75</v>
      </c>
      <c r="J2047" s="34">
        <v>1400.72</v>
      </c>
      <c r="K2047" s="34">
        <v>95</v>
      </c>
      <c r="L2047" s="34">
        <v>1305.72</v>
      </c>
    </row>
    <row r="2048" spans="2:12" x14ac:dyDescent="0.3">
      <c r="B2048" s="25">
        <v>2057</v>
      </c>
      <c r="C2048" s="33" t="s">
        <v>1094</v>
      </c>
      <c r="D2048" s="33" t="s">
        <v>909</v>
      </c>
      <c r="E2048" s="35">
        <v>44712</v>
      </c>
      <c r="F2048" s="33">
        <v>2</v>
      </c>
      <c r="G2048" s="33" t="s">
        <v>122</v>
      </c>
      <c r="H2048" s="33" t="s">
        <v>70</v>
      </c>
      <c r="I2048" s="33" t="s">
        <v>196</v>
      </c>
      <c r="J2048" s="34">
        <v>4099.2</v>
      </c>
      <c r="K2048" s="34">
        <v>195</v>
      </c>
      <c r="L2048" s="34">
        <v>3904.2</v>
      </c>
    </row>
    <row r="2049" spans="2:12" x14ac:dyDescent="0.3">
      <c r="B2049" s="25">
        <v>2058</v>
      </c>
      <c r="C2049" s="33" t="s">
        <v>1095</v>
      </c>
      <c r="D2049" s="33" t="s">
        <v>477</v>
      </c>
      <c r="E2049" s="35">
        <v>44712</v>
      </c>
      <c r="F2049" s="33">
        <v>2</v>
      </c>
      <c r="G2049" s="33" t="s">
        <v>628</v>
      </c>
      <c r="H2049" s="33" t="s">
        <v>70</v>
      </c>
      <c r="I2049" s="33" t="s">
        <v>75</v>
      </c>
      <c r="J2049" s="34">
        <v>4420.67</v>
      </c>
      <c r="K2049" s="34"/>
      <c r="L2049" s="34">
        <v>4420.67</v>
      </c>
    </row>
    <row r="2050" spans="2:12" x14ac:dyDescent="0.3">
      <c r="B2050" s="25">
        <v>2059</v>
      </c>
      <c r="C2050" s="33" t="s">
        <v>1096</v>
      </c>
      <c r="D2050" s="33" t="s">
        <v>938</v>
      </c>
      <c r="E2050" s="35">
        <v>44712</v>
      </c>
      <c r="F2050" s="33">
        <v>2</v>
      </c>
      <c r="G2050" s="33" t="s">
        <v>124</v>
      </c>
      <c r="H2050" s="33" t="s">
        <v>70</v>
      </c>
      <c r="I2050" s="33" t="s">
        <v>197</v>
      </c>
      <c r="J2050" s="34">
        <v>10575.36</v>
      </c>
      <c r="K2050" s="34"/>
      <c r="L2050" s="34">
        <v>10575.36</v>
      </c>
    </row>
    <row r="2051" spans="2:12" x14ac:dyDescent="0.3">
      <c r="B2051" s="25">
        <v>2060</v>
      </c>
      <c r="C2051" s="33" t="s">
        <v>1097</v>
      </c>
      <c r="D2051" s="33" t="s">
        <v>582</v>
      </c>
      <c r="E2051" s="35">
        <v>44712</v>
      </c>
      <c r="F2051" s="33">
        <v>2</v>
      </c>
      <c r="G2051" s="33" t="s">
        <v>628</v>
      </c>
      <c r="H2051" s="33" t="s">
        <v>70</v>
      </c>
      <c r="I2051" s="33" t="s">
        <v>75</v>
      </c>
      <c r="J2051" s="34">
        <v>1490.88</v>
      </c>
      <c r="K2051" s="34">
        <v>75</v>
      </c>
      <c r="L2051" s="34">
        <v>1415.88</v>
      </c>
    </row>
    <row r="2052" spans="2:12" x14ac:dyDescent="0.3">
      <c r="B2052" s="25">
        <v>2061</v>
      </c>
      <c r="C2052" s="33" t="s">
        <v>1098</v>
      </c>
      <c r="D2052" s="33" t="s">
        <v>1016</v>
      </c>
      <c r="E2052" s="35">
        <v>44712</v>
      </c>
      <c r="F2052" s="33">
        <v>2</v>
      </c>
      <c r="G2052" s="33" t="s">
        <v>122</v>
      </c>
      <c r="H2052" s="33" t="s">
        <v>70</v>
      </c>
      <c r="I2052" s="33" t="s">
        <v>196</v>
      </c>
      <c r="J2052" s="34">
        <v>1340.08</v>
      </c>
      <c r="K2052" s="34">
        <v>70</v>
      </c>
      <c r="L2052" s="34">
        <v>1270.08</v>
      </c>
    </row>
    <row r="2053" spans="2:12" x14ac:dyDescent="0.3">
      <c r="B2053" s="25">
        <v>2062</v>
      </c>
      <c r="C2053" s="33" t="s">
        <v>1099</v>
      </c>
      <c r="D2053" s="33" t="s">
        <v>909</v>
      </c>
      <c r="E2053" s="35">
        <v>44742</v>
      </c>
      <c r="F2053" s="33">
        <v>2</v>
      </c>
      <c r="G2053" s="33" t="s">
        <v>122</v>
      </c>
      <c r="H2053" s="33" t="s">
        <v>70</v>
      </c>
      <c r="I2053" s="33" t="s">
        <v>196</v>
      </c>
      <c r="J2053" s="34">
        <v>7532.8</v>
      </c>
      <c r="K2053" s="34">
        <v>295</v>
      </c>
      <c r="L2053" s="34">
        <v>7237.8</v>
      </c>
    </row>
    <row r="2054" spans="2:12" x14ac:dyDescent="0.3">
      <c r="B2054" s="25">
        <v>2063</v>
      </c>
      <c r="C2054" s="33" t="s">
        <v>1100</v>
      </c>
      <c r="D2054" s="33" t="s">
        <v>938</v>
      </c>
      <c r="E2054" s="35">
        <v>44742</v>
      </c>
      <c r="F2054" s="33">
        <v>2</v>
      </c>
      <c r="G2054" s="33" t="s">
        <v>124</v>
      </c>
      <c r="H2054" s="33" t="s">
        <v>70</v>
      </c>
      <c r="I2054" s="33" t="s">
        <v>197</v>
      </c>
      <c r="J2054" s="34">
        <v>17328.599999999999</v>
      </c>
      <c r="K2054" s="34"/>
      <c r="L2054" s="34">
        <v>17328.599999999999</v>
      </c>
    </row>
    <row r="2055" spans="2:12" x14ac:dyDescent="0.3">
      <c r="B2055" s="25">
        <v>2064</v>
      </c>
      <c r="C2055" s="33" t="s">
        <v>1101</v>
      </c>
      <c r="D2055" s="33" t="s">
        <v>1016</v>
      </c>
      <c r="E2055" s="35">
        <v>44742</v>
      </c>
      <c r="F2055" s="33">
        <v>2</v>
      </c>
      <c r="G2055" s="33" t="s">
        <v>122</v>
      </c>
      <c r="H2055" s="33" t="s">
        <v>70</v>
      </c>
      <c r="I2055" s="33" t="s">
        <v>196</v>
      </c>
      <c r="J2055" s="34">
        <v>1022.32</v>
      </c>
      <c r="K2055" s="34">
        <v>100</v>
      </c>
      <c r="L2055" s="34">
        <v>922.32</v>
      </c>
    </row>
    <row r="2056" spans="2:12" x14ac:dyDescent="0.3">
      <c r="B2056" s="25">
        <v>2065</v>
      </c>
      <c r="C2056" s="33">
        <v>4569</v>
      </c>
      <c r="D2056" s="33" t="s">
        <v>781</v>
      </c>
      <c r="E2056" s="35">
        <v>44701</v>
      </c>
      <c r="F2056" s="33">
        <v>2</v>
      </c>
      <c r="G2056" s="33" t="s">
        <v>628</v>
      </c>
      <c r="H2056" s="33" t="s">
        <v>630</v>
      </c>
      <c r="I2056" s="33" t="s">
        <v>75</v>
      </c>
      <c r="J2056" s="34">
        <v>1572</v>
      </c>
      <c r="K2056" s="34"/>
      <c r="L2056" s="34">
        <v>1572</v>
      </c>
    </row>
    <row r="2057" spans="2:12" x14ac:dyDescent="0.3">
      <c r="B2057" s="25">
        <v>2066</v>
      </c>
      <c r="C2057" s="33">
        <v>11303</v>
      </c>
      <c r="D2057" s="33" t="s">
        <v>1102</v>
      </c>
      <c r="E2057" s="35">
        <v>44699</v>
      </c>
      <c r="F2057" s="33">
        <v>2</v>
      </c>
      <c r="G2057" s="33" t="s">
        <v>122</v>
      </c>
      <c r="H2057" s="33">
        <v>53</v>
      </c>
      <c r="I2057" s="33" t="s">
        <v>196</v>
      </c>
      <c r="J2057" s="34">
        <v>1352.81</v>
      </c>
      <c r="K2057" s="34"/>
      <c r="L2057" s="34">
        <v>1352.81</v>
      </c>
    </row>
    <row r="2058" spans="2:12" x14ac:dyDescent="0.3">
      <c r="B2058" s="25">
        <v>2067</v>
      </c>
      <c r="C2058" s="33">
        <v>11304</v>
      </c>
      <c r="D2058" s="33" t="s">
        <v>1103</v>
      </c>
      <c r="E2058" s="35">
        <v>44699</v>
      </c>
      <c r="F2058" s="33">
        <v>2</v>
      </c>
      <c r="G2058" s="33" t="s">
        <v>122</v>
      </c>
      <c r="H2058" s="33">
        <v>53</v>
      </c>
      <c r="I2058" s="33" t="s">
        <v>196</v>
      </c>
      <c r="J2058" s="34">
        <v>2038.21</v>
      </c>
      <c r="K2058" s="34"/>
      <c r="L2058" s="34">
        <v>2038.21</v>
      </c>
    </row>
    <row r="2059" spans="2:12" x14ac:dyDescent="0.3">
      <c r="B2059" s="25">
        <v>2068</v>
      </c>
      <c r="C2059" s="33">
        <v>11305</v>
      </c>
      <c r="D2059" s="33" t="s">
        <v>1102</v>
      </c>
      <c r="E2059" s="35">
        <v>44699</v>
      </c>
      <c r="F2059" s="33">
        <v>2</v>
      </c>
      <c r="G2059" s="33" t="s">
        <v>122</v>
      </c>
      <c r="H2059" s="33">
        <v>53</v>
      </c>
      <c r="I2059" s="33" t="s">
        <v>196</v>
      </c>
      <c r="J2059" s="34">
        <v>876.3</v>
      </c>
      <c r="K2059" s="34"/>
      <c r="L2059" s="34">
        <v>876.3</v>
      </c>
    </row>
    <row r="2060" spans="2:12" x14ac:dyDescent="0.3">
      <c r="B2060" s="25">
        <v>2069</v>
      </c>
      <c r="C2060" s="33">
        <v>11306</v>
      </c>
      <c r="D2060" s="33" t="s">
        <v>1102</v>
      </c>
      <c r="E2060" s="35">
        <v>44699</v>
      </c>
      <c r="F2060" s="33">
        <v>2</v>
      </c>
      <c r="G2060" s="33" t="s">
        <v>122</v>
      </c>
      <c r="H2060" s="33">
        <v>53</v>
      </c>
      <c r="I2060" s="33" t="s">
        <v>196</v>
      </c>
      <c r="J2060" s="34">
        <v>3341.85</v>
      </c>
      <c r="K2060" s="34"/>
      <c r="L2060" s="34">
        <v>3341.85</v>
      </c>
    </row>
    <row r="2061" spans="2:12" x14ac:dyDescent="0.3">
      <c r="B2061" s="25">
        <v>2070</v>
      </c>
      <c r="C2061" s="33">
        <v>11307</v>
      </c>
      <c r="D2061" s="33" t="s">
        <v>1102</v>
      </c>
      <c r="E2061" s="35">
        <v>44699</v>
      </c>
      <c r="F2061" s="33">
        <v>2</v>
      </c>
      <c r="G2061" s="33" t="s">
        <v>122</v>
      </c>
      <c r="H2061" s="33">
        <v>53</v>
      </c>
      <c r="I2061" s="33" t="s">
        <v>196</v>
      </c>
      <c r="J2061" s="34">
        <v>876.3</v>
      </c>
      <c r="K2061" s="34"/>
      <c r="L2061" s="34">
        <v>876.3</v>
      </c>
    </row>
    <row r="2062" spans="2:12" x14ac:dyDescent="0.3">
      <c r="B2062" s="25">
        <v>2071</v>
      </c>
      <c r="C2062" s="33">
        <v>11308</v>
      </c>
      <c r="D2062" s="33" t="s">
        <v>1102</v>
      </c>
      <c r="E2062" s="35">
        <v>44699</v>
      </c>
      <c r="F2062" s="33">
        <v>2</v>
      </c>
      <c r="G2062" s="33" t="s">
        <v>122</v>
      </c>
      <c r="H2062" s="33">
        <v>53</v>
      </c>
      <c r="I2062" s="33" t="s">
        <v>196</v>
      </c>
      <c r="J2062" s="34">
        <v>3341.85</v>
      </c>
      <c r="K2062" s="34"/>
      <c r="L2062" s="34">
        <v>3341.85</v>
      </c>
    </row>
    <row r="2063" spans="2:12" x14ac:dyDescent="0.3">
      <c r="B2063" s="25">
        <v>2072</v>
      </c>
      <c r="C2063" s="33">
        <v>11309</v>
      </c>
      <c r="D2063" s="33" t="s">
        <v>1102</v>
      </c>
      <c r="E2063" s="35">
        <v>44699</v>
      </c>
      <c r="F2063" s="33">
        <v>2</v>
      </c>
      <c r="G2063" s="33" t="s">
        <v>122</v>
      </c>
      <c r="H2063" s="33">
        <v>53</v>
      </c>
      <c r="I2063" s="33" t="s">
        <v>196</v>
      </c>
      <c r="J2063" s="34">
        <v>1646.53</v>
      </c>
      <c r="K2063" s="34"/>
      <c r="L2063" s="34">
        <v>1646.53</v>
      </c>
    </row>
    <row r="2064" spans="2:12" x14ac:dyDescent="0.3">
      <c r="B2064" s="25">
        <v>2073</v>
      </c>
      <c r="C2064" s="33">
        <v>11310</v>
      </c>
      <c r="D2064" s="33" t="s">
        <v>1102</v>
      </c>
      <c r="E2064" s="35">
        <v>44699</v>
      </c>
      <c r="F2064" s="33">
        <v>2</v>
      </c>
      <c r="G2064" s="33" t="s">
        <v>122</v>
      </c>
      <c r="H2064" s="33">
        <v>53</v>
      </c>
      <c r="I2064" s="33" t="s">
        <v>196</v>
      </c>
      <c r="J2064" s="34">
        <v>1646.53</v>
      </c>
      <c r="K2064" s="34"/>
      <c r="L2064" s="34">
        <v>1646.53</v>
      </c>
    </row>
    <row r="2065" spans="2:12" x14ac:dyDescent="0.3">
      <c r="B2065" s="25">
        <v>2074</v>
      </c>
      <c r="C2065" s="33">
        <v>11311</v>
      </c>
      <c r="D2065" s="33" t="s">
        <v>1102</v>
      </c>
      <c r="E2065" s="35">
        <v>44699</v>
      </c>
      <c r="F2065" s="33">
        <v>2</v>
      </c>
      <c r="G2065" s="33" t="s">
        <v>122</v>
      </c>
      <c r="H2065" s="33">
        <v>53</v>
      </c>
      <c r="I2065" s="33" t="s">
        <v>196</v>
      </c>
      <c r="J2065" s="34">
        <v>1314.45</v>
      </c>
      <c r="K2065" s="34"/>
      <c r="L2065" s="34">
        <v>1314.45</v>
      </c>
    </row>
    <row r="2066" spans="2:12" x14ac:dyDescent="0.3">
      <c r="B2066" s="25">
        <v>2075</v>
      </c>
      <c r="C2066" s="33">
        <v>11312</v>
      </c>
      <c r="D2066" s="33" t="s">
        <v>1102</v>
      </c>
      <c r="E2066" s="35">
        <v>44699</v>
      </c>
      <c r="F2066" s="33">
        <v>2</v>
      </c>
      <c r="G2066" s="33" t="s">
        <v>122</v>
      </c>
      <c r="H2066" s="33">
        <v>53</v>
      </c>
      <c r="I2066" s="33" t="s">
        <v>196</v>
      </c>
      <c r="J2066" s="34">
        <v>1474.18</v>
      </c>
      <c r="K2066" s="34"/>
      <c r="L2066" s="34">
        <v>1474.18</v>
      </c>
    </row>
    <row r="2067" spans="2:12" x14ac:dyDescent="0.3">
      <c r="B2067" s="25">
        <v>2076</v>
      </c>
      <c r="C2067" s="33">
        <v>11313</v>
      </c>
      <c r="D2067" s="33" t="s">
        <v>1102</v>
      </c>
      <c r="E2067" s="35">
        <v>44699</v>
      </c>
      <c r="F2067" s="33">
        <v>2</v>
      </c>
      <c r="G2067" s="33" t="s">
        <v>122</v>
      </c>
      <c r="H2067" s="33">
        <v>53</v>
      </c>
      <c r="I2067" s="33" t="s">
        <v>196</v>
      </c>
      <c r="J2067" s="34">
        <v>1352.81</v>
      </c>
      <c r="K2067" s="34"/>
      <c r="L2067" s="34">
        <v>1352.81</v>
      </c>
    </row>
    <row r="2068" spans="2:12" x14ac:dyDescent="0.3">
      <c r="B2068" s="25">
        <v>2077</v>
      </c>
      <c r="C2068" s="33">
        <v>11314</v>
      </c>
      <c r="D2068" s="33" t="s">
        <v>1102</v>
      </c>
      <c r="E2068" s="35">
        <v>44699</v>
      </c>
      <c r="F2068" s="33">
        <v>2</v>
      </c>
      <c r="G2068" s="33" t="s">
        <v>122</v>
      </c>
      <c r="H2068" s="33">
        <v>53</v>
      </c>
      <c r="I2068" s="33" t="s">
        <v>196</v>
      </c>
      <c r="J2068" s="34">
        <v>1978.64</v>
      </c>
      <c r="K2068" s="34"/>
      <c r="L2068" s="34">
        <v>1978.64</v>
      </c>
    </row>
    <row r="2069" spans="2:12" x14ac:dyDescent="0.3">
      <c r="B2069" s="25">
        <v>2078</v>
      </c>
      <c r="C2069" s="33">
        <v>11315</v>
      </c>
      <c r="D2069" s="33" t="s">
        <v>1102</v>
      </c>
      <c r="E2069" s="35">
        <v>44699</v>
      </c>
      <c r="F2069" s="33">
        <v>2</v>
      </c>
      <c r="G2069" s="33" t="s">
        <v>122</v>
      </c>
      <c r="H2069" s="33">
        <v>53</v>
      </c>
      <c r="I2069" s="33" t="s">
        <v>196</v>
      </c>
      <c r="J2069" s="34">
        <v>1352.81</v>
      </c>
      <c r="K2069" s="34"/>
      <c r="L2069" s="34">
        <v>1352.81</v>
      </c>
    </row>
    <row r="2070" spans="2:12" x14ac:dyDescent="0.3">
      <c r="B2070" s="25">
        <v>2079</v>
      </c>
      <c r="C2070" s="33">
        <v>11316</v>
      </c>
      <c r="D2070" s="33" t="s">
        <v>1102</v>
      </c>
      <c r="E2070" s="35">
        <v>44699</v>
      </c>
      <c r="F2070" s="33">
        <v>2</v>
      </c>
      <c r="G2070" s="33" t="s">
        <v>122</v>
      </c>
      <c r="H2070" s="33">
        <v>53</v>
      </c>
      <c r="I2070" s="33" t="s">
        <v>196</v>
      </c>
      <c r="J2070" s="34">
        <v>2016.54</v>
      </c>
      <c r="K2070" s="34"/>
      <c r="L2070" s="34">
        <v>2016.54</v>
      </c>
    </row>
    <row r="2071" spans="2:12" x14ac:dyDescent="0.3">
      <c r="B2071" s="25">
        <v>2080</v>
      </c>
      <c r="C2071" s="33">
        <v>11317</v>
      </c>
      <c r="D2071" s="33" t="s">
        <v>1102</v>
      </c>
      <c r="E2071" s="35">
        <v>44699</v>
      </c>
      <c r="F2071" s="33">
        <v>2</v>
      </c>
      <c r="G2071" s="33" t="s">
        <v>122</v>
      </c>
      <c r="H2071" s="33">
        <v>53</v>
      </c>
      <c r="I2071" s="33" t="s">
        <v>196</v>
      </c>
      <c r="J2071" s="34">
        <v>1314.45</v>
      </c>
      <c r="K2071" s="34"/>
      <c r="L2071" s="34">
        <v>1314.45</v>
      </c>
    </row>
    <row r="2072" spans="2:12" x14ac:dyDescent="0.3">
      <c r="B2072" s="25">
        <v>2081</v>
      </c>
      <c r="C2072" s="33">
        <v>11318</v>
      </c>
      <c r="D2072" s="33" t="s">
        <v>1102</v>
      </c>
      <c r="E2072" s="35">
        <v>44699</v>
      </c>
      <c r="F2072" s="33">
        <v>2</v>
      </c>
      <c r="G2072" s="33" t="s">
        <v>122</v>
      </c>
      <c r="H2072" s="33">
        <v>53</v>
      </c>
      <c r="I2072" s="33" t="s">
        <v>196</v>
      </c>
      <c r="J2072" s="34">
        <v>1496.26</v>
      </c>
      <c r="K2072" s="34"/>
      <c r="L2072" s="34">
        <v>1496.26</v>
      </c>
    </row>
    <row r="2073" spans="2:12" x14ac:dyDescent="0.3">
      <c r="B2073" s="25">
        <v>2082</v>
      </c>
      <c r="C2073" s="33">
        <v>11319</v>
      </c>
      <c r="D2073" s="33" t="s">
        <v>1102</v>
      </c>
      <c r="E2073" s="35">
        <v>44699</v>
      </c>
      <c r="F2073" s="33">
        <v>2</v>
      </c>
      <c r="G2073" s="33" t="s">
        <v>122</v>
      </c>
      <c r="H2073" s="33">
        <v>53</v>
      </c>
      <c r="I2073" s="33" t="s">
        <v>196</v>
      </c>
      <c r="J2073" s="34">
        <v>1496.26</v>
      </c>
      <c r="K2073" s="34"/>
      <c r="L2073" s="34">
        <v>1496.26</v>
      </c>
    </row>
    <row r="2074" spans="2:12" x14ac:dyDescent="0.3">
      <c r="B2074" s="25">
        <v>2083</v>
      </c>
      <c r="C2074" s="33">
        <v>11320</v>
      </c>
      <c r="D2074" s="33" t="s">
        <v>1102</v>
      </c>
      <c r="E2074" s="35">
        <v>44699</v>
      </c>
      <c r="F2074" s="33">
        <v>2</v>
      </c>
      <c r="G2074" s="33" t="s">
        <v>122</v>
      </c>
      <c r="H2074" s="33">
        <v>53</v>
      </c>
      <c r="I2074" s="33" t="s">
        <v>196</v>
      </c>
      <c r="J2074" s="34">
        <v>1314.45</v>
      </c>
      <c r="K2074" s="34"/>
      <c r="L2074" s="34">
        <v>1314.45</v>
      </c>
    </row>
    <row r="2075" spans="2:12" x14ac:dyDescent="0.3">
      <c r="B2075" s="25">
        <v>2084</v>
      </c>
      <c r="C2075" s="33">
        <v>11321</v>
      </c>
      <c r="D2075" s="33" t="s">
        <v>1102</v>
      </c>
      <c r="E2075" s="35">
        <v>44699</v>
      </c>
      <c r="F2075" s="33">
        <v>2</v>
      </c>
      <c r="G2075" s="33" t="s">
        <v>122</v>
      </c>
      <c r="H2075" s="33">
        <v>53</v>
      </c>
      <c r="I2075" s="33" t="s">
        <v>196</v>
      </c>
      <c r="J2075" s="34">
        <v>350.14</v>
      </c>
      <c r="K2075" s="34"/>
      <c r="L2075" s="34">
        <v>350.14</v>
      </c>
    </row>
    <row r="2076" spans="2:12" x14ac:dyDescent="0.3">
      <c r="B2076" s="25">
        <v>2085</v>
      </c>
      <c r="C2076" s="33">
        <v>11322</v>
      </c>
      <c r="D2076" s="33" t="s">
        <v>1102</v>
      </c>
      <c r="E2076" s="35">
        <v>44699</v>
      </c>
      <c r="F2076" s="33">
        <v>2</v>
      </c>
      <c r="G2076" s="33" t="s">
        <v>122</v>
      </c>
      <c r="H2076" s="33">
        <v>53</v>
      </c>
      <c r="I2076" s="33" t="s">
        <v>196</v>
      </c>
      <c r="J2076" s="34">
        <v>979.18</v>
      </c>
      <c r="K2076" s="34"/>
      <c r="L2076" s="34">
        <v>979.18</v>
      </c>
    </row>
    <row r="2077" spans="2:12" x14ac:dyDescent="0.3">
      <c r="B2077" s="25">
        <v>2086</v>
      </c>
      <c r="C2077" s="33">
        <v>11323</v>
      </c>
      <c r="D2077" s="33" t="s">
        <v>1102</v>
      </c>
      <c r="E2077" s="35">
        <v>44699</v>
      </c>
      <c r="F2077" s="33">
        <v>2</v>
      </c>
      <c r="G2077" s="33" t="s">
        <v>122</v>
      </c>
      <c r="H2077" s="33">
        <v>53</v>
      </c>
      <c r="I2077" s="33" t="s">
        <v>196</v>
      </c>
      <c r="J2077" s="34">
        <v>402.06</v>
      </c>
      <c r="K2077" s="34"/>
      <c r="L2077" s="34">
        <v>402.06</v>
      </c>
    </row>
    <row r="2078" spans="2:12" x14ac:dyDescent="0.3">
      <c r="B2078" s="25">
        <v>2087</v>
      </c>
      <c r="C2078" s="33">
        <v>11324</v>
      </c>
      <c r="D2078" s="33" t="s">
        <v>1102</v>
      </c>
      <c r="E2078" s="35">
        <v>44699</v>
      </c>
      <c r="F2078" s="33">
        <v>2</v>
      </c>
      <c r="G2078" s="33" t="s">
        <v>122</v>
      </c>
      <c r="H2078" s="33">
        <v>53</v>
      </c>
      <c r="I2078" s="33" t="s">
        <v>196</v>
      </c>
      <c r="J2078" s="34">
        <v>979.18</v>
      </c>
      <c r="K2078" s="34"/>
      <c r="L2078" s="34">
        <v>979.18</v>
      </c>
    </row>
    <row r="2079" spans="2:12" x14ac:dyDescent="0.3">
      <c r="B2079" s="25">
        <v>2088</v>
      </c>
      <c r="C2079" s="33">
        <v>11483</v>
      </c>
      <c r="D2079" s="33" t="s">
        <v>1102</v>
      </c>
      <c r="E2079" s="35">
        <v>44700</v>
      </c>
      <c r="F2079" s="33">
        <v>2</v>
      </c>
      <c r="G2079" s="33" t="s">
        <v>122</v>
      </c>
      <c r="H2079" s="33">
        <v>53</v>
      </c>
      <c r="I2079" s="33" t="s">
        <v>196</v>
      </c>
      <c r="J2079" s="34">
        <v>281.10000000000002</v>
      </c>
      <c r="K2079" s="34"/>
      <c r="L2079" s="34">
        <v>281.10000000000002</v>
      </c>
    </row>
    <row r="2080" spans="2:12" x14ac:dyDescent="0.3">
      <c r="B2080" s="25">
        <v>2089</v>
      </c>
      <c r="C2080" s="33">
        <v>11484</v>
      </c>
      <c r="D2080" s="33" t="s">
        <v>1102</v>
      </c>
      <c r="E2080" s="35">
        <v>44700</v>
      </c>
      <c r="F2080" s="33">
        <v>2</v>
      </c>
      <c r="G2080" s="33" t="s">
        <v>122</v>
      </c>
      <c r="H2080" s="33">
        <v>53</v>
      </c>
      <c r="I2080" s="33" t="s">
        <v>196</v>
      </c>
      <c r="J2080" s="34">
        <v>509.44</v>
      </c>
      <c r="K2080" s="34"/>
      <c r="L2080" s="34">
        <v>509.44</v>
      </c>
    </row>
    <row r="2081" spans="2:12" x14ac:dyDescent="0.3">
      <c r="B2081" s="25">
        <v>2090</v>
      </c>
      <c r="C2081" s="33">
        <v>11485</v>
      </c>
      <c r="D2081" s="33" t="s">
        <v>1102</v>
      </c>
      <c r="E2081" s="35">
        <v>44700</v>
      </c>
      <c r="F2081" s="33">
        <v>2</v>
      </c>
      <c r="G2081" s="33" t="s">
        <v>122</v>
      </c>
      <c r="H2081" s="33">
        <v>53</v>
      </c>
      <c r="I2081" s="33" t="s">
        <v>196</v>
      </c>
      <c r="J2081" s="34">
        <v>1474.16</v>
      </c>
      <c r="K2081" s="34"/>
      <c r="L2081" s="34">
        <v>1474.16</v>
      </c>
    </row>
    <row r="2082" spans="2:12" x14ac:dyDescent="0.3">
      <c r="B2082" s="25">
        <v>2091</v>
      </c>
      <c r="C2082" s="33">
        <v>11486</v>
      </c>
      <c r="D2082" s="33" t="s">
        <v>1102</v>
      </c>
      <c r="E2082" s="35">
        <v>44700</v>
      </c>
      <c r="F2082" s="33">
        <v>2</v>
      </c>
      <c r="G2082" s="33" t="s">
        <v>122</v>
      </c>
      <c r="H2082" s="33">
        <v>53</v>
      </c>
      <c r="I2082" s="33" t="s">
        <v>196</v>
      </c>
      <c r="J2082" s="34">
        <v>1314.45</v>
      </c>
      <c r="K2082" s="34"/>
      <c r="L2082" s="34">
        <v>1314.45</v>
      </c>
    </row>
    <row r="2083" spans="2:12" x14ac:dyDescent="0.3">
      <c r="B2083" s="25">
        <v>2092</v>
      </c>
      <c r="C2083" s="33">
        <v>11487</v>
      </c>
      <c r="D2083" s="33" t="s">
        <v>1102</v>
      </c>
      <c r="E2083" s="35">
        <v>44700</v>
      </c>
      <c r="F2083" s="33">
        <v>2</v>
      </c>
      <c r="G2083" s="33" t="s">
        <v>122</v>
      </c>
      <c r="H2083" s="33">
        <v>53</v>
      </c>
      <c r="I2083" s="33" t="s">
        <v>196</v>
      </c>
      <c r="J2083" s="34">
        <v>1314.45</v>
      </c>
      <c r="K2083" s="34"/>
      <c r="L2083" s="34">
        <v>1314.45</v>
      </c>
    </row>
    <row r="2084" spans="2:12" x14ac:dyDescent="0.3">
      <c r="B2084" s="25">
        <v>2093</v>
      </c>
      <c r="C2084" s="33">
        <v>11488</v>
      </c>
      <c r="D2084" s="33" t="s">
        <v>1102</v>
      </c>
      <c r="E2084" s="35">
        <v>44700</v>
      </c>
      <c r="F2084" s="33">
        <v>2</v>
      </c>
      <c r="G2084" s="33" t="s">
        <v>122</v>
      </c>
      <c r="H2084" s="33">
        <v>53</v>
      </c>
      <c r="I2084" s="33" t="s">
        <v>196</v>
      </c>
      <c r="J2084" s="34">
        <v>1474.16</v>
      </c>
      <c r="K2084" s="34"/>
      <c r="L2084" s="34">
        <v>1474.16</v>
      </c>
    </row>
    <row r="2085" spans="2:12" x14ac:dyDescent="0.3">
      <c r="B2085" s="25">
        <v>2094</v>
      </c>
      <c r="C2085" s="33">
        <v>11489</v>
      </c>
      <c r="D2085" s="33" t="s">
        <v>1102</v>
      </c>
      <c r="E2085" s="35">
        <v>44700</v>
      </c>
      <c r="F2085" s="33">
        <v>2</v>
      </c>
      <c r="G2085" s="33" t="s">
        <v>122</v>
      </c>
      <c r="H2085" s="33">
        <v>53</v>
      </c>
      <c r="I2085" s="33" t="s">
        <v>196</v>
      </c>
      <c r="J2085" s="34">
        <v>2018.33</v>
      </c>
      <c r="K2085" s="34"/>
      <c r="L2085" s="34">
        <v>2018.33</v>
      </c>
    </row>
    <row r="2086" spans="2:12" x14ac:dyDescent="0.3">
      <c r="B2086" s="25">
        <v>2095</v>
      </c>
      <c r="C2086" s="33">
        <v>11490</v>
      </c>
      <c r="D2086" s="33" t="s">
        <v>1102</v>
      </c>
      <c r="E2086" s="35">
        <v>44700</v>
      </c>
      <c r="F2086" s="33">
        <v>2</v>
      </c>
      <c r="G2086" s="33" t="s">
        <v>122</v>
      </c>
      <c r="H2086" s="33">
        <v>53</v>
      </c>
      <c r="I2086" s="33" t="s">
        <v>196</v>
      </c>
      <c r="J2086" s="34">
        <v>1352.81</v>
      </c>
      <c r="K2086" s="34"/>
      <c r="L2086" s="34">
        <v>1352.81</v>
      </c>
    </row>
    <row r="2087" spans="2:12" x14ac:dyDescent="0.3">
      <c r="B2087" s="25">
        <v>2096</v>
      </c>
      <c r="C2087" s="33">
        <v>11491</v>
      </c>
      <c r="D2087" s="33" t="s">
        <v>1102</v>
      </c>
      <c r="E2087" s="35">
        <v>44700</v>
      </c>
      <c r="F2087" s="33">
        <v>2</v>
      </c>
      <c r="G2087" s="33" t="s">
        <v>122</v>
      </c>
      <c r="H2087" s="33">
        <v>53</v>
      </c>
      <c r="I2087" s="33" t="s">
        <v>196</v>
      </c>
      <c r="J2087" s="34">
        <v>1352.81</v>
      </c>
      <c r="K2087" s="34"/>
      <c r="L2087" s="34">
        <v>1352.81</v>
      </c>
    </row>
    <row r="2088" spans="2:12" x14ac:dyDescent="0.3">
      <c r="B2088" s="25">
        <v>2097</v>
      </c>
      <c r="C2088" s="33">
        <v>11492</v>
      </c>
      <c r="D2088" s="33" t="s">
        <v>1102</v>
      </c>
      <c r="E2088" s="35">
        <v>44700</v>
      </c>
      <c r="F2088" s="33">
        <v>2</v>
      </c>
      <c r="G2088" s="33" t="s">
        <v>122</v>
      </c>
      <c r="H2088" s="33">
        <v>53</v>
      </c>
      <c r="I2088" s="33" t="s">
        <v>196</v>
      </c>
      <c r="J2088" s="34">
        <v>2091.89</v>
      </c>
      <c r="K2088" s="34"/>
      <c r="L2088" s="34">
        <v>2091.89</v>
      </c>
    </row>
    <row r="2089" spans="2:12" x14ac:dyDescent="0.3">
      <c r="B2089" s="25">
        <v>2098</v>
      </c>
      <c r="C2089" s="33">
        <v>11493</v>
      </c>
      <c r="D2089" s="33" t="s">
        <v>1102</v>
      </c>
      <c r="E2089" s="35">
        <v>44700</v>
      </c>
      <c r="F2089" s="33">
        <v>2</v>
      </c>
      <c r="G2089" s="33" t="s">
        <v>122</v>
      </c>
      <c r="H2089" s="33">
        <v>53</v>
      </c>
      <c r="I2089" s="33" t="s">
        <v>196</v>
      </c>
      <c r="J2089" s="34">
        <v>1352.81</v>
      </c>
      <c r="K2089" s="34"/>
      <c r="L2089" s="34">
        <v>1352.81</v>
      </c>
    </row>
    <row r="2090" spans="2:12" x14ac:dyDescent="0.3">
      <c r="B2090" s="25">
        <v>2099</v>
      </c>
      <c r="C2090" s="33">
        <v>11494</v>
      </c>
      <c r="D2090" s="33" t="s">
        <v>1102</v>
      </c>
      <c r="E2090" s="35">
        <v>44700</v>
      </c>
      <c r="F2090" s="33">
        <v>2</v>
      </c>
      <c r="G2090" s="33" t="s">
        <v>122</v>
      </c>
      <c r="H2090" s="33">
        <v>53</v>
      </c>
      <c r="I2090" s="33" t="s">
        <v>196</v>
      </c>
      <c r="J2090" s="34">
        <v>2060.31</v>
      </c>
      <c r="K2090" s="34"/>
      <c r="L2090" s="34">
        <v>2060.31</v>
      </c>
    </row>
    <row r="2091" spans="2:12" x14ac:dyDescent="0.3">
      <c r="B2091" s="25">
        <v>2100</v>
      </c>
      <c r="C2091" s="33">
        <v>11495</v>
      </c>
      <c r="D2091" s="33" t="s">
        <v>1102</v>
      </c>
      <c r="E2091" s="35">
        <v>44700</v>
      </c>
      <c r="F2091" s="33">
        <v>2</v>
      </c>
      <c r="G2091" s="33" t="s">
        <v>122</v>
      </c>
      <c r="H2091" s="33">
        <v>53</v>
      </c>
      <c r="I2091" s="33" t="s">
        <v>196</v>
      </c>
      <c r="J2091" s="34">
        <v>356.03</v>
      </c>
      <c r="K2091" s="34"/>
      <c r="L2091" s="34">
        <v>356.03</v>
      </c>
    </row>
    <row r="2092" spans="2:12" x14ac:dyDescent="0.3">
      <c r="B2092" s="25">
        <v>2101</v>
      </c>
      <c r="C2092" s="33">
        <v>11496</v>
      </c>
      <c r="D2092" s="33" t="s">
        <v>1103</v>
      </c>
      <c r="E2092" s="35">
        <v>44700</v>
      </c>
      <c r="F2092" s="33">
        <v>2</v>
      </c>
      <c r="G2092" s="33" t="s">
        <v>122</v>
      </c>
      <c r="H2092" s="33">
        <v>53</v>
      </c>
      <c r="I2092" s="33" t="s">
        <v>196</v>
      </c>
      <c r="J2092" s="34">
        <v>1330.27</v>
      </c>
      <c r="K2092" s="34"/>
      <c r="L2092" s="34">
        <v>1330.27</v>
      </c>
    </row>
    <row r="2093" spans="2:12" x14ac:dyDescent="0.3">
      <c r="B2093" s="25">
        <v>2102</v>
      </c>
      <c r="C2093" s="33">
        <v>11497</v>
      </c>
      <c r="D2093" s="33" t="s">
        <v>1102</v>
      </c>
      <c r="E2093" s="35">
        <v>44700</v>
      </c>
      <c r="F2093" s="33">
        <v>2</v>
      </c>
      <c r="G2093" s="33" t="s">
        <v>122</v>
      </c>
      <c r="H2093" s="33">
        <v>53</v>
      </c>
      <c r="I2093" s="33" t="s">
        <v>196</v>
      </c>
      <c r="J2093" s="34">
        <v>445.37</v>
      </c>
      <c r="K2093" s="34"/>
      <c r="L2093" s="34">
        <v>445.37</v>
      </c>
    </row>
    <row r="2094" spans="2:12" x14ac:dyDescent="0.3">
      <c r="B2094" s="25">
        <v>2103</v>
      </c>
      <c r="C2094" s="33">
        <v>11498</v>
      </c>
      <c r="D2094" s="33" t="s">
        <v>1102</v>
      </c>
      <c r="E2094" s="35">
        <v>44700</v>
      </c>
      <c r="F2094" s="33">
        <v>2</v>
      </c>
      <c r="G2094" s="33" t="s">
        <v>122</v>
      </c>
      <c r="H2094" s="33">
        <v>53</v>
      </c>
      <c r="I2094" s="33" t="s">
        <v>196</v>
      </c>
      <c r="J2094" s="34">
        <v>3589.14</v>
      </c>
      <c r="K2094" s="34"/>
      <c r="L2094" s="34">
        <v>3589.14</v>
      </c>
    </row>
    <row r="2095" spans="2:12" x14ac:dyDescent="0.3">
      <c r="B2095" s="25">
        <v>2104</v>
      </c>
      <c r="C2095" s="33">
        <v>11499</v>
      </c>
      <c r="D2095" s="33" t="s">
        <v>1102</v>
      </c>
      <c r="E2095" s="35">
        <v>44700</v>
      </c>
      <c r="F2095" s="33">
        <v>2</v>
      </c>
      <c r="G2095" s="33" t="s">
        <v>122</v>
      </c>
      <c r="H2095" s="33">
        <v>53</v>
      </c>
      <c r="I2095" s="33" t="s">
        <v>196</v>
      </c>
      <c r="J2095" s="34">
        <v>876.3</v>
      </c>
      <c r="K2095" s="34"/>
      <c r="L2095" s="34">
        <v>876.3</v>
      </c>
    </row>
    <row r="2096" spans="2:12" x14ac:dyDescent="0.3">
      <c r="B2096" s="25">
        <v>2105</v>
      </c>
      <c r="C2096" s="33">
        <v>11500</v>
      </c>
      <c r="D2096" s="33" t="s">
        <v>1102</v>
      </c>
      <c r="E2096" s="35">
        <v>44700</v>
      </c>
      <c r="F2096" s="33">
        <v>2</v>
      </c>
      <c r="G2096" s="33" t="s">
        <v>122</v>
      </c>
      <c r="H2096" s="33">
        <v>53</v>
      </c>
      <c r="I2096" s="33" t="s">
        <v>196</v>
      </c>
      <c r="J2096" s="34">
        <v>3341.87</v>
      </c>
      <c r="K2096" s="34"/>
      <c r="L2096" s="34">
        <v>3341.87</v>
      </c>
    </row>
    <row r="2097" spans="2:12" x14ac:dyDescent="0.3">
      <c r="B2097" s="25">
        <v>2106</v>
      </c>
      <c r="C2097" s="33">
        <v>11501</v>
      </c>
      <c r="D2097" s="33" t="s">
        <v>1102</v>
      </c>
      <c r="E2097" s="35">
        <v>44700</v>
      </c>
      <c r="F2097" s="33">
        <v>2</v>
      </c>
      <c r="G2097" s="33" t="s">
        <v>122</v>
      </c>
      <c r="H2097" s="33">
        <v>53</v>
      </c>
      <c r="I2097" s="33" t="s">
        <v>196</v>
      </c>
      <c r="J2097" s="34">
        <v>2038.21</v>
      </c>
      <c r="K2097" s="34"/>
      <c r="L2097" s="34">
        <v>2038.21</v>
      </c>
    </row>
    <row r="2098" spans="2:12" x14ac:dyDescent="0.3">
      <c r="B2098" s="25">
        <v>2107</v>
      </c>
      <c r="C2098" s="33">
        <v>11502</v>
      </c>
      <c r="D2098" s="33" t="s">
        <v>1102</v>
      </c>
      <c r="E2098" s="35">
        <v>44700</v>
      </c>
      <c r="F2098" s="33">
        <v>2</v>
      </c>
      <c r="G2098" s="33" t="s">
        <v>122</v>
      </c>
      <c r="H2098" s="33">
        <v>53</v>
      </c>
      <c r="I2098" s="33" t="s">
        <v>196</v>
      </c>
      <c r="J2098" s="34">
        <v>1352.81</v>
      </c>
      <c r="K2098" s="34"/>
      <c r="L2098" s="34">
        <v>1352.81</v>
      </c>
    </row>
    <row r="2099" spans="2:12" x14ac:dyDescent="0.3">
      <c r="B2099" s="25">
        <v>2108</v>
      </c>
      <c r="C2099" s="33">
        <v>11880</v>
      </c>
      <c r="D2099" s="33" t="s">
        <v>1102</v>
      </c>
      <c r="E2099" s="35">
        <v>44705</v>
      </c>
      <c r="F2099" s="33">
        <v>2</v>
      </c>
      <c r="G2099" s="33" t="s">
        <v>122</v>
      </c>
      <c r="H2099" s="33">
        <v>53</v>
      </c>
      <c r="I2099" s="33" t="s">
        <v>196</v>
      </c>
      <c r="J2099" s="34">
        <v>355.67</v>
      </c>
      <c r="K2099" s="34"/>
      <c r="L2099" s="34">
        <v>355.67</v>
      </c>
    </row>
    <row r="2100" spans="2:12" x14ac:dyDescent="0.3">
      <c r="B2100" s="25">
        <v>2109</v>
      </c>
      <c r="C2100" s="33">
        <v>12759</v>
      </c>
      <c r="D2100" s="33" t="s">
        <v>1102</v>
      </c>
      <c r="E2100" s="35">
        <v>44712</v>
      </c>
      <c r="F2100" s="33">
        <v>2</v>
      </c>
      <c r="G2100" s="33" t="s">
        <v>122</v>
      </c>
      <c r="H2100" s="33">
        <v>53</v>
      </c>
      <c r="I2100" s="33" t="s">
        <v>196</v>
      </c>
      <c r="J2100" s="34">
        <v>34.869999999999997</v>
      </c>
      <c r="K2100" s="34"/>
      <c r="L2100" s="34">
        <v>34.869999999999997</v>
      </c>
    </row>
    <row r="2101" spans="2:12" x14ac:dyDescent="0.3">
      <c r="B2101" s="25">
        <v>2110</v>
      </c>
      <c r="C2101" s="33">
        <v>12760</v>
      </c>
      <c r="D2101" s="33" t="s">
        <v>1102</v>
      </c>
      <c r="E2101" s="35">
        <v>44712</v>
      </c>
      <c r="F2101" s="33">
        <v>2</v>
      </c>
      <c r="G2101" s="33" t="s">
        <v>122</v>
      </c>
      <c r="H2101" s="33">
        <v>53</v>
      </c>
      <c r="I2101" s="33" t="s">
        <v>196</v>
      </c>
      <c r="J2101" s="34">
        <v>26.17</v>
      </c>
      <c r="K2101" s="34"/>
      <c r="L2101" s="34">
        <v>26.17</v>
      </c>
    </row>
    <row r="2102" spans="2:12" x14ac:dyDescent="0.3">
      <c r="B2102" s="25">
        <v>2111</v>
      </c>
      <c r="C2102" s="33">
        <v>12763</v>
      </c>
      <c r="D2102" s="33" t="s">
        <v>1102</v>
      </c>
      <c r="E2102" s="35">
        <v>44712</v>
      </c>
      <c r="F2102" s="33">
        <v>2</v>
      </c>
      <c r="G2102" s="33" t="s">
        <v>122</v>
      </c>
      <c r="H2102" s="33">
        <v>53</v>
      </c>
      <c r="I2102" s="33" t="s">
        <v>196</v>
      </c>
      <c r="J2102" s="34">
        <v>1384.83</v>
      </c>
      <c r="K2102" s="34"/>
      <c r="L2102" s="34">
        <v>1384.83</v>
      </c>
    </row>
    <row r="2103" spans="2:12" x14ac:dyDescent="0.3">
      <c r="B2103" s="25">
        <v>2112</v>
      </c>
      <c r="C2103" s="33">
        <v>12764</v>
      </c>
      <c r="D2103" s="33" t="s">
        <v>1103</v>
      </c>
      <c r="E2103" s="35">
        <v>44712</v>
      </c>
      <c r="F2103" s="33">
        <v>2</v>
      </c>
      <c r="G2103" s="33" t="s">
        <v>122</v>
      </c>
      <c r="H2103" s="33">
        <v>53</v>
      </c>
      <c r="I2103" s="33" t="s">
        <v>196</v>
      </c>
      <c r="J2103" s="34">
        <v>164.24</v>
      </c>
      <c r="K2103" s="34"/>
      <c r="L2103" s="34">
        <v>164.24</v>
      </c>
    </row>
    <row r="2104" spans="2:12" x14ac:dyDescent="0.3">
      <c r="B2104" s="25">
        <v>2113</v>
      </c>
      <c r="C2104" s="33">
        <v>12765</v>
      </c>
      <c r="D2104" s="33" t="s">
        <v>1102</v>
      </c>
      <c r="E2104" s="35">
        <v>44712</v>
      </c>
      <c r="F2104" s="33">
        <v>2</v>
      </c>
      <c r="G2104" s="33" t="s">
        <v>122</v>
      </c>
      <c r="H2104" s="33">
        <v>53</v>
      </c>
      <c r="I2104" s="33" t="s">
        <v>196</v>
      </c>
      <c r="J2104" s="34">
        <v>458</v>
      </c>
      <c r="K2104" s="34"/>
      <c r="L2104" s="34">
        <v>458</v>
      </c>
    </row>
    <row r="2105" spans="2:12" x14ac:dyDescent="0.3">
      <c r="B2105" s="25">
        <v>2114</v>
      </c>
      <c r="C2105" s="33">
        <v>33925</v>
      </c>
      <c r="D2105" s="33" t="s">
        <v>462</v>
      </c>
      <c r="E2105" s="35">
        <v>44756</v>
      </c>
      <c r="F2105" s="33">
        <v>3</v>
      </c>
      <c r="G2105" s="33" t="s">
        <v>122</v>
      </c>
      <c r="H2105" s="33" t="s">
        <v>72</v>
      </c>
      <c r="I2105" s="33" t="s">
        <v>196</v>
      </c>
      <c r="J2105" s="34">
        <v>1037.8</v>
      </c>
      <c r="K2105" s="34">
        <v>100</v>
      </c>
      <c r="L2105" s="34">
        <v>937.8</v>
      </c>
    </row>
    <row r="2106" spans="2:12" x14ac:dyDescent="0.3">
      <c r="B2106" s="25">
        <v>2115</v>
      </c>
      <c r="C2106" s="33">
        <v>33973</v>
      </c>
      <c r="D2106" s="33" t="s">
        <v>413</v>
      </c>
      <c r="E2106" s="35">
        <v>44757</v>
      </c>
      <c r="F2106" s="33">
        <v>3</v>
      </c>
      <c r="G2106" s="33" t="s">
        <v>122</v>
      </c>
      <c r="H2106" s="33" t="s">
        <v>72</v>
      </c>
      <c r="I2106" s="33" t="s">
        <v>196</v>
      </c>
      <c r="J2106" s="34">
        <v>7279.2</v>
      </c>
      <c r="K2106" s="34"/>
      <c r="L2106" s="34">
        <v>7279.2</v>
      </c>
    </row>
    <row r="2107" spans="2:12" x14ac:dyDescent="0.3">
      <c r="B2107" s="25">
        <v>2116</v>
      </c>
      <c r="C2107" s="33">
        <v>33980</v>
      </c>
      <c r="D2107" s="33" t="s">
        <v>462</v>
      </c>
      <c r="E2107" s="35">
        <v>44757</v>
      </c>
      <c r="F2107" s="33">
        <v>3</v>
      </c>
      <c r="G2107" s="33" t="s">
        <v>122</v>
      </c>
      <c r="H2107" s="33" t="s">
        <v>72</v>
      </c>
      <c r="I2107" s="33" t="s">
        <v>196</v>
      </c>
      <c r="J2107" s="34">
        <v>452.4</v>
      </c>
      <c r="K2107" s="34"/>
      <c r="L2107" s="34">
        <v>452.4</v>
      </c>
    </row>
    <row r="2108" spans="2:12" x14ac:dyDescent="0.3">
      <c r="B2108" s="25">
        <v>2117</v>
      </c>
      <c r="C2108" s="33">
        <v>4729</v>
      </c>
      <c r="D2108" s="33" t="s">
        <v>836</v>
      </c>
      <c r="E2108" s="35">
        <v>44754</v>
      </c>
      <c r="F2108" s="33">
        <v>3</v>
      </c>
      <c r="G2108" s="33" t="s">
        <v>628</v>
      </c>
      <c r="H2108" s="33" t="s">
        <v>630</v>
      </c>
      <c r="I2108" s="33" t="s">
        <v>75</v>
      </c>
      <c r="J2108" s="34">
        <v>1770.72</v>
      </c>
      <c r="K2108" s="34"/>
      <c r="L2108" s="34">
        <v>1770.72</v>
      </c>
    </row>
    <row r="2109" spans="2:12" x14ac:dyDescent="0.3">
      <c r="B2109" s="25">
        <v>2118</v>
      </c>
      <c r="C2109" s="33">
        <v>4739</v>
      </c>
      <c r="D2109" s="33" t="s">
        <v>1104</v>
      </c>
      <c r="E2109" s="35">
        <v>44760</v>
      </c>
      <c r="F2109" s="33">
        <v>3</v>
      </c>
      <c r="G2109" s="33" t="s">
        <v>124</v>
      </c>
      <c r="H2109" s="33" t="s">
        <v>630</v>
      </c>
      <c r="I2109" s="33" t="s">
        <v>197</v>
      </c>
      <c r="J2109" s="34">
        <v>1328.4</v>
      </c>
      <c r="K2109" s="34"/>
      <c r="L2109" s="34">
        <v>1328.4</v>
      </c>
    </row>
    <row r="2110" spans="2:12" x14ac:dyDescent="0.3">
      <c r="B2110" s="25">
        <v>2119</v>
      </c>
      <c r="C2110" s="33">
        <v>4214</v>
      </c>
      <c r="D2110" s="33" t="s">
        <v>573</v>
      </c>
      <c r="E2110" s="35">
        <v>44749</v>
      </c>
      <c r="F2110" s="33">
        <v>3</v>
      </c>
      <c r="G2110" s="33" t="s">
        <v>124</v>
      </c>
      <c r="H2110" s="33" t="s">
        <v>201</v>
      </c>
      <c r="I2110" s="33" t="s">
        <v>197</v>
      </c>
      <c r="J2110" s="34">
        <v>2211</v>
      </c>
      <c r="K2110" s="34"/>
      <c r="L2110" s="34">
        <v>2211</v>
      </c>
    </row>
    <row r="2111" spans="2:12" x14ac:dyDescent="0.3">
      <c r="B2111" s="25">
        <v>2120</v>
      </c>
      <c r="C2111" s="33">
        <v>4218</v>
      </c>
      <c r="D2111" s="33" t="s">
        <v>580</v>
      </c>
      <c r="E2111" s="35">
        <v>44749</v>
      </c>
      <c r="F2111" s="33">
        <v>3</v>
      </c>
      <c r="G2111" s="33" t="s">
        <v>124</v>
      </c>
      <c r="H2111" s="33" t="s">
        <v>201</v>
      </c>
      <c r="I2111" s="33" t="s">
        <v>197</v>
      </c>
      <c r="J2111" s="34">
        <v>1034.4000000000001</v>
      </c>
      <c r="K2111" s="34"/>
      <c r="L2111" s="34">
        <v>1034.4000000000001</v>
      </c>
    </row>
    <row r="2112" spans="2:12" x14ac:dyDescent="0.3">
      <c r="B2112" s="25">
        <v>2121</v>
      </c>
      <c r="C2112" s="33">
        <v>4219</v>
      </c>
      <c r="D2112" s="33" t="s">
        <v>473</v>
      </c>
      <c r="E2112" s="35">
        <v>44749</v>
      </c>
      <c r="F2112" s="33">
        <v>3</v>
      </c>
      <c r="G2112" s="33" t="s">
        <v>122</v>
      </c>
      <c r="H2112" s="33" t="s">
        <v>201</v>
      </c>
      <c r="I2112" s="33" t="s">
        <v>196</v>
      </c>
      <c r="J2112" s="34">
        <v>4112.79</v>
      </c>
      <c r="K2112" s="34"/>
      <c r="L2112" s="34">
        <v>4112.79</v>
      </c>
    </row>
    <row r="2113" spans="2:12" x14ac:dyDescent="0.3">
      <c r="B2113" s="25">
        <v>2122</v>
      </c>
      <c r="C2113" s="33">
        <v>4220</v>
      </c>
      <c r="D2113" s="33" t="s">
        <v>852</v>
      </c>
      <c r="E2113" s="35">
        <v>44749</v>
      </c>
      <c r="F2113" s="33">
        <v>3</v>
      </c>
      <c r="G2113" s="33" t="s">
        <v>124</v>
      </c>
      <c r="H2113" s="33" t="s">
        <v>201</v>
      </c>
      <c r="I2113" s="33" t="s">
        <v>197</v>
      </c>
      <c r="J2113" s="34">
        <v>691.32</v>
      </c>
      <c r="K2113" s="34">
        <v>80</v>
      </c>
      <c r="L2113" s="34">
        <v>611.32000000000005</v>
      </c>
    </row>
    <row r="2114" spans="2:12" x14ac:dyDescent="0.3">
      <c r="B2114" s="25">
        <v>2123</v>
      </c>
      <c r="C2114" s="33">
        <v>4227</v>
      </c>
      <c r="D2114" s="33" t="s">
        <v>676</v>
      </c>
      <c r="E2114" s="35">
        <v>44749</v>
      </c>
      <c r="F2114" s="33">
        <v>3</v>
      </c>
      <c r="G2114" s="33" t="s">
        <v>124</v>
      </c>
      <c r="H2114" s="33" t="s">
        <v>201</v>
      </c>
      <c r="I2114" s="33" t="s">
        <v>197</v>
      </c>
      <c r="J2114" s="34">
        <v>12879.45</v>
      </c>
      <c r="K2114" s="34"/>
      <c r="L2114" s="34">
        <v>12879.45</v>
      </c>
    </row>
    <row r="2115" spans="2:12" x14ac:dyDescent="0.3">
      <c r="B2115" s="25">
        <v>2124</v>
      </c>
      <c r="C2115" s="33">
        <v>4414</v>
      </c>
      <c r="D2115" s="33" t="s">
        <v>584</v>
      </c>
      <c r="E2115" s="35">
        <v>44756</v>
      </c>
      <c r="F2115" s="33">
        <v>3</v>
      </c>
      <c r="G2115" s="33" t="s">
        <v>122</v>
      </c>
      <c r="H2115" s="33" t="s">
        <v>201</v>
      </c>
      <c r="I2115" s="33" t="s">
        <v>196</v>
      </c>
      <c r="J2115" s="34">
        <v>6050.07</v>
      </c>
      <c r="K2115" s="34"/>
      <c r="L2115" s="34">
        <v>6050.07</v>
      </c>
    </row>
    <row r="2116" spans="2:12" x14ac:dyDescent="0.3">
      <c r="B2116" s="25">
        <v>2125</v>
      </c>
      <c r="C2116" s="33">
        <v>4419</v>
      </c>
      <c r="D2116" s="33" t="s">
        <v>362</v>
      </c>
      <c r="E2116" s="35">
        <v>44756</v>
      </c>
      <c r="F2116" s="33">
        <v>3</v>
      </c>
      <c r="G2116" s="33" t="s">
        <v>124</v>
      </c>
      <c r="H2116" s="33" t="s">
        <v>201</v>
      </c>
      <c r="I2116" s="33" t="s">
        <v>197</v>
      </c>
      <c r="J2116" s="34">
        <v>4169.1000000000004</v>
      </c>
      <c r="K2116" s="34"/>
      <c r="L2116" s="34">
        <v>4169.1000000000004</v>
      </c>
    </row>
    <row r="2117" spans="2:12" x14ac:dyDescent="0.3">
      <c r="B2117" s="25">
        <v>2126</v>
      </c>
      <c r="C2117" s="33">
        <v>4420</v>
      </c>
      <c r="D2117" s="33" t="s">
        <v>362</v>
      </c>
      <c r="E2117" s="35">
        <v>44756</v>
      </c>
      <c r="F2117" s="33">
        <v>3</v>
      </c>
      <c r="G2117" s="33" t="s">
        <v>124</v>
      </c>
      <c r="H2117" s="33" t="s">
        <v>201</v>
      </c>
      <c r="I2117" s="33" t="s">
        <v>197</v>
      </c>
      <c r="J2117" s="34">
        <v>782.53</v>
      </c>
      <c r="K2117" s="34">
        <v>80</v>
      </c>
      <c r="L2117" s="34">
        <v>702.53</v>
      </c>
    </row>
    <row r="2118" spans="2:12" x14ac:dyDescent="0.3">
      <c r="B2118" s="25">
        <v>2127</v>
      </c>
      <c r="C2118" s="33">
        <v>4424</v>
      </c>
      <c r="D2118" s="33" t="s">
        <v>411</v>
      </c>
      <c r="E2118" s="35">
        <v>44756</v>
      </c>
      <c r="F2118" s="33">
        <v>3</v>
      </c>
      <c r="G2118" s="33" t="s">
        <v>122</v>
      </c>
      <c r="H2118" s="33" t="s">
        <v>201</v>
      </c>
      <c r="I2118" s="33" t="s">
        <v>196</v>
      </c>
      <c r="J2118" s="34">
        <v>1282.05</v>
      </c>
      <c r="K2118" s="34"/>
      <c r="L2118" s="34">
        <v>1282.05</v>
      </c>
    </row>
    <row r="2119" spans="2:12" x14ac:dyDescent="0.3">
      <c r="B2119" s="25">
        <v>2128</v>
      </c>
      <c r="C2119" s="33" t="s">
        <v>1105</v>
      </c>
      <c r="D2119" s="33" t="s">
        <v>584</v>
      </c>
      <c r="E2119" s="35">
        <v>44756</v>
      </c>
      <c r="F2119" s="33">
        <v>3</v>
      </c>
      <c r="G2119" s="33" t="s">
        <v>122</v>
      </c>
      <c r="H2119" s="33" t="s">
        <v>201</v>
      </c>
      <c r="I2119" s="33" t="s">
        <v>196</v>
      </c>
      <c r="J2119" s="34">
        <v>-11.76</v>
      </c>
      <c r="K2119" s="34"/>
      <c r="L2119" s="34">
        <v>-11.76</v>
      </c>
    </row>
    <row r="2120" spans="2:12" x14ac:dyDescent="0.3">
      <c r="B2120" s="25">
        <v>2129</v>
      </c>
      <c r="C2120" s="33" t="s">
        <v>1106</v>
      </c>
      <c r="D2120" s="33" t="s">
        <v>584</v>
      </c>
      <c r="E2120" s="35">
        <v>44756</v>
      </c>
      <c r="F2120" s="33">
        <v>3</v>
      </c>
      <c r="G2120" s="33" t="s">
        <v>122</v>
      </c>
      <c r="H2120" s="33" t="s">
        <v>201</v>
      </c>
      <c r="I2120" s="33" t="s">
        <v>196</v>
      </c>
      <c r="J2120" s="34">
        <v>-1146</v>
      </c>
      <c r="K2120" s="34"/>
      <c r="L2120" s="34">
        <v>-1146</v>
      </c>
    </row>
    <row r="2121" spans="2:12" x14ac:dyDescent="0.3">
      <c r="B2121" s="25">
        <v>2130</v>
      </c>
      <c r="C2121" s="33" t="s">
        <v>1107</v>
      </c>
      <c r="D2121" s="33" t="s">
        <v>1108</v>
      </c>
      <c r="E2121" s="35">
        <v>44753</v>
      </c>
      <c r="F2121" s="33">
        <v>3</v>
      </c>
      <c r="G2121" s="33" t="s">
        <v>124</v>
      </c>
      <c r="H2121" s="33" t="s">
        <v>69</v>
      </c>
      <c r="I2121" s="33" t="s">
        <v>197</v>
      </c>
      <c r="J2121" s="34">
        <v>5940</v>
      </c>
      <c r="K2121" s="34"/>
      <c r="L2121" s="34">
        <v>5940</v>
      </c>
    </row>
    <row r="2122" spans="2:12" x14ac:dyDescent="0.3">
      <c r="B2122" s="25">
        <v>2131</v>
      </c>
      <c r="C2122" s="33" t="s">
        <v>1109</v>
      </c>
      <c r="D2122" s="33" t="s">
        <v>1108</v>
      </c>
      <c r="E2122" s="35">
        <v>44768</v>
      </c>
      <c r="F2122" s="33">
        <v>3</v>
      </c>
      <c r="G2122" s="33" t="s">
        <v>122</v>
      </c>
      <c r="H2122" s="33" t="s">
        <v>69</v>
      </c>
      <c r="I2122" s="33" t="s">
        <v>196</v>
      </c>
      <c r="J2122" s="34">
        <v>4702.41</v>
      </c>
      <c r="K2122" s="34"/>
      <c r="L2122" s="34">
        <v>4702.41</v>
      </c>
    </row>
    <row r="2123" spans="2:12" x14ac:dyDescent="0.3">
      <c r="B2123" s="25">
        <v>2132</v>
      </c>
      <c r="C2123" s="33">
        <v>4868</v>
      </c>
      <c r="D2123" s="33" t="s">
        <v>582</v>
      </c>
      <c r="E2123" s="35">
        <v>44770</v>
      </c>
      <c r="F2123" s="33">
        <v>3</v>
      </c>
      <c r="G2123" s="33" t="s">
        <v>628</v>
      </c>
      <c r="H2123" s="33" t="s">
        <v>201</v>
      </c>
      <c r="I2123" s="33" t="s">
        <v>75</v>
      </c>
      <c r="J2123" s="34">
        <v>2730.2</v>
      </c>
      <c r="K2123" s="34"/>
      <c r="L2123" s="34">
        <v>2730.2</v>
      </c>
    </row>
    <row r="2124" spans="2:12" x14ac:dyDescent="0.3">
      <c r="B2124" s="25">
        <v>2133</v>
      </c>
      <c r="C2124" s="33">
        <v>3079</v>
      </c>
      <c r="D2124" s="33" t="s">
        <v>377</v>
      </c>
      <c r="E2124" s="35">
        <v>44747</v>
      </c>
      <c r="F2124" s="33">
        <v>3</v>
      </c>
      <c r="G2124" s="33" t="s">
        <v>124</v>
      </c>
      <c r="H2124" s="33" t="s">
        <v>71</v>
      </c>
      <c r="I2124" s="33" t="s">
        <v>197</v>
      </c>
      <c r="J2124" s="34">
        <v>654.57000000000005</v>
      </c>
      <c r="K2124" s="34">
        <v>80</v>
      </c>
      <c r="L2124" s="34">
        <v>574.57000000000005</v>
      </c>
    </row>
    <row r="2125" spans="2:12" x14ac:dyDescent="0.3">
      <c r="B2125" s="25">
        <v>2134</v>
      </c>
      <c r="C2125" s="33">
        <v>3099</v>
      </c>
      <c r="D2125" s="33" t="s">
        <v>401</v>
      </c>
      <c r="E2125" s="35">
        <v>44748</v>
      </c>
      <c r="F2125" s="33">
        <v>3</v>
      </c>
      <c r="G2125" s="33" t="s">
        <v>231</v>
      </c>
      <c r="H2125" s="33" t="s">
        <v>71</v>
      </c>
      <c r="I2125" s="33" t="s">
        <v>198</v>
      </c>
      <c r="J2125" s="34">
        <v>616.16999999999996</v>
      </c>
      <c r="K2125" s="34">
        <v>80</v>
      </c>
      <c r="L2125" s="34">
        <v>536.16999999999996</v>
      </c>
    </row>
    <row r="2126" spans="2:12" x14ac:dyDescent="0.3">
      <c r="B2126" s="25">
        <v>2135</v>
      </c>
      <c r="C2126" s="33">
        <v>3120</v>
      </c>
      <c r="D2126" s="33" t="s">
        <v>277</v>
      </c>
      <c r="E2126" s="35">
        <v>44749</v>
      </c>
      <c r="F2126" s="33">
        <v>3</v>
      </c>
      <c r="G2126" s="33" t="s">
        <v>124</v>
      </c>
      <c r="H2126" s="33" t="s">
        <v>71</v>
      </c>
      <c r="I2126" s="33" t="s">
        <v>197</v>
      </c>
      <c r="J2126" s="34">
        <v>1649.15</v>
      </c>
      <c r="K2126" s="34"/>
      <c r="L2126" s="34">
        <v>1649.15</v>
      </c>
    </row>
    <row r="2127" spans="2:12" x14ac:dyDescent="0.3">
      <c r="B2127" s="25">
        <v>2136</v>
      </c>
      <c r="C2127" s="33" t="s">
        <v>1118</v>
      </c>
      <c r="D2127" s="33" t="s">
        <v>423</v>
      </c>
      <c r="E2127" s="35">
        <v>44750</v>
      </c>
      <c r="F2127" s="33">
        <v>3</v>
      </c>
      <c r="G2127" s="33" t="s">
        <v>231</v>
      </c>
      <c r="H2127" s="33" t="s">
        <v>71</v>
      </c>
      <c r="I2127" s="33" t="s">
        <v>198</v>
      </c>
      <c r="J2127" s="34">
        <v>299.22000000000003</v>
      </c>
      <c r="K2127" s="34">
        <v>80</v>
      </c>
      <c r="L2127" s="34">
        <v>219.22</v>
      </c>
    </row>
    <row r="2128" spans="2:12" x14ac:dyDescent="0.3">
      <c r="B2128" s="25">
        <v>2137</v>
      </c>
      <c r="C2128" s="33">
        <v>3128</v>
      </c>
      <c r="D2128" s="33" t="s">
        <v>386</v>
      </c>
      <c r="E2128" s="35">
        <v>44750</v>
      </c>
      <c r="F2128" s="33">
        <v>3</v>
      </c>
      <c r="G2128" s="33" t="s">
        <v>124</v>
      </c>
      <c r="H2128" s="33" t="s">
        <v>71</v>
      </c>
      <c r="I2128" s="33" t="s">
        <v>197</v>
      </c>
      <c r="J2128" s="34">
        <v>887.25</v>
      </c>
      <c r="K2128" s="34"/>
      <c r="L2128" s="34">
        <v>887.25</v>
      </c>
    </row>
    <row r="2129" spans="2:12" x14ac:dyDescent="0.3">
      <c r="B2129" s="25">
        <v>2138</v>
      </c>
      <c r="C2129" s="33">
        <v>3148</v>
      </c>
      <c r="D2129" s="33" t="s">
        <v>387</v>
      </c>
      <c r="E2129" s="35">
        <v>44753</v>
      </c>
      <c r="F2129" s="33">
        <v>3</v>
      </c>
      <c r="G2129" s="33" t="s">
        <v>124</v>
      </c>
      <c r="H2129" s="33" t="s">
        <v>71</v>
      </c>
      <c r="I2129" s="33" t="s">
        <v>197</v>
      </c>
      <c r="J2129" s="34">
        <v>950.95</v>
      </c>
      <c r="K2129" s="34"/>
      <c r="L2129" s="34">
        <v>950.95</v>
      </c>
    </row>
    <row r="2130" spans="2:12" x14ac:dyDescent="0.3">
      <c r="B2130" s="25">
        <v>2139</v>
      </c>
      <c r="C2130" s="33">
        <v>3149</v>
      </c>
      <c r="D2130" s="33" t="s">
        <v>387</v>
      </c>
      <c r="E2130" s="35">
        <v>44753</v>
      </c>
      <c r="F2130" s="33">
        <v>3</v>
      </c>
      <c r="G2130" s="33" t="s">
        <v>124</v>
      </c>
      <c r="H2130" s="33" t="s">
        <v>71</v>
      </c>
      <c r="I2130" s="33" t="s">
        <v>197</v>
      </c>
      <c r="J2130" s="34">
        <v>830.5</v>
      </c>
      <c r="K2130" s="34">
        <v>80</v>
      </c>
      <c r="L2130" s="34">
        <v>750.5</v>
      </c>
    </row>
    <row r="2131" spans="2:12" x14ac:dyDescent="0.3">
      <c r="B2131" s="25">
        <v>2140</v>
      </c>
      <c r="C2131" s="33">
        <v>3150</v>
      </c>
      <c r="D2131" s="33" t="s">
        <v>1071</v>
      </c>
      <c r="E2131" s="35">
        <v>44753</v>
      </c>
      <c r="F2131" s="33">
        <v>3</v>
      </c>
      <c r="G2131" s="33" t="s">
        <v>628</v>
      </c>
      <c r="H2131" s="33" t="s">
        <v>71</v>
      </c>
      <c r="I2131" s="33" t="s">
        <v>75</v>
      </c>
      <c r="J2131" s="34">
        <v>372.38</v>
      </c>
      <c r="K2131" s="34">
        <v>80</v>
      </c>
      <c r="L2131" s="34">
        <v>292.38</v>
      </c>
    </row>
    <row r="2132" spans="2:12" x14ac:dyDescent="0.3">
      <c r="B2132" s="25">
        <v>2141</v>
      </c>
      <c r="C2132" s="33">
        <v>3152</v>
      </c>
      <c r="D2132" s="33" t="s">
        <v>403</v>
      </c>
      <c r="E2132" s="35">
        <v>44753</v>
      </c>
      <c r="F2132" s="33">
        <v>3</v>
      </c>
      <c r="G2132" s="33" t="s">
        <v>122</v>
      </c>
      <c r="H2132" s="33" t="s">
        <v>71</v>
      </c>
      <c r="I2132" s="33" t="s">
        <v>196</v>
      </c>
      <c r="J2132" s="34">
        <v>567.58000000000004</v>
      </c>
      <c r="K2132" s="34">
        <v>80</v>
      </c>
      <c r="L2132" s="34">
        <v>487.58</v>
      </c>
    </row>
    <row r="2133" spans="2:12" x14ac:dyDescent="0.3">
      <c r="B2133" s="25">
        <v>2142</v>
      </c>
      <c r="C2133" s="33">
        <v>3167</v>
      </c>
      <c r="D2133" s="33" t="s">
        <v>538</v>
      </c>
      <c r="E2133" s="35">
        <v>44754</v>
      </c>
      <c r="F2133" s="33">
        <v>3</v>
      </c>
      <c r="G2133" s="33" t="s">
        <v>231</v>
      </c>
      <c r="H2133" s="33" t="s">
        <v>71</v>
      </c>
      <c r="I2133" s="33" t="s">
        <v>198</v>
      </c>
      <c r="J2133" s="34">
        <v>542.96</v>
      </c>
      <c r="K2133" s="34">
        <v>80</v>
      </c>
      <c r="L2133" s="34">
        <v>462.96</v>
      </c>
    </row>
    <row r="2134" spans="2:12" x14ac:dyDescent="0.3">
      <c r="B2134" s="25">
        <v>2143</v>
      </c>
      <c r="C2134" s="33">
        <v>3298</v>
      </c>
      <c r="D2134" s="33" t="s">
        <v>386</v>
      </c>
      <c r="E2134" s="35">
        <v>44761</v>
      </c>
      <c r="F2134" s="33">
        <v>3</v>
      </c>
      <c r="G2134" s="33" t="s">
        <v>124</v>
      </c>
      <c r="H2134" s="33" t="s">
        <v>71</v>
      </c>
      <c r="I2134" s="33" t="s">
        <v>197</v>
      </c>
      <c r="J2134" s="34">
        <v>4242.42</v>
      </c>
      <c r="K2134" s="34"/>
      <c r="L2134" s="34">
        <v>4242.42</v>
      </c>
    </row>
    <row r="2135" spans="2:12" x14ac:dyDescent="0.3">
      <c r="B2135" s="25">
        <v>2144</v>
      </c>
      <c r="C2135" s="33">
        <v>3404</v>
      </c>
      <c r="D2135" s="33" t="s">
        <v>403</v>
      </c>
      <c r="E2135" s="35">
        <v>44764</v>
      </c>
      <c r="F2135" s="33">
        <v>3</v>
      </c>
      <c r="G2135" s="33" t="s">
        <v>122</v>
      </c>
      <c r="H2135" s="33" t="s">
        <v>71</v>
      </c>
      <c r="I2135" s="33" t="s">
        <v>196</v>
      </c>
      <c r="J2135" s="34">
        <v>914.83</v>
      </c>
      <c r="K2135" s="34">
        <v>80</v>
      </c>
      <c r="L2135" s="34">
        <v>834.83</v>
      </c>
    </row>
    <row r="2136" spans="2:12" x14ac:dyDescent="0.3">
      <c r="B2136" s="25">
        <v>2145</v>
      </c>
      <c r="C2136" s="33">
        <v>3548</v>
      </c>
      <c r="D2136" s="33" t="s">
        <v>654</v>
      </c>
      <c r="E2136" s="35">
        <v>44782</v>
      </c>
      <c r="F2136" s="33">
        <v>3</v>
      </c>
      <c r="G2136" s="33" t="s">
        <v>628</v>
      </c>
      <c r="H2136" s="33" t="s">
        <v>71</v>
      </c>
      <c r="I2136" s="33" t="s">
        <v>75</v>
      </c>
      <c r="J2136" s="34">
        <v>447.87</v>
      </c>
      <c r="K2136" s="34">
        <v>80</v>
      </c>
      <c r="L2136" s="34">
        <v>367.87</v>
      </c>
    </row>
    <row r="2137" spans="2:12" x14ac:dyDescent="0.3">
      <c r="B2137" s="25">
        <v>2146</v>
      </c>
      <c r="C2137" s="33">
        <v>3424</v>
      </c>
      <c r="D2137" s="33" t="s">
        <v>838</v>
      </c>
      <c r="E2137" s="35">
        <v>44768</v>
      </c>
      <c r="F2137" s="33">
        <v>3</v>
      </c>
      <c r="G2137" s="33" t="s">
        <v>124</v>
      </c>
      <c r="H2137" s="33" t="s">
        <v>71</v>
      </c>
      <c r="I2137" s="33" t="s">
        <v>197</v>
      </c>
      <c r="J2137" s="34">
        <v>1982.37</v>
      </c>
      <c r="K2137" s="34"/>
      <c r="L2137" s="34">
        <v>1982.37</v>
      </c>
    </row>
    <row r="2138" spans="2:12" x14ac:dyDescent="0.3">
      <c r="B2138" s="25">
        <v>2147</v>
      </c>
      <c r="C2138" s="33">
        <v>4138</v>
      </c>
      <c r="D2138" s="33" t="s">
        <v>361</v>
      </c>
      <c r="E2138" s="35">
        <v>44747</v>
      </c>
      <c r="F2138" s="33">
        <v>3</v>
      </c>
      <c r="G2138" s="33" t="s">
        <v>124</v>
      </c>
      <c r="H2138" s="33" t="s">
        <v>71</v>
      </c>
      <c r="I2138" s="33" t="s">
        <v>197</v>
      </c>
      <c r="J2138" s="34">
        <v>1354.85</v>
      </c>
      <c r="K2138" s="34"/>
      <c r="L2138" s="34">
        <v>1354.85</v>
      </c>
    </row>
    <row r="2139" spans="2:12" x14ac:dyDescent="0.3">
      <c r="B2139" s="25">
        <v>2148</v>
      </c>
      <c r="C2139" s="33">
        <v>3176</v>
      </c>
      <c r="D2139" s="33" t="s">
        <v>386</v>
      </c>
      <c r="E2139" s="35">
        <v>44754</v>
      </c>
      <c r="F2139" s="33">
        <v>3</v>
      </c>
      <c r="G2139" s="33" t="s">
        <v>124</v>
      </c>
      <c r="H2139" s="33" t="s">
        <v>71</v>
      </c>
      <c r="I2139" s="33" t="s">
        <v>197</v>
      </c>
      <c r="J2139" s="34">
        <v>354.9</v>
      </c>
      <c r="K2139" s="34"/>
      <c r="L2139" s="34">
        <v>354.9</v>
      </c>
    </row>
    <row r="2140" spans="2:12" x14ac:dyDescent="0.3">
      <c r="B2140" s="25">
        <v>2149</v>
      </c>
      <c r="C2140" s="33">
        <v>4559</v>
      </c>
      <c r="D2140" s="33" t="s">
        <v>1119</v>
      </c>
      <c r="E2140" s="35">
        <v>44763</v>
      </c>
      <c r="F2140" s="33">
        <v>3</v>
      </c>
      <c r="G2140" s="33" t="s">
        <v>122</v>
      </c>
      <c r="H2140" s="33" t="s">
        <v>201</v>
      </c>
      <c r="I2140" s="33" t="s">
        <v>196</v>
      </c>
      <c r="J2140" s="34">
        <v>6502.75</v>
      </c>
      <c r="K2140" s="34"/>
      <c r="L2140" s="34">
        <v>6502.75</v>
      </c>
    </row>
    <row r="2141" spans="2:12" x14ac:dyDescent="0.3">
      <c r="B2141" s="25">
        <v>2150</v>
      </c>
      <c r="C2141" s="33" t="s">
        <v>1120</v>
      </c>
      <c r="D2141" s="33" t="s">
        <v>1119</v>
      </c>
      <c r="E2141" s="35">
        <v>44762</v>
      </c>
      <c r="F2141" s="33">
        <v>3</v>
      </c>
      <c r="G2141" s="33" t="s">
        <v>231</v>
      </c>
      <c r="H2141" s="33" t="s">
        <v>201</v>
      </c>
      <c r="I2141" s="33" t="s">
        <v>198</v>
      </c>
      <c r="J2141" s="34">
        <v>11277.5</v>
      </c>
      <c r="K2141" s="34"/>
      <c r="L2141" s="34">
        <v>11277.5</v>
      </c>
    </row>
    <row r="2142" spans="2:12" x14ac:dyDescent="0.3">
      <c r="B2142" s="25">
        <v>2151</v>
      </c>
      <c r="C2142" s="33">
        <v>3944</v>
      </c>
      <c r="D2142" s="33" t="s">
        <v>1121</v>
      </c>
      <c r="E2142" s="35">
        <v>44810</v>
      </c>
      <c r="F2142" s="33">
        <v>3</v>
      </c>
      <c r="G2142" s="33" t="s">
        <v>122</v>
      </c>
      <c r="H2142" s="33" t="s">
        <v>71</v>
      </c>
      <c r="I2142" s="33" t="s">
        <v>196</v>
      </c>
      <c r="J2142" s="34">
        <v>660.21</v>
      </c>
      <c r="K2142" s="34"/>
      <c r="L2142" s="34">
        <v>660.21</v>
      </c>
    </row>
    <row r="2143" spans="2:12" x14ac:dyDescent="0.3">
      <c r="B2143" s="25">
        <v>2152</v>
      </c>
      <c r="C2143" s="33">
        <v>3485</v>
      </c>
      <c r="D2143" s="33" t="s">
        <v>836</v>
      </c>
      <c r="E2143" s="35">
        <v>44774</v>
      </c>
      <c r="F2143" s="33">
        <v>3</v>
      </c>
      <c r="G2143" s="33" t="s">
        <v>628</v>
      </c>
      <c r="H2143" s="33" t="s">
        <v>71</v>
      </c>
      <c r="I2143" s="33" t="s">
        <v>75</v>
      </c>
      <c r="J2143" s="34">
        <v>1480.77</v>
      </c>
      <c r="K2143" s="34"/>
      <c r="L2143" s="34">
        <v>1480.77</v>
      </c>
    </row>
    <row r="2144" spans="2:12" x14ac:dyDescent="0.3">
      <c r="B2144" s="25">
        <v>2153</v>
      </c>
      <c r="C2144" s="33">
        <v>3551</v>
      </c>
      <c r="D2144" s="33" t="s">
        <v>772</v>
      </c>
      <c r="E2144" s="35">
        <v>44783</v>
      </c>
      <c r="F2144" s="33">
        <v>3</v>
      </c>
      <c r="G2144" s="33" t="s">
        <v>124</v>
      </c>
      <c r="H2144" s="33" t="s">
        <v>71</v>
      </c>
      <c r="I2144" s="33" t="s">
        <v>197</v>
      </c>
      <c r="J2144" s="34">
        <v>1161.52</v>
      </c>
      <c r="K2144" s="34"/>
      <c r="L2144" s="34">
        <v>1161.52</v>
      </c>
    </row>
    <row r="2145" spans="2:12" x14ac:dyDescent="0.3">
      <c r="B2145" s="25">
        <v>2154</v>
      </c>
      <c r="C2145" s="33" t="s">
        <v>1122</v>
      </c>
      <c r="D2145" s="33" t="s">
        <v>423</v>
      </c>
      <c r="E2145" s="35">
        <v>44784</v>
      </c>
      <c r="F2145" s="33">
        <v>3</v>
      </c>
      <c r="G2145" s="33" t="s">
        <v>231</v>
      </c>
      <c r="H2145" s="33" t="s">
        <v>71</v>
      </c>
      <c r="I2145" s="33" t="s">
        <v>198</v>
      </c>
      <c r="J2145" s="34">
        <v>290.20999999999998</v>
      </c>
      <c r="K2145" s="34">
        <v>80</v>
      </c>
      <c r="L2145" s="34">
        <v>210.21</v>
      </c>
    </row>
    <row r="2146" spans="2:12" x14ac:dyDescent="0.3">
      <c r="B2146" s="25">
        <v>2155</v>
      </c>
      <c r="C2146" s="33">
        <v>3607</v>
      </c>
      <c r="D2146" s="33" t="s">
        <v>474</v>
      </c>
      <c r="E2146" s="35">
        <v>44789</v>
      </c>
      <c r="F2146" s="33">
        <v>3</v>
      </c>
      <c r="G2146" s="33" t="s">
        <v>628</v>
      </c>
      <c r="H2146" s="33" t="s">
        <v>71</v>
      </c>
      <c r="I2146" s="33" t="s">
        <v>75</v>
      </c>
      <c r="J2146" s="34">
        <v>1318.28</v>
      </c>
      <c r="K2146" s="34"/>
      <c r="L2146" s="34">
        <v>1318.28</v>
      </c>
    </row>
    <row r="2147" spans="2:12" x14ac:dyDescent="0.3">
      <c r="B2147" s="25">
        <v>2156</v>
      </c>
      <c r="C2147" s="33">
        <v>3620</v>
      </c>
      <c r="D2147" s="33" t="s">
        <v>538</v>
      </c>
      <c r="E2147" s="35">
        <v>44791</v>
      </c>
      <c r="F2147" s="33">
        <v>3</v>
      </c>
      <c r="G2147" s="33" t="s">
        <v>231</v>
      </c>
      <c r="H2147" s="33" t="s">
        <v>71</v>
      </c>
      <c r="I2147" s="33" t="s">
        <v>198</v>
      </c>
      <c r="J2147" s="34">
        <v>462.88</v>
      </c>
      <c r="K2147" s="34">
        <v>80</v>
      </c>
      <c r="L2147" s="34">
        <v>382.88</v>
      </c>
    </row>
    <row r="2148" spans="2:12" x14ac:dyDescent="0.3">
      <c r="B2148" s="25">
        <v>2157</v>
      </c>
      <c r="C2148" s="33">
        <v>3769</v>
      </c>
      <c r="D2148" s="33" t="s">
        <v>470</v>
      </c>
      <c r="E2148" s="35">
        <v>44798</v>
      </c>
      <c r="F2148" s="33">
        <v>3</v>
      </c>
      <c r="G2148" s="33" t="s">
        <v>628</v>
      </c>
      <c r="H2148" s="33" t="s">
        <v>71</v>
      </c>
      <c r="I2148" s="33" t="s">
        <v>75</v>
      </c>
      <c r="J2148" s="34">
        <v>919.4</v>
      </c>
      <c r="K2148" s="34">
        <v>80</v>
      </c>
      <c r="L2148" s="34">
        <v>839.4</v>
      </c>
    </row>
    <row r="2149" spans="2:12" x14ac:dyDescent="0.3">
      <c r="B2149" s="25">
        <v>2158</v>
      </c>
      <c r="C2149" s="33" t="s">
        <v>1123</v>
      </c>
      <c r="D2149" s="33" t="s">
        <v>362</v>
      </c>
      <c r="E2149" s="35">
        <v>44804</v>
      </c>
      <c r="F2149" s="33">
        <v>3</v>
      </c>
      <c r="G2149" s="33" t="s">
        <v>124</v>
      </c>
      <c r="H2149" s="33" t="s">
        <v>71</v>
      </c>
      <c r="I2149" s="33" t="s">
        <v>197</v>
      </c>
      <c r="J2149" s="34">
        <v>800</v>
      </c>
      <c r="K2149" s="34"/>
      <c r="L2149" s="34">
        <v>800</v>
      </c>
    </row>
    <row r="2150" spans="2:12" x14ac:dyDescent="0.3">
      <c r="B2150" s="25">
        <v>2159</v>
      </c>
      <c r="C2150" s="33">
        <v>3853</v>
      </c>
      <c r="D2150" s="33" t="s">
        <v>426</v>
      </c>
      <c r="E2150" s="35">
        <v>44804</v>
      </c>
      <c r="F2150" s="33">
        <v>3</v>
      </c>
      <c r="G2150" s="33" t="s">
        <v>628</v>
      </c>
      <c r="H2150" s="33" t="s">
        <v>71</v>
      </c>
      <c r="I2150" s="33" t="s">
        <v>75</v>
      </c>
      <c r="J2150" s="34">
        <v>1001.5</v>
      </c>
      <c r="K2150" s="34"/>
      <c r="L2150" s="34">
        <v>1001.5</v>
      </c>
    </row>
    <row r="2151" spans="2:12" x14ac:dyDescent="0.3">
      <c r="B2151" s="25">
        <v>2160</v>
      </c>
      <c r="C2151" s="33">
        <v>3534</v>
      </c>
      <c r="D2151" s="33" t="s">
        <v>1124</v>
      </c>
      <c r="E2151" s="35">
        <v>44795</v>
      </c>
      <c r="F2151" s="33">
        <v>3</v>
      </c>
      <c r="G2151" s="33" t="s">
        <v>122</v>
      </c>
      <c r="H2151" s="33" t="s">
        <v>71</v>
      </c>
      <c r="I2151" s="33" t="s">
        <v>196</v>
      </c>
      <c r="J2151" s="34">
        <v>1907.75</v>
      </c>
      <c r="K2151" s="34"/>
      <c r="L2151" s="34">
        <v>1907.75</v>
      </c>
    </row>
    <row r="2152" spans="2:12" x14ac:dyDescent="0.3">
      <c r="B2152" s="25">
        <v>2161</v>
      </c>
      <c r="C2152" s="33">
        <v>5480</v>
      </c>
      <c r="D2152" s="33" t="s">
        <v>1125</v>
      </c>
      <c r="E2152" s="35">
        <v>44811</v>
      </c>
      <c r="F2152" s="33">
        <v>3</v>
      </c>
      <c r="G2152" s="33" t="s">
        <v>122</v>
      </c>
      <c r="H2152" s="33" t="s">
        <v>201</v>
      </c>
      <c r="I2152" s="33" t="s">
        <v>196</v>
      </c>
      <c r="J2152" s="34">
        <v>1106.03</v>
      </c>
      <c r="K2152" s="34"/>
      <c r="L2152" s="34">
        <v>1106.03</v>
      </c>
    </row>
    <row r="2153" spans="2:12" x14ac:dyDescent="0.3">
      <c r="B2153" s="25">
        <v>2162</v>
      </c>
      <c r="C2153" s="33">
        <v>4733</v>
      </c>
      <c r="D2153" s="33" t="s">
        <v>1126</v>
      </c>
      <c r="E2153" s="35">
        <v>44755</v>
      </c>
      <c r="F2153" s="33">
        <v>3</v>
      </c>
      <c r="G2153" s="33" t="s">
        <v>124</v>
      </c>
      <c r="H2153" s="33" t="s">
        <v>630</v>
      </c>
      <c r="I2153" s="33" t="s">
        <v>197</v>
      </c>
      <c r="J2153" s="34">
        <v>485.44</v>
      </c>
      <c r="K2153" s="34">
        <v>40</v>
      </c>
      <c r="L2153" s="34">
        <v>445.44</v>
      </c>
    </row>
    <row r="2154" spans="2:12" x14ac:dyDescent="0.3">
      <c r="B2154" s="25">
        <v>2163</v>
      </c>
      <c r="C2154" s="33">
        <v>33988</v>
      </c>
      <c r="D2154" s="33" t="s">
        <v>1127</v>
      </c>
      <c r="E2154" s="35">
        <v>44788</v>
      </c>
      <c r="F2154" s="33">
        <v>3</v>
      </c>
      <c r="G2154" s="33" t="s">
        <v>122</v>
      </c>
      <c r="H2154" s="33" t="s">
        <v>72</v>
      </c>
      <c r="I2154" s="33" t="s">
        <v>196</v>
      </c>
      <c r="J2154" s="34">
        <v>14994</v>
      </c>
      <c r="K2154" s="34"/>
      <c r="L2154" s="34">
        <v>14994</v>
      </c>
    </row>
    <row r="2155" spans="2:12" x14ac:dyDescent="0.3">
      <c r="B2155" s="25">
        <v>2164</v>
      </c>
      <c r="C2155" s="33">
        <v>34006</v>
      </c>
      <c r="D2155" s="33" t="s">
        <v>463</v>
      </c>
      <c r="E2155" s="35">
        <v>44797</v>
      </c>
      <c r="F2155" s="33">
        <v>3</v>
      </c>
      <c r="G2155" s="33" t="s">
        <v>122</v>
      </c>
      <c r="H2155" s="33" t="s">
        <v>72</v>
      </c>
      <c r="I2155" s="33" t="s">
        <v>196</v>
      </c>
      <c r="J2155" s="34">
        <v>29399</v>
      </c>
      <c r="K2155" s="34"/>
      <c r="L2155" s="34">
        <v>29399</v>
      </c>
    </row>
    <row r="2156" spans="2:12" x14ac:dyDescent="0.3">
      <c r="B2156" s="25">
        <v>2165</v>
      </c>
      <c r="C2156" s="33">
        <v>34025</v>
      </c>
      <c r="D2156" s="33" t="s">
        <v>639</v>
      </c>
      <c r="E2156" s="35">
        <v>44799</v>
      </c>
      <c r="F2156" s="33">
        <v>3</v>
      </c>
      <c r="G2156" s="33" t="s">
        <v>122</v>
      </c>
      <c r="H2156" s="33" t="s">
        <v>72</v>
      </c>
      <c r="I2156" s="33" t="s">
        <v>196</v>
      </c>
      <c r="J2156" s="34">
        <v>9179.6</v>
      </c>
      <c r="K2156" s="34"/>
      <c r="L2156" s="34">
        <v>9179.6</v>
      </c>
    </row>
    <row r="2157" spans="2:12" x14ac:dyDescent="0.3">
      <c r="B2157" s="25">
        <v>2166</v>
      </c>
      <c r="C2157" s="33">
        <v>34101</v>
      </c>
      <c r="D2157" s="33" t="s">
        <v>1128</v>
      </c>
      <c r="E2157" s="35">
        <v>44803</v>
      </c>
      <c r="F2157" s="33">
        <v>3</v>
      </c>
      <c r="G2157" s="33" t="s">
        <v>122</v>
      </c>
      <c r="H2157" s="33" t="s">
        <v>72</v>
      </c>
      <c r="I2157" s="33" t="s">
        <v>196</v>
      </c>
      <c r="J2157" s="34">
        <v>63264.9</v>
      </c>
      <c r="K2157" s="34"/>
      <c r="L2157" s="34">
        <v>63264.9</v>
      </c>
    </row>
    <row r="2158" spans="2:12" x14ac:dyDescent="0.3">
      <c r="B2158" s="25">
        <v>2167</v>
      </c>
      <c r="C2158" s="33">
        <v>34124</v>
      </c>
      <c r="D2158" s="33" t="s">
        <v>394</v>
      </c>
      <c r="E2158" s="35">
        <v>44804</v>
      </c>
      <c r="F2158" s="33">
        <v>3</v>
      </c>
      <c r="G2158" s="33" t="s">
        <v>122</v>
      </c>
      <c r="H2158" s="33" t="s">
        <v>72</v>
      </c>
      <c r="I2158" s="33" t="s">
        <v>196</v>
      </c>
      <c r="J2158" s="34">
        <v>8608</v>
      </c>
      <c r="K2158" s="34"/>
      <c r="L2158" s="34">
        <v>8608</v>
      </c>
    </row>
    <row r="2159" spans="2:12" x14ac:dyDescent="0.3">
      <c r="B2159" s="25">
        <v>2168</v>
      </c>
      <c r="C2159" s="33">
        <v>34128</v>
      </c>
      <c r="D2159" s="33" t="s">
        <v>394</v>
      </c>
      <c r="E2159" s="35">
        <v>44804</v>
      </c>
      <c r="F2159" s="33">
        <v>3</v>
      </c>
      <c r="G2159" s="33" t="s">
        <v>122</v>
      </c>
      <c r="H2159" s="33" t="s">
        <v>72</v>
      </c>
      <c r="I2159" s="33" t="s">
        <v>196</v>
      </c>
      <c r="J2159" s="34">
        <v>4068.3</v>
      </c>
      <c r="K2159" s="34"/>
      <c r="L2159" s="34">
        <v>4068.3</v>
      </c>
    </row>
    <row r="2160" spans="2:12" x14ac:dyDescent="0.3">
      <c r="B2160" s="25">
        <v>2169</v>
      </c>
      <c r="C2160" s="33">
        <v>34132</v>
      </c>
      <c r="D2160" s="33" t="s">
        <v>394</v>
      </c>
      <c r="E2160" s="35">
        <v>44804</v>
      </c>
      <c r="F2160" s="33">
        <v>3</v>
      </c>
      <c r="G2160" s="33" t="s">
        <v>122</v>
      </c>
      <c r="H2160" s="33" t="s">
        <v>72</v>
      </c>
      <c r="I2160" s="33" t="s">
        <v>196</v>
      </c>
      <c r="J2160" s="34">
        <v>949.1</v>
      </c>
      <c r="K2160" s="34">
        <v>100</v>
      </c>
      <c r="L2160" s="34">
        <v>849.1</v>
      </c>
    </row>
    <row r="2161" spans="2:12" x14ac:dyDescent="0.3">
      <c r="B2161" s="25">
        <v>2170</v>
      </c>
      <c r="C2161" s="33">
        <v>34160</v>
      </c>
      <c r="D2161" s="33" t="s">
        <v>1129</v>
      </c>
      <c r="E2161" s="35">
        <v>44810</v>
      </c>
      <c r="F2161" s="33">
        <v>3</v>
      </c>
      <c r="G2161" s="33" t="s">
        <v>124</v>
      </c>
      <c r="H2161" s="33" t="s">
        <v>72</v>
      </c>
      <c r="I2161" s="33" t="s">
        <v>197</v>
      </c>
      <c r="J2161" s="34">
        <v>7588</v>
      </c>
      <c r="K2161" s="34"/>
      <c r="L2161" s="34">
        <v>7588</v>
      </c>
    </row>
    <row r="2162" spans="2:12" x14ac:dyDescent="0.3">
      <c r="B2162" s="25">
        <v>2171</v>
      </c>
      <c r="C2162" s="33">
        <v>34181</v>
      </c>
      <c r="D2162" s="33" t="s">
        <v>892</v>
      </c>
      <c r="E2162" s="35">
        <v>44811</v>
      </c>
      <c r="F2162" s="33">
        <v>3</v>
      </c>
      <c r="G2162" s="33" t="s">
        <v>122</v>
      </c>
      <c r="H2162" s="33" t="s">
        <v>72</v>
      </c>
      <c r="I2162" s="33" t="s">
        <v>196</v>
      </c>
      <c r="J2162" s="34">
        <v>18711.599999999999</v>
      </c>
      <c r="K2162" s="34"/>
      <c r="L2162" s="34">
        <v>18711.599999999999</v>
      </c>
    </row>
    <row r="2163" spans="2:12" x14ac:dyDescent="0.3">
      <c r="B2163" s="25">
        <v>2172</v>
      </c>
      <c r="C2163" s="33">
        <v>34185</v>
      </c>
      <c r="D2163" s="33" t="s">
        <v>611</v>
      </c>
      <c r="E2163" s="35">
        <v>44812</v>
      </c>
      <c r="F2163" s="33">
        <v>3</v>
      </c>
      <c r="G2163" s="33" t="s">
        <v>628</v>
      </c>
      <c r="H2163" s="33" t="s">
        <v>72</v>
      </c>
      <c r="I2163" s="33" t="s">
        <v>75</v>
      </c>
      <c r="J2163" s="34">
        <v>1176.9000000000001</v>
      </c>
      <c r="K2163" s="34"/>
      <c r="L2163" s="34">
        <v>1176.9000000000001</v>
      </c>
    </row>
    <row r="2164" spans="2:12" x14ac:dyDescent="0.3">
      <c r="B2164" s="25">
        <v>2173</v>
      </c>
      <c r="C2164" s="33">
        <v>34198</v>
      </c>
      <c r="D2164" s="33" t="s">
        <v>446</v>
      </c>
      <c r="E2164" s="35">
        <v>44813</v>
      </c>
      <c r="F2164" s="33">
        <v>3</v>
      </c>
      <c r="G2164" s="33" t="s">
        <v>231</v>
      </c>
      <c r="H2164" s="33" t="s">
        <v>72</v>
      </c>
      <c r="I2164" s="33" t="s">
        <v>198</v>
      </c>
      <c r="J2164" s="34">
        <v>7906.4</v>
      </c>
      <c r="K2164" s="34"/>
      <c r="L2164" s="34">
        <v>7906.4</v>
      </c>
    </row>
    <row r="2165" spans="2:12" x14ac:dyDescent="0.3">
      <c r="B2165" s="25">
        <v>2174</v>
      </c>
      <c r="C2165" s="33">
        <v>53324</v>
      </c>
      <c r="D2165" s="33" t="s">
        <v>275</v>
      </c>
      <c r="E2165" s="35">
        <v>44743</v>
      </c>
      <c r="F2165" s="33">
        <v>3</v>
      </c>
      <c r="G2165" s="33" t="s">
        <v>124</v>
      </c>
      <c r="H2165" s="33" t="s">
        <v>69</v>
      </c>
      <c r="I2165" s="33" t="s">
        <v>197</v>
      </c>
      <c r="J2165" s="34">
        <v>1510.5</v>
      </c>
      <c r="K2165" s="34"/>
      <c r="L2165" s="34">
        <v>1510.5</v>
      </c>
    </row>
    <row r="2166" spans="2:12" x14ac:dyDescent="0.3">
      <c r="B2166" s="25">
        <v>2175</v>
      </c>
      <c r="C2166" s="33">
        <v>53362</v>
      </c>
      <c r="D2166" s="33" t="s">
        <v>416</v>
      </c>
      <c r="E2166" s="35">
        <v>44743</v>
      </c>
      <c r="F2166" s="33">
        <v>3</v>
      </c>
      <c r="G2166" s="33" t="s">
        <v>231</v>
      </c>
      <c r="H2166" s="33" t="s">
        <v>69</v>
      </c>
      <c r="I2166" s="33" t="s">
        <v>198</v>
      </c>
      <c r="J2166" s="34">
        <v>2921.5</v>
      </c>
      <c r="K2166" s="34"/>
      <c r="L2166" s="34">
        <v>2921.5</v>
      </c>
    </row>
    <row r="2167" spans="2:12" x14ac:dyDescent="0.3">
      <c r="B2167" s="25">
        <v>2176</v>
      </c>
      <c r="C2167" s="33">
        <v>53377</v>
      </c>
      <c r="D2167" s="33" t="s">
        <v>401</v>
      </c>
      <c r="E2167" s="35">
        <v>44743</v>
      </c>
      <c r="F2167" s="33">
        <v>3</v>
      </c>
      <c r="G2167" s="33" t="s">
        <v>231</v>
      </c>
      <c r="H2167" s="33" t="s">
        <v>69</v>
      </c>
      <c r="I2167" s="33" t="s">
        <v>198</v>
      </c>
      <c r="J2167" s="34">
        <v>3426.5</v>
      </c>
      <c r="K2167" s="34"/>
      <c r="L2167" s="34">
        <v>3426.5</v>
      </c>
    </row>
    <row r="2168" spans="2:12" x14ac:dyDescent="0.3">
      <c r="B2168" s="25">
        <v>2177</v>
      </c>
      <c r="C2168" s="33">
        <v>9815</v>
      </c>
      <c r="D2168" s="33" t="s">
        <v>410</v>
      </c>
      <c r="E2168" s="35">
        <v>44748</v>
      </c>
      <c r="F2168" s="33">
        <v>3</v>
      </c>
      <c r="G2168" s="33" t="s">
        <v>231</v>
      </c>
      <c r="H2168" s="33" t="s">
        <v>69</v>
      </c>
      <c r="I2168" s="33" t="s">
        <v>198</v>
      </c>
      <c r="J2168" s="34">
        <v>11610</v>
      </c>
      <c r="K2168" s="34"/>
      <c r="L2168" s="34">
        <v>11610</v>
      </c>
    </row>
    <row r="2169" spans="2:12" x14ac:dyDescent="0.3">
      <c r="B2169" s="25">
        <v>2178</v>
      </c>
      <c r="C2169" s="33" t="s">
        <v>1130</v>
      </c>
      <c r="D2169" s="33" t="s">
        <v>400</v>
      </c>
      <c r="E2169" s="35">
        <v>44750</v>
      </c>
      <c r="F2169" s="33">
        <v>3</v>
      </c>
      <c r="G2169" s="33" t="s">
        <v>231</v>
      </c>
      <c r="H2169" s="33" t="s">
        <v>69</v>
      </c>
      <c r="I2169" s="33" t="s">
        <v>198</v>
      </c>
      <c r="J2169" s="34">
        <v>1290.06</v>
      </c>
      <c r="K2169" s="34"/>
      <c r="L2169" s="34">
        <v>1290.06</v>
      </c>
    </row>
    <row r="2170" spans="2:12" x14ac:dyDescent="0.3">
      <c r="B2170" s="25">
        <v>2179</v>
      </c>
      <c r="C2170" s="33">
        <v>53478</v>
      </c>
      <c r="D2170" s="33" t="s">
        <v>400</v>
      </c>
      <c r="E2170" s="35">
        <v>44750</v>
      </c>
      <c r="F2170" s="33">
        <v>3</v>
      </c>
      <c r="G2170" s="33" t="s">
        <v>231</v>
      </c>
      <c r="H2170" s="33" t="s">
        <v>69</v>
      </c>
      <c r="I2170" s="33" t="s">
        <v>198</v>
      </c>
      <c r="J2170" s="34">
        <v>1384.15</v>
      </c>
      <c r="K2170" s="34"/>
      <c r="L2170" s="34">
        <v>1384.15</v>
      </c>
    </row>
    <row r="2171" spans="2:12" x14ac:dyDescent="0.3">
      <c r="B2171" s="25">
        <v>2180</v>
      </c>
      <c r="C2171" s="33">
        <v>53480</v>
      </c>
      <c r="D2171" s="33" t="s">
        <v>369</v>
      </c>
      <c r="E2171" s="35">
        <v>44750</v>
      </c>
      <c r="F2171" s="33">
        <v>3</v>
      </c>
      <c r="G2171" s="33" t="s">
        <v>124</v>
      </c>
      <c r="H2171" s="33" t="s">
        <v>69</v>
      </c>
      <c r="I2171" s="33" t="s">
        <v>197</v>
      </c>
      <c r="J2171" s="34">
        <v>5270</v>
      </c>
      <c r="K2171" s="34"/>
      <c r="L2171" s="34">
        <v>5270</v>
      </c>
    </row>
    <row r="2172" spans="2:12" x14ac:dyDescent="0.3">
      <c r="B2172" s="25">
        <v>2181</v>
      </c>
      <c r="C2172" s="33">
        <v>53481</v>
      </c>
      <c r="D2172" s="33" t="s">
        <v>404</v>
      </c>
      <c r="E2172" s="35">
        <v>44750</v>
      </c>
      <c r="F2172" s="33">
        <v>3</v>
      </c>
      <c r="G2172" s="33" t="s">
        <v>122</v>
      </c>
      <c r="H2172" s="33" t="s">
        <v>69</v>
      </c>
      <c r="I2172" s="33" t="s">
        <v>196</v>
      </c>
      <c r="J2172" s="34">
        <v>713.5</v>
      </c>
      <c r="K2172" s="34"/>
      <c r="L2172" s="34">
        <v>713.5</v>
      </c>
    </row>
    <row r="2173" spans="2:12" x14ac:dyDescent="0.3">
      <c r="B2173" s="25">
        <v>2182</v>
      </c>
      <c r="C2173" s="33">
        <v>53486</v>
      </c>
      <c r="D2173" s="33" t="s">
        <v>414</v>
      </c>
      <c r="E2173" s="35">
        <v>44750</v>
      </c>
      <c r="F2173" s="33">
        <v>3</v>
      </c>
      <c r="G2173" s="33" t="s">
        <v>122</v>
      </c>
      <c r="H2173" s="33" t="s">
        <v>69</v>
      </c>
      <c r="I2173" s="33" t="s">
        <v>196</v>
      </c>
      <c r="J2173" s="34">
        <v>136.5</v>
      </c>
      <c r="K2173" s="34"/>
      <c r="L2173" s="34">
        <v>136.5</v>
      </c>
    </row>
    <row r="2174" spans="2:12" x14ac:dyDescent="0.3">
      <c r="B2174" s="25">
        <v>2183</v>
      </c>
      <c r="C2174" s="33">
        <v>53487</v>
      </c>
      <c r="D2174" s="33" t="s">
        <v>512</v>
      </c>
      <c r="E2174" s="35">
        <v>44750</v>
      </c>
      <c r="F2174" s="33">
        <v>3</v>
      </c>
      <c r="G2174" s="33" t="s">
        <v>122</v>
      </c>
      <c r="H2174" s="33" t="s">
        <v>69</v>
      </c>
      <c r="I2174" s="33" t="s">
        <v>196</v>
      </c>
      <c r="J2174" s="34">
        <v>1642</v>
      </c>
      <c r="K2174" s="34"/>
      <c r="L2174" s="34">
        <v>1642</v>
      </c>
    </row>
    <row r="2175" spans="2:12" x14ac:dyDescent="0.3">
      <c r="B2175" s="25">
        <v>2184</v>
      </c>
      <c r="C2175" s="33">
        <v>53488</v>
      </c>
      <c r="D2175" s="33" t="s">
        <v>411</v>
      </c>
      <c r="E2175" s="35">
        <v>44750</v>
      </c>
      <c r="F2175" s="33">
        <v>3</v>
      </c>
      <c r="G2175" s="33" t="s">
        <v>122</v>
      </c>
      <c r="H2175" s="33" t="s">
        <v>69</v>
      </c>
      <c r="I2175" s="33" t="s">
        <v>196</v>
      </c>
      <c r="J2175" s="34">
        <v>665.5</v>
      </c>
      <c r="K2175" s="34"/>
      <c r="L2175" s="34">
        <v>665.5</v>
      </c>
    </row>
    <row r="2176" spans="2:12" x14ac:dyDescent="0.3">
      <c r="B2176" s="25">
        <v>2185</v>
      </c>
      <c r="C2176" s="33">
        <v>53489</v>
      </c>
      <c r="D2176" s="33" t="s">
        <v>281</v>
      </c>
      <c r="E2176" s="35">
        <v>44750</v>
      </c>
      <c r="F2176" s="33">
        <v>3</v>
      </c>
      <c r="G2176" s="33" t="s">
        <v>124</v>
      </c>
      <c r="H2176" s="33" t="s">
        <v>69</v>
      </c>
      <c r="I2176" s="33" t="s">
        <v>197</v>
      </c>
      <c r="J2176" s="34">
        <v>2280.0100000000002</v>
      </c>
      <c r="K2176" s="34"/>
      <c r="L2176" s="34">
        <v>2280.0100000000002</v>
      </c>
    </row>
    <row r="2177" spans="2:12" x14ac:dyDescent="0.3">
      <c r="B2177" s="25">
        <v>2186</v>
      </c>
      <c r="C2177" s="33">
        <v>53490</v>
      </c>
      <c r="D2177" s="33" t="s">
        <v>281</v>
      </c>
      <c r="E2177" s="35">
        <v>44750</v>
      </c>
      <c r="F2177" s="33">
        <v>3</v>
      </c>
      <c r="G2177" s="33" t="s">
        <v>124</v>
      </c>
      <c r="H2177" s="33" t="s">
        <v>69</v>
      </c>
      <c r="I2177" s="33" t="s">
        <v>197</v>
      </c>
      <c r="J2177" s="34">
        <v>672.96</v>
      </c>
      <c r="K2177" s="34"/>
      <c r="L2177" s="34">
        <v>672.96</v>
      </c>
    </row>
    <row r="2178" spans="2:12" x14ac:dyDescent="0.3">
      <c r="B2178" s="25">
        <v>2187</v>
      </c>
      <c r="C2178" s="33">
        <v>53492</v>
      </c>
      <c r="D2178" s="33" t="s">
        <v>281</v>
      </c>
      <c r="E2178" s="35">
        <v>44750</v>
      </c>
      <c r="F2178" s="33">
        <v>3</v>
      </c>
      <c r="G2178" s="33" t="s">
        <v>124</v>
      </c>
      <c r="H2178" s="33" t="s">
        <v>69</v>
      </c>
      <c r="I2178" s="33" t="s">
        <v>197</v>
      </c>
      <c r="J2178" s="34">
        <v>5408.1</v>
      </c>
      <c r="K2178" s="34"/>
      <c r="L2178" s="34">
        <v>5408.1</v>
      </c>
    </row>
    <row r="2179" spans="2:12" x14ac:dyDescent="0.3">
      <c r="B2179" s="25">
        <v>2188</v>
      </c>
      <c r="C2179" s="33">
        <v>53587</v>
      </c>
      <c r="D2179" s="33" t="s">
        <v>404</v>
      </c>
      <c r="E2179" s="35">
        <v>44757</v>
      </c>
      <c r="F2179" s="33">
        <v>3</v>
      </c>
      <c r="G2179" s="33" t="s">
        <v>122</v>
      </c>
      <c r="H2179" s="33" t="s">
        <v>69</v>
      </c>
      <c r="I2179" s="33" t="s">
        <v>196</v>
      </c>
      <c r="J2179" s="34">
        <v>2948.49</v>
      </c>
      <c r="K2179" s="34"/>
      <c r="L2179" s="34">
        <v>2948.49</v>
      </c>
    </row>
    <row r="2180" spans="2:12" x14ac:dyDescent="0.3">
      <c r="B2180" s="25">
        <v>2189</v>
      </c>
      <c r="C2180" s="33">
        <v>53590</v>
      </c>
      <c r="D2180" s="33" t="s">
        <v>281</v>
      </c>
      <c r="E2180" s="35">
        <v>44757</v>
      </c>
      <c r="F2180" s="33">
        <v>3</v>
      </c>
      <c r="G2180" s="33" t="s">
        <v>124</v>
      </c>
      <c r="H2180" s="33" t="s">
        <v>69</v>
      </c>
      <c r="I2180" s="33" t="s">
        <v>197</v>
      </c>
      <c r="J2180" s="34">
        <v>1232.5</v>
      </c>
      <c r="K2180" s="34"/>
      <c r="L2180" s="34">
        <v>1232.5</v>
      </c>
    </row>
    <row r="2181" spans="2:12" x14ac:dyDescent="0.3">
      <c r="B2181" s="25">
        <v>2190</v>
      </c>
      <c r="C2181" s="33">
        <v>53591</v>
      </c>
      <c r="D2181" s="33" t="s">
        <v>493</v>
      </c>
      <c r="E2181" s="35">
        <v>44757</v>
      </c>
      <c r="F2181" s="33">
        <v>3</v>
      </c>
      <c r="G2181" s="33" t="s">
        <v>122</v>
      </c>
      <c r="H2181" s="33" t="s">
        <v>69</v>
      </c>
      <c r="I2181" s="33" t="s">
        <v>196</v>
      </c>
      <c r="J2181" s="34">
        <v>12645.99</v>
      </c>
      <c r="K2181" s="34"/>
      <c r="L2181" s="34">
        <v>12645.99</v>
      </c>
    </row>
    <row r="2182" spans="2:12" x14ac:dyDescent="0.3">
      <c r="B2182" s="25">
        <v>2191</v>
      </c>
      <c r="C2182" s="33">
        <v>53592</v>
      </c>
      <c r="D2182" s="33" t="s">
        <v>400</v>
      </c>
      <c r="E2182" s="35">
        <v>44757</v>
      </c>
      <c r="F2182" s="33">
        <v>3</v>
      </c>
      <c r="G2182" s="33" t="s">
        <v>231</v>
      </c>
      <c r="H2182" s="33" t="s">
        <v>69</v>
      </c>
      <c r="I2182" s="33" t="s">
        <v>198</v>
      </c>
      <c r="J2182" s="34">
        <v>1180.94</v>
      </c>
      <c r="K2182" s="34"/>
      <c r="L2182" s="34">
        <v>1180.94</v>
      </c>
    </row>
    <row r="2183" spans="2:12" x14ac:dyDescent="0.3">
      <c r="B2183" s="25">
        <v>2192</v>
      </c>
      <c r="C2183" s="33">
        <v>53593</v>
      </c>
      <c r="D2183" s="33" t="s">
        <v>400</v>
      </c>
      <c r="E2183" s="35">
        <v>44757</v>
      </c>
      <c r="F2183" s="33">
        <v>3</v>
      </c>
      <c r="G2183" s="33" t="s">
        <v>231</v>
      </c>
      <c r="H2183" s="33" t="s">
        <v>69</v>
      </c>
      <c r="I2183" s="33" t="s">
        <v>198</v>
      </c>
      <c r="J2183" s="34">
        <v>1570.8</v>
      </c>
      <c r="K2183" s="34"/>
      <c r="L2183" s="34">
        <v>1570.8</v>
      </c>
    </row>
    <row r="2184" spans="2:12" x14ac:dyDescent="0.3">
      <c r="B2184" s="25">
        <v>2193</v>
      </c>
      <c r="C2184" s="33">
        <v>53594</v>
      </c>
      <c r="D2184" s="33" t="s">
        <v>400</v>
      </c>
      <c r="E2184" s="35">
        <v>44757</v>
      </c>
      <c r="F2184" s="33">
        <v>3</v>
      </c>
      <c r="G2184" s="33" t="s">
        <v>231</v>
      </c>
      <c r="H2184" s="33" t="s">
        <v>69</v>
      </c>
      <c r="I2184" s="33" t="s">
        <v>198</v>
      </c>
      <c r="J2184" s="34">
        <v>2090.29</v>
      </c>
      <c r="K2184" s="34"/>
      <c r="L2184" s="34">
        <v>2090.29</v>
      </c>
    </row>
    <row r="2185" spans="2:12" x14ac:dyDescent="0.3">
      <c r="B2185" s="25">
        <v>2194</v>
      </c>
      <c r="C2185" s="33">
        <v>53595</v>
      </c>
      <c r="D2185" s="33" t="s">
        <v>283</v>
      </c>
      <c r="E2185" s="35">
        <v>44757</v>
      </c>
      <c r="F2185" s="33">
        <v>3</v>
      </c>
      <c r="G2185" s="33" t="s">
        <v>124</v>
      </c>
      <c r="H2185" s="33" t="s">
        <v>69</v>
      </c>
      <c r="I2185" s="33" t="s">
        <v>197</v>
      </c>
      <c r="J2185" s="34">
        <v>5150.5200000000004</v>
      </c>
      <c r="K2185" s="34"/>
      <c r="L2185" s="34">
        <v>5150.5200000000004</v>
      </c>
    </row>
    <row r="2186" spans="2:12" x14ac:dyDescent="0.3">
      <c r="B2186" s="25">
        <v>2195</v>
      </c>
      <c r="C2186" s="33">
        <v>53632</v>
      </c>
      <c r="D2186" s="33" t="s">
        <v>412</v>
      </c>
      <c r="E2186" s="35">
        <v>44757</v>
      </c>
      <c r="F2186" s="33">
        <v>3</v>
      </c>
      <c r="G2186" s="33" t="s">
        <v>231</v>
      </c>
      <c r="H2186" s="33" t="s">
        <v>69</v>
      </c>
      <c r="I2186" s="33" t="s">
        <v>198</v>
      </c>
      <c r="J2186" s="34">
        <v>9</v>
      </c>
      <c r="K2186" s="34"/>
      <c r="L2186" s="34">
        <v>9</v>
      </c>
    </row>
    <row r="2187" spans="2:12" x14ac:dyDescent="0.3">
      <c r="B2187" s="25">
        <v>2196</v>
      </c>
      <c r="C2187" s="33">
        <v>53798</v>
      </c>
      <c r="D2187" s="33" t="s">
        <v>804</v>
      </c>
      <c r="E2187" s="35">
        <v>44770</v>
      </c>
      <c r="F2187" s="33">
        <v>3</v>
      </c>
      <c r="G2187" s="33" t="s">
        <v>124</v>
      </c>
      <c r="H2187" s="33" t="s">
        <v>69</v>
      </c>
      <c r="I2187" s="33" t="s">
        <v>197</v>
      </c>
      <c r="J2187" s="34">
        <v>3372</v>
      </c>
      <c r="K2187" s="34"/>
      <c r="L2187" s="34">
        <v>3372</v>
      </c>
    </row>
    <row r="2188" spans="2:12" x14ac:dyDescent="0.3">
      <c r="B2188" s="25">
        <v>2197</v>
      </c>
      <c r="C2188" s="33">
        <v>53887</v>
      </c>
      <c r="D2188" s="33" t="s">
        <v>414</v>
      </c>
      <c r="E2188" s="35">
        <v>44805</v>
      </c>
      <c r="F2188" s="33">
        <v>3</v>
      </c>
      <c r="G2188" s="33" t="s">
        <v>122</v>
      </c>
      <c r="H2188" s="33" t="s">
        <v>69</v>
      </c>
      <c r="I2188" s="33" t="s">
        <v>196</v>
      </c>
      <c r="J2188" s="34">
        <v>168.5</v>
      </c>
      <c r="K2188" s="34"/>
      <c r="L2188" s="34">
        <v>168.5</v>
      </c>
    </row>
    <row r="2189" spans="2:12" x14ac:dyDescent="0.3">
      <c r="B2189" s="25">
        <v>2198</v>
      </c>
      <c r="C2189" s="33">
        <v>53891</v>
      </c>
      <c r="D2189" s="33" t="s">
        <v>493</v>
      </c>
      <c r="E2189" s="35">
        <v>44805</v>
      </c>
      <c r="F2189" s="33">
        <v>3</v>
      </c>
      <c r="G2189" s="33" t="s">
        <v>122</v>
      </c>
      <c r="H2189" s="33" t="s">
        <v>69</v>
      </c>
      <c r="I2189" s="33" t="s">
        <v>196</v>
      </c>
      <c r="J2189" s="34">
        <v>7185.53</v>
      </c>
      <c r="K2189" s="34"/>
      <c r="L2189" s="34">
        <v>7185.53</v>
      </c>
    </row>
    <row r="2190" spans="2:12" x14ac:dyDescent="0.3">
      <c r="B2190" s="25">
        <v>2199</v>
      </c>
      <c r="C2190" s="33">
        <v>53959</v>
      </c>
      <c r="D2190" s="33" t="s">
        <v>400</v>
      </c>
      <c r="E2190" s="35">
        <v>44806</v>
      </c>
      <c r="F2190" s="33">
        <v>3</v>
      </c>
      <c r="G2190" s="33" t="s">
        <v>231</v>
      </c>
      <c r="H2190" s="33" t="s">
        <v>69</v>
      </c>
      <c r="I2190" s="33" t="s">
        <v>198</v>
      </c>
      <c r="J2190" s="34">
        <v>1195.48</v>
      </c>
      <c r="K2190" s="34"/>
      <c r="L2190" s="34">
        <v>1195.48</v>
      </c>
    </row>
    <row r="2191" spans="2:12" x14ac:dyDescent="0.3">
      <c r="B2191" s="25">
        <v>2200</v>
      </c>
      <c r="C2191" s="33">
        <v>53960</v>
      </c>
      <c r="D2191" s="33" t="s">
        <v>400</v>
      </c>
      <c r="E2191" s="35">
        <v>44806</v>
      </c>
      <c r="F2191" s="33">
        <v>3</v>
      </c>
      <c r="G2191" s="33" t="s">
        <v>231</v>
      </c>
      <c r="H2191" s="33" t="s">
        <v>69</v>
      </c>
      <c r="I2191" s="33" t="s">
        <v>198</v>
      </c>
      <c r="J2191" s="34">
        <v>276.94</v>
      </c>
      <c r="K2191" s="34"/>
      <c r="L2191" s="34">
        <v>276.94</v>
      </c>
    </row>
    <row r="2192" spans="2:12" x14ac:dyDescent="0.3">
      <c r="B2192" s="25">
        <v>2201</v>
      </c>
      <c r="C2192" s="33">
        <v>53961</v>
      </c>
      <c r="D2192" s="33" t="s">
        <v>400</v>
      </c>
      <c r="E2192" s="35">
        <v>44806</v>
      </c>
      <c r="F2192" s="33">
        <v>3</v>
      </c>
      <c r="G2192" s="33" t="s">
        <v>231</v>
      </c>
      <c r="H2192" s="33" t="s">
        <v>69</v>
      </c>
      <c r="I2192" s="33" t="s">
        <v>198</v>
      </c>
      <c r="J2192" s="34">
        <v>127.53</v>
      </c>
      <c r="K2192" s="34"/>
      <c r="L2192" s="34">
        <v>127.53</v>
      </c>
    </row>
    <row r="2193" spans="2:12" x14ac:dyDescent="0.3">
      <c r="B2193" s="25">
        <v>2202</v>
      </c>
      <c r="C2193" s="33">
        <v>53962</v>
      </c>
      <c r="D2193" s="33" t="s">
        <v>416</v>
      </c>
      <c r="E2193" s="35">
        <v>44806</v>
      </c>
      <c r="F2193" s="33">
        <v>3</v>
      </c>
      <c r="G2193" s="33" t="s">
        <v>231</v>
      </c>
      <c r="H2193" s="33" t="s">
        <v>69</v>
      </c>
      <c r="I2193" s="33" t="s">
        <v>198</v>
      </c>
      <c r="J2193" s="34">
        <v>1995.97</v>
      </c>
      <c r="K2193" s="34"/>
      <c r="L2193" s="34">
        <v>1995.97</v>
      </c>
    </row>
    <row r="2194" spans="2:12" x14ac:dyDescent="0.3">
      <c r="B2194" s="25">
        <v>2203</v>
      </c>
      <c r="C2194" s="33">
        <v>12004</v>
      </c>
      <c r="D2194" s="33" t="s">
        <v>410</v>
      </c>
      <c r="E2194" s="35">
        <v>44810</v>
      </c>
      <c r="F2194" s="33">
        <v>3</v>
      </c>
      <c r="G2194" s="33" t="s">
        <v>231</v>
      </c>
      <c r="H2194" s="33" t="s">
        <v>69</v>
      </c>
      <c r="I2194" s="33" t="s">
        <v>198</v>
      </c>
      <c r="J2194" s="34">
        <v>3004.5</v>
      </c>
      <c r="K2194" s="34"/>
      <c r="L2194" s="34">
        <v>3004.5</v>
      </c>
    </row>
    <row r="2195" spans="2:12" x14ac:dyDescent="0.3">
      <c r="B2195" s="25">
        <v>2204</v>
      </c>
      <c r="C2195" s="33">
        <v>52222</v>
      </c>
      <c r="D2195" s="33" t="s">
        <v>400</v>
      </c>
      <c r="E2195" s="35">
        <v>44743</v>
      </c>
      <c r="F2195" s="33">
        <v>3</v>
      </c>
      <c r="G2195" s="33" t="s">
        <v>231</v>
      </c>
      <c r="H2195" s="33">
        <v>53</v>
      </c>
      <c r="I2195" s="33" t="s">
        <v>198</v>
      </c>
      <c r="J2195" s="34">
        <v>1551.96</v>
      </c>
      <c r="K2195" s="34"/>
      <c r="L2195" s="34">
        <v>1551.96</v>
      </c>
    </row>
    <row r="2196" spans="2:12" x14ac:dyDescent="0.3">
      <c r="B2196" s="25">
        <v>2205</v>
      </c>
      <c r="C2196" s="33">
        <v>52223</v>
      </c>
      <c r="D2196" s="33" t="s">
        <v>400</v>
      </c>
      <c r="E2196" s="35">
        <v>44743</v>
      </c>
      <c r="F2196" s="33">
        <v>3</v>
      </c>
      <c r="G2196" s="33" t="s">
        <v>231</v>
      </c>
      <c r="H2196" s="33">
        <v>53</v>
      </c>
      <c r="I2196" s="33" t="s">
        <v>198</v>
      </c>
      <c r="J2196" s="34">
        <v>496.63</v>
      </c>
      <c r="K2196" s="34"/>
      <c r="L2196" s="34">
        <v>496.63</v>
      </c>
    </row>
    <row r="2197" spans="2:12" x14ac:dyDescent="0.3">
      <c r="B2197" s="25">
        <v>2206</v>
      </c>
      <c r="C2197" s="33">
        <v>52224</v>
      </c>
      <c r="D2197" s="33" t="s">
        <v>400</v>
      </c>
      <c r="E2197" s="35">
        <v>44743</v>
      </c>
      <c r="F2197" s="33">
        <v>3</v>
      </c>
      <c r="G2197" s="33" t="s">
        <v>231</v>
      </c>
      <c r="H2197" s="33">
        <v>53</v>
      </c>
      <c r="I2197" s="33" t="s">
        <v>198</v>
      </c>
      <c r="J2197" s="34">
        <v>597.51</v>
      </c>
      <c r="K2197" s="34"/>
      <c r="L2197" s="34">
        <v>597.51</v>
      </c>
    </row>
    <row r="2198" spans="2:12" x14ac:dyDescent="0.3">
      <c r="B2198" s="25">
        <v>2207</v>
      </c>
      <c r="C2198" s="33">
        <v>15745</v>
      </c>
      <c r="D2198" s="33" t="s">
        <v>410</v>
      </c>
      <c r="E2198" s="35">
        <v>44748</v>
      </c>
      <c r="F2198" s="33">
        <v>3</v>
      </c>
      <c r="G2198" s="33" t="s">
        <v>231</v>
      </c>
      <c r="H2198" s="33" t="s">
        <v>73</v>
      </c>
      <c r="I2198" s="33" t="s">
        <v>198</v>
      </c>
      <c r="J2198" s="34">
        <v>713</v>
      </c>
      <c r="K2198" s="34"/>
      <c r="L2198" s="34">
        <v>713</v>
      </c>
    </row>
    <row r="2199" spans="2:12" x14ac:dyDescent="0.3">
      <c r="B2199" s="25">
        <v>2208</v>
      </c>
      <c r="C2199" s="33">
        <v>52292</v>
      </c>
      <c r="D2199" s="33" t="s">
        <v>443</v>
      </c>
      <c r="E2199" s="35">
        <v>44749</v>
      </c>
      <c r="F2199" s="33">
        <v>3</v>
      </c>
      <c r="G2199" s="33" t="s">
        <v>122</v>
      </c>
      <c r="H2199" s="33" t="s">
        <v>73</v>
      </c>
      <c r="I2199" s="33" t="s">
        <v>196</v>
      </c>
      <c r="J2199" s="34">
        <v>207</v>
      </c>
      <c r="K2199" s="34"/>
      <c r="L2199" s="34">
        <v>207</v>
      </c>
    </row>
    <row r="2200" spans="2:12" x14ac:dyDescent="0.3">
      <c r="B2200" s="25">
        <v>2209</v>
      </c>
      <c r="C2200" s="33">
        <v>52293</v>
      </c>
      <c r="D2200" s="33" t="s">
        <v>369</v>
      </c>
      <c r="E2200" s="35">
        <v>44749</v>
      </c>
      <c r="F2200" s="33">
        <v>3</v>
      </c>
      <c r="G2200" s="33" t="s">
        <v>124</v>
      </c>
      <c r="H2200" s="33" t="s">
        <v>73</v>
      </c>
      <c r="I2200" s="33" t="s">
        <v>197</v>
      </c>
      <c r="J2200" s="34">
        <v>3008.33</v>
      </c>
      <c r="K2200" s="34"/>
      <c r="L2200" s="34">
        <v>3008.33</v>
      </c>
    </row>
    <row r="2201" spans="2:12" x14ac:dyDescent="0.3">
      <c r="B2201" s="25">
        <v>2210</v>
      </c>
      <c r="C2201" s="33" t="s">
        <v>1131</v>
      </c>
      <c r="D2201" s="33" t="s">
        <v>412</v>
      </c>
      <c r="E2201" s="35">
        <v>44756</v>
      </c>
      <c r="F2201" s="33">
        <v>3</v>
      </c>
      <c r="G2201" s="33" t="s">
        <v>231</v>
      </c>
      <c r="H2201" s="33">
        <v>53</v>
      </c>
      <c r="I2201" s="33" t="s">
        <v>198</v>
      </c>
      <c r="J2201" s="34">
        <v>3564</v>
      </c>
      <c r="K2201" s="34"/>
      <c r="L2201" s="34">
        <v>3564</v>
      </c>
    </row>
    <row r="2202" spans="2:12" x14ac:dyDescent="0.3">
      <c r="B2202" s="25">
        <v>2211</v>
      </c>
      <c r="C2202" s="33">
        <v>52422</v>
      </c>
      <c r="D2202" s="33" t="s">
        <v>400</v>
      </c>
      <c r="E2202" s="35">
        <v>44757</v>
      </c>
      <c r="F2202" s="33">
        <v>3</v>
      </c>
      <c r="G2202" s="33" t="s">
        <v>231</v>
      </c>
      <c r="H2202" s="33">
        <v>53</v>
      </c>
      <c r="I2202" s="33" t="s">
        <v>198</v>
      </c>
      <c r="J2202" s="34">
        <v>1513.1</v>
      </c>
      <c r="K2202" s="34"/>
      <c r="L2202" s="34">
        <v>1513.1</v>
      </c>
    </row>
    <row r="2203" spans="2:12" x14ac:dyDescent="0.3">
      <c r="B2203" s="25">
        <v>2212</v>
      </c>
      <c r="C2203" s="33">
        <v>52423</v>
      </c>
      <c r="D2203" s="33" t="s">
        <v>400</v>
      </c>
      <c r="E2203" s="35">
        <v>44757</v>
      </c>
      <c r="F2203" s="33">
        <v>3</v>
      </c>
      <c r="G2203" s="33" t="s">
        <v>231</v>
      </c>
      <c r="H2203" s="33" t="s">
        <v>73</v>
      </c>
      <c r="I2203" s="33" t="s">
        <v>198</v>
      </c>
      <c r="J2203" s="34">
        <v>126.56</v>
      </c>
      <c r="K2203" s="34"/>
      <c r="L2203" s="34">
        <v>126.56</v>
      </c>
    </row>
    <row r="2204" spans="2:12" x14ac:dyDescent="0.3">
      <c r="B2204" s="25">
        <v>2213</v>
      </c>
      <c r="C2204" s="33">
        <v>52515</v>
      </c>
      <c r="D2204" s="33" t="s">
        <v>804</v>
      </c>
      <c r="E2204" s="35">
        <v>44770</v>
      </c>
      <c r="F2204" s="33">
        <v>3</v>
      </c>
      <c r="G2204" s="33" t="s">
        <v>124</v>
      </c>
      <c r="H2204" s="33" t="s">
        <v>73</v>
      </c>
      <c r="I2204" s="33" t="s">
        <v>197</v>
      </c>
      <c r="J2204" s="34">
        <v>2406.5</v>
      </c>
      <c r="K2204" s="34"/>
      <c r="L2204" s="34">
        <v>2406.5</v>
      </c>
    </row>
    <row r="2205" spans="2:12" x14ac:dyDescent="0.3">
      <c r="B2205" s="25">
        <v>2214</v>
      </c>
      <c r="C2205" s="33" t="s">
        <v>1132</v>
      </c>
      <c r="D2205" s="33" t="s">
        <v>400</v>
      </c>
      <c r="E2205" s="35">
        <v>44770</v>
      </c>
      <c r="F2205" s="33">
        <v>3</v>
      </c>
      <c r="G2205" s="33" t="s">
        <v>231</v>
      </c>
      <c r="H2205" s="33">
        <v>53</v>
      </c>
      <c r="I2205" s="33" t="s">
        <v>198</v>
      </c>
      <c r="J2205" s="34">
        <v>2290.64</v>
      </c>
      <c r="K2205" s="34"/>
      <c r="L2205" s="34">
        <v>2290.64</v>
      </c>
    </row>
    <row r="2206" spans="2:12" x14ac:dyDescent="0.3">
      <c r="B2206" s="25">
        <v>2215</v>
      </c>
      <c r="C2206" s="33">
        <v>52517</v>
      </c>
      <c r="D2206" s="33" t="s">
        <v>400</v>
      </c>
      <c r="E2206" s="35">
        <v>44770</v>
      </c>
      <c r="F2206" s="33">
        <v>3</v>
      </c>
      <c r="G2206" s="33" t="s">
        <v>231</v>
      </c>
      <c r="H2206" s="33">
        <v>53</v>
      </c>
      <c r="I2206" s="33" t="s">
        <v>198</v>
      </c>
      <c r="J2206" s="34">
        <v>1038.8599999999999</v>
      </c>
      <c r="K2206" s="34"/>
      <c r="L2206" s="34">
        <v>1038.8599999999999</v>
      </c>
    </row>
    <row r="2207" spans="2:12" x14ac:dyDescent="0.3">
      <c r="B2207" s="25">
        <v>2216</v>
      </c>
      <c r="C2207" s="33">
        <v>52518</v>
      </c>
      <c r="D2207" s="33" t="s">
        <v>400</v>
      </c>
      <c r="E2207" s="35">
        <v>44770</v>
      </c>
      <c r="F2207" s="33">
        <v>3</v>
      </c>
      <c r="G2207" s="33" t="s">
        <v>231</v>
      </c>
      <c r="H2207" s="33">
        <v>53</v>
      </c>
      <c r="I2207" s="33" t="s">
        <v>198</v>
      </c>
      <c r="J2207" s="34">
        <v>191.09</v>
      </c>
      <c r="K2207" s="34"/>
      <c r="L2207" s="34">
        <v>191.09</v>
      </c>
    </row>
    <row r="2208" spans="2:12" x14ac:dyDescent="0.3">
      <c r="B2208" s="25">
        <v>2217</v>
      </c>
      <c r="C2208" s="33">
        <v>52519</v>
      </c>
      <c r="D2208" s="33" t="s">
        <v>400</v>
      </c>
      <c r="E2208" s="35">
        <v>44770</v>
      </c>
      <c r="F2208" s="33">
        <v>3</v>
      </c>
      <c r="G2208" s="33" t="s">
        <v>231</v>
      </c>
      <c r="H2208" s="33">
        <v>53</v>
      </c>
      <c r="I2208" s="33" t="s">
        <v>198</v>
      </c>
      <c r="J2208" s="34">
        <v>964.63</v>
      </c>
      <c r="K2208" s="34"/>
      <c r="L2208" s="34">
        <v>964.63</v>
      </c>
    </row>
    <row r="2209" spans="2:12" x14ac:dyDescent="0.3">
      <c r="B2209" s="25">
        <v>2218</v>
      </c>
      <c r="C2209" s="33">
        <v>52520</v>
      </c>
      <c r="D2209" s="33" t="s">
        <v>400</v>
      </c>
      <c r="E2209" s="35">
        <v>44770</v>
      </c>
      <c r="F2209" s="33">
        <v>3</v>
      </c>
      <c r="G2209" s="33" t="s">
        <v>231</v>
      </c>
      <c r="H2209" s="33">
        <v>53</v>
      </c>
      <c r="I2209" s="33" t="s">
        <v>198</v>
      </c>
      <c r="J2209" s="34">
        <v>743.48</v>
      </c>
      <c r="K2209" s="34"/>
      <c r="L2209" s="34">
        <v>743.48</v>
      </c>
    </row>
    <row r="2210" spans="2:12" x14ac:dyDescent="0.3">
      <c r="B2210" s="25">
        <v>2219</v>
      </c>
      <c r="C2210" s="33">
        <v>52521</v>
      </c>
      <c r="D2210" s="33" t="s">
        <v>400</v>
      </c>
      <c r="E2210" s="35">
        <v>44770</v>
      </c>
      <c r="F2210" s="33">
        <v>3</v>
      </c>
      <c r="G2210" s="33" t="s">
        <v>231</v>
      </c>
      <c r="H2210" s="33">
        <v>53</v>
      </c>
      <c r="I2210" s="33" t="s">
        <v>198</v>
      </c>
      <c r="J2210" s="34">
        <v>307.48</v>
      </c>
      <c r="K2210" s="34"/>
      <c r="L2210" s="34">
        <v>307.48</v>
      </c>
    </row>
    <row r="2211" spans="2:12" x14ac:dyDescent="0.3">
      <c r="B2211" s="25">
        <v>2220</v>
      </c>
      <c r="C2211" s="33">
        <v>52522</v>
      </c>
      <c r="D2211" s="33" t="s">
        <v>400</v>
      </c>
      <c r="E2211" s="35">
        <v>44770</v>
      </c>
      <c r="F2211" s="33">
        <v>3</v>
      </c>
      <c r="G2211" s="33" t="s">
        <v>231</v>
      </c>
      <c r="H2211" s="33">
        <v>53</v>
      </c>
      <c r="I2211" s="33" t="s">
        <v>198</v>
      </c>
      <c r="J2211" s="34">
        <v>2056.9</v>
      </c>
      <c r="K2211" s="34"/>
      <c r="L2211" s="34">
        <v>2056.9</v>
      </c>
    </row>
    <row r="2212" spans="2:12" x14ac:dyDescent="0.3">
      <c r="B2212" s="25">
        <v>2221</v>
      </c>
      <c r="C2212" s="33">
        <v>52523</v>
      </c>
      <c r="D2212" s="33" t="s">
        <v>400</v>
      </c>
      <c r="E2212" s="35">
        <v>44770</v>
      </c>
      <c r="F2212" s="33">
        <v>3</v>
      </c>
      <c r="G2212" s="33" t="s">
        <v>231</v>
      </c>
      <c r="H2212" s="33">
        <v>53</v>
      </c>
      <c r="I2212" s="33" t="s">
        <v>198</v>
      </c>
      <c r="J2212" s="34">
        <v>496.6</v>
      </c>
      <c r="K2212" s="34"/>
      <c r="L2212" s="34">
        <v>496.6</v>
      </c>
    </row>
    <row r="2213" spans="2:12" x14ac:dyDescent="0.3">
      <c r="B2213" s="25">
        <v>2222</v>
      </c>
      <c r="C2213" s="33">
        <v>52524</v>
      </c>
      <c r="D2213" s="33" t="s">
        <v>400</v>
      </c>
      <c r="E2213" s="35">
        <v>44770</v>
      </c>
      <c r="F2213" s="33">
        <v>3</v>
      </c>
      <c r="G2213" s="33" t="s">
        <v>231</v>
      </c>
      <c r="H2213" s="33">
        <v>53</v>
      </c>
      <c r="I2213" s="33" t="s">
        <v>198</v>
      </c>
      <c r="J2213" s="34">
        <v>891.89</v>
      </c>
      <c r="K2213" s="34"/>
      <c r="L2213" s="34">
        <v>891.89</v>
      </c>
    </row>
    <row r="2214" spans="2:12" x14ac:dyDescent="0.3">
      <c r="B2214" s="25">
        <v>2223</v>
      </c>
      <c r="C2214" s="33">
        <v>52525</v>
      </c>
      <c r="D2214" s="33" t="s">
        <v>400</v>
      </c>
      <c r="E2214" s="35">
        <v>44770</v>
      </c>
      <c r="F2214" s="33">
        <v>3</v>
      </c>
      <c r="G2214" s="33" t="s">
        <v>231</v>
      </c>
      <c r="H2214" s="33">
        <v>53</v>
      </c>
      <c r="I2214" s="33" t="s">
        <v>198</v>
      </c>
      <c r="J2214" s="34">
        <v>278.38</v>
      </c>
      <c r="K2214" s="34"/>
      <c r="L2214" s="34">
        <v>278.38</v>
      </c>
    </row>
    <row r="2215" spans="2:12" x14ac:dyDescent="0.3">
      <c r="B2215" s="25">
        <v>2224</v>
      </c>
      <c r="C2215" s="33">
        <v>52526</v>
      </c>
      <c r="D2215" s="33" t="s">
        <v>400</v>
      </c>
      <c r="E2215" s="35">
        <v>44770</v>
      </c>
      <c r="F2215" s="33">
        <v>3</v>
      </c>
      <c r="G2215" s="33" t="s">
        <v>231</v>
      </c>
      <c r="H2215" s="33">
        <v>53</v>
      </c>
      <c r="I2215" s="33" t="s">
        <v>198</v>
      </c>
      <c r="J2215" s="34">
        <v>1709.13</v>
      </c>
      <c r="K2215" s="34"/>
      <c r="L2215" s="34">
        <v>1709.13</v>
      </c>
    </row>
    <row r="2216" spans="2:12" x14ac:dyDescent="0.3">
      <c r="B2216" s="25">
        <v>2225</v>
      </c>
      <c r="C2216" s="33">
        <v>52527</v>
      </c>
      <c r="D2216" s="33" t="s">
        <v>400</v>
      </c>
      <c r="E2216" s="35">
        <v>44770</v>
      </c>
      <c r="F2216" s="33">
        <v>3</v>
      </c>
      <c r="G2216" s="33" t="s">
        <v>231</v>
      </c>
      <c r="H2216" s="33">
        <v>53</v>
      </c>
      <c r="I2216" s="33" t="s">
        <v>198</v>
      </c>
      <c r="J2216" s="34">
        <v>1168.33</v>
      </c>
      <c r="K2216" s="34"/>
      <c r="L2216" s="34">
        <v>1168.33</v>
      </c>
    </row>
    <row r="2217" spans="2:12" x14ac:dyDescent="0.3">
      <c r="B2217" s="25">
        <v>2226</v>
      </c>
      <c r="C2217" s="33">
        <v>52528</v>
      </c>
      <c r="D2217" s="33" t="s">
        <v>400</v>
      </c>
      <c r="E2217" s="35">
        <v>44770</v>
      </c>
      <c r="F2217" s="33">
        <v>3</v>
      </c>
      <c r="G2217" s="33" t="s">
        <v>231</v>
      </c>
      <c r="H2217" s="33">
        <v>53</v>
      </c>
      <c r="I2217" s="33" t="s">
        <v>198</v>
      </c>
      <c r="J2217" s="34">
        <v>1243.06</v>
      </c>
      <c r="K2217" s="34"/>
      <c r="L2217" s="34">
        <v>1243.06</v>
      </c>
    </row>
    <row r="2218" spans="2:12" x14ac:dyDescent="0.3">
      <c r="B2218" s="25">
        <v>2227</v>
      </c>
      <c r="C2218" s="33">
        <v>52529</v>
      </c>
      <c r="D2218" s="33" t="s">
        <v>400</v>
      </c>
      <c r="E2218" s="35">
        <v>44770</v>
      </c>
      <c r="F2218" s="33">
        <v>3</v>
      </c>
      <c r="G2218" s="33" t="s">
        <v>231</v>
      </c>
      <c r="H2218" s="33">
        <v>53</v>
      </c>
      <c r="I2218" s="33" t="s">
        <v>198</v>
      </c>
      <c r="J2218" s="34">
        <v>370.54</v>
      </c>
      <c r="K2218" s="34"/>
      <c r="L2218" s="34">
        <v>370.54</v>
      </c>
    </row>
    <row r="2219" spans="2:12" x14ac:dyDescent="0.3">
      <c r="B2219" s="25">
        <v>2228</v>
      </c>
      <c r="C2219" s="33">
        <v>52530</v>
      </c>
      <c r="D2219" s="33" t="s">
        <v>400</v>
      </c>
      <c r="E2219" s="35">
        <v>44770</v>
      </c>
      <c r="F2219" s="33">
        <v>3</v>
      </c>
      <c r="G2219" s="33" t="s">
        <v>231</v>
      </c>
      <c r="H2219" s="33">
        <v>53</v>
      </c>
      <c r="I2219" s="33" t="s">
        <v>198</v>
      </c>
      <c r="J2219" s="34">
        <v>1392.4</v>
      </c>
      <c r="K2219" s="34"/>
      <c r="L2219" s="34">
        <v>1392.4</v>
      </c>
    </row>
    <row r="2220" spans="2:12" x14ac:dyDescent="0.3">
      <c r="B2220" s="25">
        <v>2229</v>
      </c>
      <c r="C2220" s="33">
        <v>52531</v>
      </c>
      <c r="D2220" s="33" t="s">
        <v>1133</v>
      </c>
      <c r="E2220" s="35">
        <v>44770</v>
      </c>
      <c r="F2220" s="33">
        <v>3</v>
      </c>
      <c r="G2220" s="33" t="s">
        <v>122</v>
      </c>
      <c r="H2220" s="33" t="s">
        <v>73</v>
      </c>
      <c r="I2220" s="33" t="s">
        <v>196</v>
      </c>
      <c r="J2220" s="34">
        <v>1799.5</v>
      </c>
      <c r="K2220" s="34"/>
      <c r="L2220" s="34">
        <v>1799.5</v>
      </c>
    </row>
    <row r="2221" spans="2:12" x14ac:dyDescent="0.3">
      <c r="B2221" s="25">
        <v>2230</v>
      </c>
      <c r="C2221" s="33" t="s">
        <v>1134</v>
      </c>
      <c r="D2221" s="33" t="s">
        <v>1133</v>
      </c>
      <c r="E2221" s="35">
        <v>44770</v>
      </c>
      <c r="F2221" s="33">
        <v>3</v>
      </c>
      <c r="G2221" s="33" t="s">
        <v>122</v>
      </c>
      <c r="H2221" s="33">
        <v>53</v>
      </c>
      <c r="I2221" s="33" t="s">
        <v>196</v>
      </c>
      <c r="J2221" s="34">
        <v>7011.01</v>
      </c>
      <c r="K2221" s="34"/>
      <c r="L2221" s="34">
        <v>7011.01</v>
      </c>
    </row>
    <row r="2222" spans="2:12" x14ac:dyDescent="0.3">
      <c r="B2222" s="25">
        <v>2231</v>
      </c>
      <c r="C2222" s="33">
        <v>52643</v>
      </c>
      <c r="D2222" s="33" t="s">
        <v>275</v>
      </c>
      <c r="E2222" s="35">
        <v>44805</v>
      </c>
      <c r="F2222" s="33">
        <v>3</v>
      </c>
      <c r="G2222" s="33" t="s">
        <v>124</v>
      </c>
      <c r="H2222" s="33">
        <v>53</v>
      </c>
      <c r="I2222" s="33" t="s">
        <v>197</v>
      </c>
      <c r="J2222" s="34">
        <v>30</v>
      </c>
      <c r="K2222" s="34"/>
      <c r="L2222" s="34">
        <v>30</v>
      </c>
    </row>
    <row r="2223" spans="2:12" x14ac:dyDescent="0.3">
      <c r="B2223" s="25">
        <v>2232</v>
      </c>
      <c r="C2223" s="33">
        <v>52681</v>
      </c>
      <c r="D2223" s="33" t="s">
        <v>400</v>
      </c>
      <c r="E2223" s="35">
        <v>44806</v>
      </c>
      <c r="F2223" s="33">
        <v>3</v>
      </c>
      <c r="G2223" s="33" t="s">
        <v>231</v>
      </c>
      <c r="H2223" s="33">
        <v>53</v>
      </c>
      <c r="I2223" s="33" t="s">
        <v>198</v>
      </c>
      <c r="J2223" s="34">
        <v>2487.52</v>
      </c>
      <c r="K2223" s="34"/>
      <c r="L2223" s="34">
        <v>2487.52</v>
      </c>
    </row>
    <row r="2224" spans="2:12" x14ac:dyDescent="0.3">
      <c r="B2224" s="25">
        <v>2233</v>
      </c>
      <c r="C2224" s="33" t="s">
        <v>1135</v>
      </c>
      <c r="D2224" s="33" t="s">
        <v>400</v>
      </c>
      <c r="E2224" s="35">
        <v>44806</v>
      </c>
      <c r="F2224" s="33">
        <v>3</v>
      </c>
      <c r="G2224" s="33" t="s">
        <v>231</v>
      </c>
      <c r="H2224" s="33">
        <v>53</v>
      </c>
      <c r="I2224" s="33" t="s">
        <v>198</v>
      </c>
      <c r="J2224" s="34">
        <v>1293.5</v>
      </c>
      <c r="K2224" s="34"/>
      <c r="L2224" s="34">
        <v>1293.5</v>
      </c>
    </row>
    <row r="2225" spans="2:12" x14ac:dyDescent="0.3">
      <c r="B2225" s="25">
        <v>2234</v>
      </c>
      <c r="C2225" s="33" t="s">
        <v>1136</v>
      </c>
      <c r="D2225" s="33" t="s">
        <v>400</v>
      </c>
      <c r="E2225" s="35">
        <v>44806</v>
      </c>
      <c r="F2225" s="33">
        <v>3</v>
      </c>
      <c r="G2225" s="33" t="s">
        <v>231</v>
      </c>
      <c r="H2225" s="33">
        <v>53</v>
      </c>
      <c r="I2225" s="33" t="s">
        <v>198</v>
      </c>
      <c r="J2225" s="34">
        <v>951.54</v>
      </c>
      <c r="K2225" s="34"/>
      <c r="L2225" s="34">
        <v>951.54</v>
      </c>
    </row>
    <row r="2226" spans="2:12" x14ac:dyDescent="0.3">
      <c r="B2226" s="25">
        <v>2235</v>
      </c>
      <c r="C2226" s="33" t="s">
        <v>1137</v>
      </c>
      <c r="D2226" s="33" t="s">
        <v>400</v>
      </c>
      <c r="E2226" s="35">
        <v>44806</v>
      </c>
      <c r="F2226" s="33">
        <v>3</v>
      </c>
      <c r="G2226" s="33" t="s">
        <v>231</v>
      </c>
      <c r="H2226" s="33">
        <v>53</v>
      </c>
      <c r="I2226" s="33" t="s">
        <v>198</v>
      </c>
      <c r="J2226" s="34">
        <v>2749.86</v>
      </c>
      <c r="K2226" s="34"/>
      <c r="L2226" s="34">
        <v>2749.86</v>
      </c>
    </row>
    <row r="2227" spans="2:12" x14ac:dyDescent="0.3">
      <c r="B2227" s="25">
        <v>2236</v>
      </c>
      <c r="C2227" s="33" t="s">
        <v>1138</v>
      </c>
      <c r="D2227" s="33" t="s">
        <v>400</v>
      </c>
      <c r="E2227" s="35">
        <v>44806</v>
      </c>
      <c r="F2227" s="33">
        <v>3</v>
      </c>
      <c r="G2227" s="33" t="s">
        <v>231</v>
      </c>
      <c r="H2227" s="33">
        <v>53</v>
      </c>
      <c r="I2227" s="33" t="s">
        <v>198</v>
      </c>
      <c r="J2227" s="34">
        <v>2275.56</v>
      </c>
      <c r="K2227" s="34"/>
      <c r="L2227" s="34">
        <v>2275.56</v>
      </c>
    </row>
    <row r="2228" spans="2:12" x14ac:dyDescent="0.3">
      <c r="B2228" s="25">
        <v>2237</v>
      </c>
      <c r="C2228" s="33" t="s">
        <v>1139</v>
      </c>
      <c r="D2228" s="33" t="s">
        <v>400</v>
      </c>
      <c r="E2228" s="35">
        <v>44806</v>
      </c>
      <c r="F2228" s="33">
        <v>3</v>
      </c>
      <c r="G2228" s="33" t="s">
        <v>231</v>
      </c>
      <c r="H2228" s="33">
        <v>53</v>
      </c>
      <c r="I2228" s="33" t="s">
        <v>198</v>
      </c>
      <c r="J2228" s="34">
        <v>19.399999999999999</v>
      </c>
      <c r="K2228" s="34"/>
      <c r="L2228" s="34">
        <v>19.399999999999999</v>
      </c>
    </row>
    <row r="2229" spans="2:12" x14ac:dyDescent="0.3">
      <c r="B2229" s="25">
        <v>2238</v>
      </c>
      <c r="C2229" s="33" t="s">
        <v>1140</v>
      </c>
      <c r="D2229" s="33" t="s">
        <v>401</v>
      </c>
      <c r="E2229" s="35">
        <v>44806</v>
      </c>
      <c r="F2229" s="33">
        <v>3</v>
      </c>
      <c r="G2229" s="33" t="s">
        <v>231</v>
      </c>
      <c r="H2229" s="33" t="s">
        <v>73</v>
      </c>
      <c r="I2229" s="33" t="s">
        <v>198</v>
      </c>
      <c r="J2229" s="34">
        <v>10190</v>
      </c>
      <c r="K2229" s="34"/>
      <c r="L2229" s="34">
        <v>10190</v>
      </c>
    </row>
    <row r="2230" spans="2:12" x14ac:dyDescent="0.3">
      <c r="B2230" s="25">
        <v>2239</v>
      </c>
      <c r="C2230" s="33" t="s">
        <v>1141</v>
      </c>
      <c r="D2230" s="33" t="s">
        <v>554</v>
      </c>
      <c r="E2230" s="35">
        <v>44763</v>
      </c>
      <c r="F2230" s="33">
        <v>3</v>
      </c>
      <c r="G2230" s="33" t="s">
        <v>124</v>
      </c>
      <c r="H2230" s="33" t="s">
        <v>201</v>
      </c>
      <c r="I2230" s="33" t="s">
        <v>197</v>
      </c>
      <c r="J2230" s="34">
        <v>3030.5</v>
      </c>
      <c r="K2230" s="34"/>
      <c r="L2230" s="34">
        <v>3030.5</v>
      </c>
    </row>
    <row r="2231" spans="2:12" x14ac:dyDescent="0.3">
      <c r="B2231" s="25">
        <v>2240</v>
      </c>
      <c r="C2231" s="33">
        <v>4550</v>
      </c>
      <c r="D2231" s="33" t="s">
        <v>396</v>
      </c>
      <c r="E2231" s="35">
        <v>44763</v>
      </c>
      <c r="F2231" s="33">
        <v>3</v>
      </c>
      <c r="G2231" s="33" t="s">
        <v>122</v>
      </c>
      <c r="H2231" s="33" t="s">
        <v>201</v>
      </c>
      <c r="I2231" s="33" t="s">
        <v>196</v>
      </c>
      <c r="J2231" s="34">
        <v>2720.3</v>
      </c>
      <c r="K2231" s="34"/>
      <c r="L2231" s="34">
        <v>2720.3</v>
      </c>
    </row>
    <row r="2232" spans="2:12" x14ac:dyDescent="0.3">
      <c r="B2232" s="25">
        <v>2241</v>
      </c>
      <c r="C2232" s="33">
        <v>4558</v>
      </c>
      <c r="D2232" s="33" t="s">
        <v>660</v>
      </c>
      <c r="E2232" s="35">
        <v>44763</v>
      </c>
      <c r="F2232" s="33">
        <v>3</v>
      </c>
      <c r="G2232" s="33" t="s">
        <v>124</v>
      </c>
      <c r="H2232" s="33" t="s">
        <v>201</v>
      </c>
      <c r="I2232" s="33" t="s">
        <v>197</v>
      </c>
      <c r="J2232" s="34">
        <v>805.27</v>
      </c>
      <c r="K2232" s="34"/>
      <c r="L2232" s="34">
        <v>805.27</v>
      </c>
    </row>
    <row r="2233" spans="2:12" x14ac:dyDescent="0.3">
      <c r="B2233" s="25">
        <v>2242</v>
      </c>
      <c r="C2233" s="33">
        <v>4560</v>
      </c>
      <c r="D2233" s="33" t="s">
        <v>362</v>
      </c>
      <c r="E2233" s="35">
        <v>44763</v>
      </c>
      <c r="F2233" s="33">
        <v>3</v>
      </c>
      <c r="G2233" s="33" t="s">
        <v>124</v>
      </c>
      <c r="H2233" s="33" t="s">
        <v>201</v>
      </c>
      <c r="I2233" s="33" t="s">
        <v>197</v>
      </c>
      <c r="J2233" s="34">
        <v>2683.13</v>
      </c>
      <c r="K2233" s="34"/>
      <c r="L2233" s="34">
        <v>2683.13</v>
      </c>
    </row>
    <row r="2234" spans="2:12" x14ac:dyDescent="0.3">
      <c r="B2234" s="25">
        <v>2243</v>
      </c>
      <c r="C2234" s="33" t="s">
        <v>1142</v>
      </c>
      <c r="D2234" s="33" t="s">
        <v>411</v>
      </c>
      <c r="E2234" s="35">
        <v>44763</v>
      </c>
      <c r="F2234" s="33">
        <v>3</v>
      </c>
      <c r="G2234" s="33" t="s">
        <v>122</v>
      </c>
      <c r="H2234" s="33" t="s">
        <v>201</v>
      </c>
      <c r="I2234" s="33" t="s">
        <v>196</v>
      </c>
      <c r="J2234" s="34">
        <v>2474.0100000000002</v>
      </c>
      <c r="K2234" s="34"/>
      <c r="L2234" s="34">
        <v>2474.0100000000002</v>
      </c>
    </row>
    <row r="2235" spans="2:12" x14ac:dyDescent="0.3">
      <c r="B2235" s="25">
        <v>2244</v>
      </c>
      <c r="C2235" s="33">
        <v>4564</v>
      </c>
      <c r="D2235" s="33" t="s">
        <v>429</v>
      </c>
      <c r="E2235" s="35">
        <v>44763</v>
      </c>
      <c r="F2235" s="33">
        <v>3</v>
      </c>
      <c r="G2235" s="33" t="s">
        <v>628</v>
      </c>
      <c r="H2235" s="33" t="s">
        <v>201</v>
      </c>
      <c r="I2235" s="33" t="s">
        <v>75</v>
      </c>
      <c r="J2235" s="34">
        <v>3519.33</v>
      </c>
      <c r="K2235" s="34"/>
      <c r="L2235" s="34">
        <v>3519.33</v>
      </c>
    </row>
    <row r="2236" spans="2:12" x14ac:dyDescent="0.3">
      <c r="B2236" s="25">
        <v>2245</v>
      </c>
      <c r="C2236" s="33">
        <v>4573</v>
      </c>
      <c r="D2236" s="33" t="s">
        <v>584</v>
      </c>
      <c r="E2236" s="35">
        <v>44763</v>
      </c>
      <c r="F2236" s="33">
        <v>3</v>
      </c>
      <c r="G2236" s="33" t="s">
        <v>122</v>
      </c>
      <c r="H2236" s="33" t="s">
        <v>201</v>
      </c>
      <c r="I2236" s="33" t="s">
        <v>196</v>
      </c>
      <c r="J2236" s="34">
        <v>841.9</v>
      </c>
      <c r="K2236" s="34"/>
      <c r="L2236" s="34">
        <v>841.9</v>
      </c>
    </row>
    <row r="2237" spans="2:12" x14ac:dyDescent="0.3">
      <c r="B2237" s="25">
        <v>2246</v>
      </c>
      <c r="C2237" s="33">
        <v>4855</v>
      </c>
      <c r="D2237" s="33" t="s">
        <v>584</v>
      </c>
      <c r="E2237" s="35">
        <v>44770</v>
      </c>
      <c r="F2237" s="33">
        <v>3</v>
      </c>
      <c r="G2237" s="33" t="s">
        <v>122</v>
      </c>
      <c r="H2237" s="33" t="s">
        <v>201</v>
      </c>
      <c r="I2237" s="33" t="s">
        <v>196</v>
      </c>
      <c r="J2237" s="34">
        <v>569.79999999999995</v>
      </c>
      <c r="K2237" s="34"/>
      <c r="L2237" s="34">
        <v>569.79999999999995</v>
      </c>
    </row>
    <row r="2238" spans="2:12" x14ac:dyDescent="0.3">
      <c r="B2238" s="25">
        <v>2247</v>
      </c>
      <c r="C2238" s="33">
        <v>4856</v>
      </c>
      <c r="D2238" s="33" t="s">
        <v>584</v>
      </c>
      <c r="E2238" s="35">
        <v>44770</v>
      </c>
      <c r="F2238" s="33">
        <v>3</v>
      </c>
      <c r="G2238" s="33" t="s">
        <v>122</v>
      </c>
      <c r="H2238" s="33" t="s">
        <v>201</v>
      </c>
      <c r="I2238" s="33" t="s">
        <v>196</v>
      </c>
      <c r="J2238" s="34">
        <v>6338.96</v>
      </c>
      <c r="K2238" s="34"/>
      <c r="L2238" s="34">
        <v>6338.96</v>
      </c>
    </row>
    <row r="2239" spans="2:12" x14ac:dyDescent="0.3">
      <c r="B2239" s="25">
        <v>2248</v>
      </c>
      <c r="C2239" s="33">
        <v>4865</v>
      </c>
      <c r="D2239" s="33" t="s">
        <v>394</v>
      </c>
      <c r="E2239" s="35">
        <v>44770</v>
      </c>
      <c r="F2239" s="33">
        <v>3</v>
      </c>
      <c r="G2239" s="33" t="s">
        <v>122</v>
      </c>
      <c r="H2239" s="33" t="s">
        <v>201</v>
      </c>
      <c r="I2239" s="33" t="s">
        <v>196</v>
      </c>
      <c r="J2239" s="34">
        <v>987.25</v>
      </c>
      <c r="K2239" s="34"/>
      <c r="L2239" s="34">
        <v>987.25</v>
      </c>
    </row>
    <row r="2240" spans="2:12" x14ac:dyDescent="0.3">
      <c r="B2240" s="25">
        <v>2249</v>
      </c>
      <c r="C2240" s="33">
        <v>4866</v>
      </c>
      <c r="D2240" s="33" t="s">
        <v>473</v>
      </c>
      <c r="E2240" s="35">
        <v>44770</v>
      </c>
      <c r="F2240" s="33">
        <v>3</v>
      </c>
      <c r="G2240" s="33" t="s">
        <v>122</v>
      </c>
      <c r="H2240" s="33" t="s">
        <v>201</v>
      </c>
      <c r="I2240" s="33" t="s">
        <v>196</v>
      </c>
      <c r="J2240" s="34">
        <v>1279.6099999999999</v>
      </c>
      <c r="K2240" s="34"/>
      <c r="L2240" s="34">
        <v>1279.6099999999999</v>
      </c>
    </row>
    <row r="2241" spans="2:12" x14ac:dyDescent="0.3">
      <c r="B2241" s="25">
        <v>2250</v>
      </c>
      <c r="C2241" s="33">
        <v>4867</v>
      </c>
      <c r="D2241" s="33" t="s">
        <v>565</v>
      </c>
      <c r="E2241" s="35">
        <v>44770</v>
      </c>
      <c r="F2241" s="33">
        <v>3</v>
      </c>
      <c r="G2241" s="33" t="s">
        <v>124</v>
      </c>
      <c r="H2241" s="33" t="s">
        <v>201</v>
      </c>
      <c r="I2241" s="33" t="s">
        <v>197</v>
      </c>
      <c r="J2241" s="34">
        <v>4798.6099999999997</v>
      </c>
      <c r="K2241" s="34"/>
      <c r="L2241" s="34">
        <v>4798.6099999999997</v>
      </c>
    </row>
    <row r="2242" spans="2:12" x14ac:dyDescent="0.3">
      <c r="B2242" s="25">
        <v>2251</v>
      </c>
      <c r="C2242" s="33">
        <v>4869</v>
      </c>
      <c r="D2242" s="33" t="s">
        <v>566</v>
      </c>
      <c r="E2242" s="35">
        <v>44770</v>
      </c>
      <c r="F2242" s="33">
        <v>3</v>
      </c>
      <c r="G2242" s="33" t="s">
        <v>122</v>
      </c>
      <c r="H2242" s="33" t="s">
        <v>201</v>
      </c>
      <c r="I2242" s="33" t="s">
        <v>196</v>
      </c>
      <c r="J2242" s="34">
        <v>2411.4899999999998</v>
      </c>
      <c r="K2242" s="34"/>
      <c r="L2242" s="34">
        <v>2411.4899999999998</v>
      </c>
    </row>
    <row r="2243" spans="2:12" x14ac:dyDescent="0.3">
      <c r="B2243" s="25">
        <v>2252</v>
      </c>
      <c r="C2243" s="33">
        <v>4870</v>
      </c>
      <c r="D2243" s="33" t="s">
        <v>1143</v>
      </c>
      <c r="E2243" s="35">
        <v>44770</v>
      </c>
      <c r="F2243" s="33">
        <v>3</v>
      </c>
      <c r="G2243" s="33" t="s">
        <v>231</v>
      </c>
      <c r="H2243" s="33" t="s">
        <v>201</v>
      </c>
      <c r="I2243" s="33" t="s">
        <v>198</v>
      </c>
      <c r="J2243" s="34">
        <v>1566</v>
      </c>
      <c r="K2243" s="34"/>
      <c r="L2243" s="34">
        <v>1566</v>
      </c>
    </row>
    <row r="2244" spans="2:12" x14ac:dyDescent="0.3">
      <c r="B2244" s="25">
        <v>2253</v>
      </c>
      <c r="C2244" s="33">
        <v>4871</v>
      </c>
      <c r="D2244" s="33" t="s">
        <v>583</v>
      </c>
      <c r="E2244" s="35">
        <v>44770</v>
      </c>
      <c r="F2244" s="33">
        <v>3</v>
      </c>
      <c r="G2244" s="33" t="s">
        <v>124</v>
      </c>
      <c r="H2244" s="33" t="s">
        <v>201</v>
      </c>
      <c r="I2244" s="33" t="s">
        <v>197</v>
      </c>
      <c r="J2244" s="34">
        <v>1344.75</v>
      </c>
      <c r="K2244" s="34"/>
      <c r="L2244" s="34">
        <v>1344.75</v>
      </c>
    </row>
    <row r="2245" spans="2:12" x14ac:dyDescent="0.3">
      <c r="B2245" s="25">
        <v>2254</v>
      </c>
      <c r="C2245" s="33">
        <v>4872</v>
      </c>
      <c r="D2245" s="33" t="s">
        <v>413</v>
      </c>
      <c r="E2245" s="35">
        <v>44770</v>
      </c>
      <c r="F2245" s="33">
        <v>3</v>
      </c>
      <c r="G2245" s="33" t="s">
        <v>122</v>
      </c>
      <c r="H2245" s="33" t="s">
        <v>201</v>
      </c>
      <c r="I2245" s="33" t="s">
        <v>196</v>
      </c>
      <c r="J2245" s="34">
        <v>8276.4</v>
      </c>
      <c r="K2245" s="34"/>
      <c r="L2245" s="34">
        <v>8276.4</v>
      </c>
    </row>
    <row r="2246" spans="2:12" x14ac:dyDescent="0.3">
      <c r="B2246" s="25">
        <v>2255</v>
      </c>
      <c r="C2246" s="33">
        <v>4873</v>
      </c>
      <c r="D2246" s="33" t="s">
        <v>403</v>
      </c>
      <c r="E2246" s="35">
        <v>44770</v>
      </c>
      <c r="F2246" s="33">
        <v>3</v>
      </c>
      <c r="G2246" s="33" t="s">
        <v>122</v>
      </c>
      <c r="H2246" s="33" t="s">
        <v>201</v>
      </c>
      <c r="I2246" s="33" t="s">
        <v>196</v>
      </c>
      <c r="J2246" s="34">
        <v>8345.91</v>
      </c>
      <c r="K2246" s="34"/>
      <c r="L2246" s="34">
        <v>8345.91</v>
      </c>
    </row>
    <row r="2247" spans="2:12" x14ac:dyDescent="0.3">
      <c r="B2247" s="25">
        <v>2256</v>
      </c>
      <c r="C2247" s="33">
        <v>4874</v>
      </c>
      <c r="D2247" s="33" t="s">
        <v>856</v>
      </c>
      <c r="E2247" s="35">
        <v>44770</v>
      </c>
      <c r="F2247" s="33">
        <v>3</v>
      </c>
      <c r="G2247" s="33" t="s">
        <v>628</v>
      </c>
      <c r="H2247" s="33" t="s">
        <v>201</v>
      </c>
      <c r="I2247" s="33" t="s">
        <v>75</v>
      </c>
      <c r="J2247" s="34">
        <v>870</v>
      </c>
      <c r="K2247" s="34"/>
      <c r="L2247" s="34">
        <v>870</v>
      </c>
    </row>
    <row r="2248" spans="2:12" x14ac:dyDescent="0.3">
      <c r="B2248" s="25">
        <v>2257</v>
      </c>
      <c r="C2248" s="33">
        <v>4875</v>
      </c>
      <c r="D2248" s="33" t="s">
        <v>429</v>
      </c>
      <c r="E2248" s="35">
        <v>44770</v>
      </c>
      <c r="F2248" s="33">
        <v>3</v>
      </c>
      <c r="G2248" s="33" t="s">
        <v>628</v>
      </c>
      <c r="H2248" s="33" t="s">
        <v>201</v>
      </c>
      <c r="I2248" s="33" t="s">
        <v>75</v>
      </c>
      <c r="J2248" s="34">
        <v>511.44</v>
      </c>
      <c r="K2248" s="34"/>
      <c r="L2248" s="34">
        <v>511.44</v>
      </c>
    </row>
    <row r="2249" spans="2:12" x14ac:dyDescent="0.3">
      <c r="B2249" s="25">
        <v>2258</v>
      </c>
      <c r="C2249" s="33">
        <v>4876</v>
      </c>
      <c r="D2249" s="33" t="s">
        <v>1144</v>
      </c>
      <c r="E2249" s="35">
        <v>44770</v>
      </c>
      <c r="F2249" s="33">
        <v>3</v>
      </c>
      <c r="G2249" s="33" t="s">
        <v>231</v>
      </c>
      <c r="H2249" s="33" t="s">
        <v>201</v>
      </c>
      <c r="I2249" s="33" t="s">
        <v>198</v>
      </c>
      <c r="J2249" s="34">
        <v>2270.86</v>
      </c>
      <c r="K2249" s="34"/>
      <c r="L2249" s="34">
        <v>2270.86</v>
      </c>
    </row>
    <row r="2250" spans="2:12" x14ac:dyDescent="0.3">
      <c r="B2250" s="25">
        <v>2259</v>
      </c>
      <c r="C2250" s="33">
        <v>4877</v>
      </c>
      <c r="D2250" s="33" t="s">
        <v>1145</v>
      </c>
      <c r="E2250" s="35">
        <v>44770</v>
      </c>
      <c r="F2250" s="33">
        <v>3</v>
      </c>
      <c r="G2250" s="33" t="s">
        <v>124</v>
      </c>
      <c r="H2250" s="33" t="s">
        <v>201</v>
      </c>
      <c r="I2250" s="33" t="s">
        <v>197</v>
      </c>
      <c r="J2250" s="34">
        <v>10300.6</v>
      </c>
      <c r="K2250" s="34">
        <v>700</v>
      </c>
      <c r="L2250" s="34">
        <v>9600.6</v>
      </c>
    </row>
    <row r="2251" spans="2:12" x14ac:dyDescent="0.3">
      <c r="B2251" s="25">
        <v>2260</v>
      </c>
      <c r="C2251" s="33">
        <v>5072</v>
      </c>
      <c r="D2251" s="33" t="s">
        <v>1146</v>
      </c>
      <c r="E2251" s="35">
        <v>44776</v>
      </c>
      <c r="F2251" s="33">
        <v>3</v>
      </c>
      <c r="G2251" s="33" t="s">
        <v>124</v>
      </c>
      <c r="H2251" s="33" t="s">
        <v>201</v>
      </c>
      <c r="I2251" s="33" t="s">
        <v>197</v>
      </c>
      <c r="J2251" s="34">
        <v>4152.93</v>
      </c>
      <c r="K2251" s="34"/>
      <c r="L2251" s="34">
        <v>4152.93</v>
      </c>
    </row>
    <row r="2252" spans="2:12" x14ac:dyDescent="0.3">
      <c r="B2252" s="25">
        <v>2261</v>
      </c>
      <c r="C2252" s="33">
        <v>5275</v>
      </c>
      <c r="D2252" s="33" t="s">
        <v>600</v>
      </c>
      <c r="E2252" s="35">
        <v>44798</v>
      </c>
      <c r="F2252" s="33">
        <v>3</v>
      </c>
      <c r="G2252" s="33" t="s">
        <v>628</v>
      </c>
      <c r="H2252" s="33" t="s">
        <v>201</v>
      </c>
      <c r="I2252" s="33" t="s">
        <v>75</v>
      </c>
      <c r="J2252" s="34">
        <v>742.2</v>
      </c>
      <c r="K2252" s="34">
        <v>80</v>
      </c>
      <c r="L2252" s="34">
        <v>662.2</v>
      </c>
    </row>
    <row r="2253" spans="2:12" x14ac:dyDescent="0.3">
      <c r="B2253" s="25">
        <v>2262</v>
      </c>
      <c r="C2253" s="33">
        <v>5287</v>
      </c>
      <c r="D2253" s="33" t="s">
        <v>796</v>
      </c>
      <c r="E2253" s="35">
        <v>44798</v>
      </c>
      <c r="F2253" s="33">
        <v>3</v>
      </c>
      <c r="G2253" s="33" t="s">
        <v>124</v>
      </c>
      <c r="H2253" s="33" t="s">
        <v>201</v>
      </c>
      <c r="I2253" s="33" t="s">
        <v>197</v>
      </c>
      <c r="J2253" s="34">
        <v>1065</v>
      </c>
      <c r="K2253" s="34"/>
      <c r="L2253" s="34">
        <v>1065</v>
      </c>
    </row>
    <row r="2254" spans="2:12" x14ac:dyDescent="0.3">
      <c r="B2254" s="25">
        <v>2263</v>
      </c>
      <c r="C2254" s="33">
        <v>5343</v>
      </c>
      <c r="D2254" s="33" t="s">
        <v>394</v>
      </c>
      <c r="E2254" s="35">
        <v>44805</v>
      </c>
      <c r="F2254" s="33">
        <v>3</v>
      </c>
      <c r="G2254" s="33" t="s">
        <v>122</v>
      </c>
      <c r="H2254" s="33" t="s">
        <v>201</v>
      </c>
      <c r="I2254" s="33" t="s">
        <v>196</v>
      </c>
      <c r="J2254" s="34">
        <v>2504.6999999999998</v>
      </c>
      <c r="K2254" s="34"/>
      <c r="L2254" s="34">
        <v>2504.6999999999998</v>
      </c>
    </row>
    <row r="2255" spans="2:12" x14ac:dyDescent="0.3">
      <c r="B2255" s="25">
        <v>2264</v>
      </c>
      <c r="C2255" s="33">
        <v>5344</v>
      </c>
      <c r="D2255" s="33" t="s">
        <v>394</v>
      </c>
      <c r="E2255" s="35">
        <v>44805</v>
      </c>
      <c r="F2255" s="33">
        <v>3</v>
      </c>
      <c r="G2255" s="33" t="s">
        <v>122</v>
      </c>
      <c r="H2255" s="33" t="s">
        <v>201</v>
      </c>
      <c r="I2255" s="33" t="s">
        <v>196</v>
      </c>
      <c r="J2255" s="34">
        <v>2748.9</v>
      </c>
      <c r="K2255" s="34"/>
      <c r="L2255" s="34">
        <v>2748.9</v>
      </c>
    </row>
    <row r="2256" spans="2:12" x14ac:dyDescent="0.3">
      <c r="B2256" s="25">
        <v>2265</v>
      </c>
      <c r="C2256" s="33">
        <v>5351</v>
      </c>
      <c r="D2256" s="33" t="s">
        <v>584</v>
      </c>
      <c r="E2256" s="35">
        <v>44805</v>
      </c>
      <c r="F2256" s="33">
        <v>3</v>
      </c>
      <c r="G2256" s="33" t="s">
        <v>122</v>
      </c>
      <c r="H2256" s="33" t="s">
        <v>201</v>
      </c>
      <c r="I2256" s="33" t="s">
        <v>196</v>
      </c>
      <c r="J2256" s="34">
        <v>5399.76</v>
      </c>
      <c r="K2256" s="34"/>
      <c r="L2256" s="34">
        <v>5399.76</v>
      </c>
    </row>
    <row r="2257" spans="2:12" x14ac:dyDescent="0.3">
      <c r="B2257" s="25">
        <v>2266</v>
      </c>
      <c r="C2257" s="33">
        <v>5359</v>
      </c>
      <c r="D2257" s="33" t="s">
        <v>1147</v>
      </c>
      <c r="E2257" s="35">
        <v>44805</v>
      </c>
      <c r="F2257" s="33">
        <v>3</v>
      </c>
      <c r="G2257" s="33" t="s">
        <v>628</v>
      </c>
      <c r="H2257" s="33" t="s">
        <v>201</v>
      </c>
      <c r="I2257" s="33" t="s">
        <v>75</v>
      </c>
      <c r="J2257" s="34">
        <v>6199.04</v>
      </c>
      <c r="K2257" s="34"/>
      <c r="L2257" s="34">
        <v>6199.04</v>
      </c>
    </row>
    <row r="2258" spans="2:12" x14ac:dyDescent="0.3">
      <c r="B2258" s="25">
        <v>2267</v>
      </c>
      <c r="C2258" s="33">
        <v>17240</v>
      </c>
      <c r="D2258" s="33" t="s">
        <v>1148</v>
      </c>
      <c r="E2258" s="35">
        <v>44764</v>
      </c>
      <c r="F2258" s="33">
        <v>3</v>
      </c>
      <c r="G2258" s="33" t="s">
        <v>122</v>
      </c>
      <c r="H2258" s="33" t="s">
        <v>73</v>
      </c>
      <c r="I2258" s="33" t="s">
        <v>196</v>
      </c>
      <c r="J2258" s="34">
        <v>3824.16</v>
      </c>
      <c r="K2258" s="34"/>
      <c r="L2258" s="34">
        <v>3824.16</v>
      </c>
    </row>
    <row r="2259" spans="2:12" x14ac:dyDescent="0.3">
      <c r="B2259" s="25">
        <v>2268</v>
      </c>
      <c r="C2259" s="33">
        <v>10548</v>
      </c>
      <c r="D2259" s="33" t="s">
        <v>1149</v>
      </c>
      <c r="E2259" s="35">
        <v>44762</v>
      </c>
      <c r="F2259" s="33">
        <v>3</v>
      </c>
      <c r="G2259" s="33" t="s">
        <v>122</v>
      </c>
      <c r="H2259" s="33" t="s">
        <v>69</v>
      </c>
      <c r="I2259" s="33" t="s">
        <v>196</v>
      </c>
      <c r="J2259" s="34">
        <v>3109.27</v>
      </c>
      <c r="K2259" s="34"/>
      <c r="L2259" s="34">
        <v>3109.27</v>
      </c>
    </row>
    <row r="2260" spans="2:12" x14ac:dyDescent="0.3">
      <c r="B2260" s="25">
        <v>2269</v>
      </c>
      <c r="C2260" s="33">
        <v>12346</v>
      </c>
      <c r="D2260" s="33" t="s">
        <v>1149</v>
      </c>
      <c r="E2260" s="35">
        <v>44817</v>
      </c>
      <c r="F2260" s="33">
        <v>3</v>
      </c>
      <c r="G2260" s="33" t="s">
        <v>122</v>
      </c>
      <c r="H2260" s="33" t="s">
        <v>69</v>
      </c>
      <c r="I2260" s="33" t="s">
        <v>196</v>
      </c>
      <c r="J2260" s="34">
        <v>2396.34</v>
      </c>
      <c r="K2260" s="34"/>
      <c r="L2260" s="34">
        <v>2396.34</v>
      </c>
    </row>
    <row r="2261" spans="2:12" x14ac:dyDescent="0.3">
      <c r="B2261" s="25">
        <v>2270</v>
      </c>
      <c r="C2261" s="33">
        <v>12347</v>
      </c>
      <c r="D2261" s="33" t="s">
        <v>1149</v>
      </c>
      <c r="E2261" s="35">
        <v>44817</v>
      </c>
      <c r="F2261" s="33">
        <v>3</v>
      </c>
      <c r="G2261" s="33" t="s">
        <v>122</v>
      </c>
      <c r="H2261" s="33" t="s">
        <v>69</v>
      </c>
      <c r="I2261" s="33" t="s">
        <v>196</v>
      </c>
      <c r="J2261" s="34">
        <v>815.51</v>
      </c>
      <c r="K2261" s="34"/>
      <c r="L2261" s="34">
        <v>815.51</v>
      </c>
    </row>
    <row r="2262" spans="2:12" x14ac:dyDescent="0.3">
      <c r="B2262" s="25">
        <v>2271</v>
      </c>
      <c r="C2262" s="33">
        <v>19294</v>
      </c>
      <c r="D2262" s="33" t="s">
        <v>1149</v>
      </c>
      <c r="E2262" s="35">
        <v>44810</v>
      </c>
      <c r="F2262" s="33">
        <v>3</v>
      </c>
      <c r="G2262" s="33" t="s">
        <v>122</v>
      </c>
      <c r="H2262" s="33">
        <v>53</v>
      </c>
      <c r="I2262" s="33" t="s">
        <v>196</v>
      </c>
      <c r="J2262" s="34">
        <v>974.7</v>
      </c>
      <c r="K2262" s="34"/>
      <c r="L2262" s="34">
        <v>974.7</v>
      </c>
    </row>
    <row r="2263" spans="2:12" x14ac:dyDescent="0.3">
      <c r="B2263" s="25">
        <v>2272</v>
      </c>
      <c r="C2263" s="33">
        <v>4068</v>
      </c>
      <c r="D2263" s="33" t="s">
        <v>1263</v>
      </c>
      <c r="E2263" s="35">
        <v>44824</v>
      </c>
      <c r="F2263" s="33">
        <v>3</v>
      </c>
      <c r="G2263" s="33" t="s">
        <v>122</v>
      </c>
      <c r="H2263" s="33" t="s">
        <v>71</v>
      </c>
      <c r="I2263" s="33" t="s">
        <v>196</v>
      </c>
      <c r="J2263" s="34">
        <v>1730.7</v>
      </c>
      <c r="K2263" s="34"/>
      <c r="L2263" s="34">
        <v>1730.7</v>
      </c>
    </row>
    <row r="2264" spans="2:12" x14ac:dyDescent="0.3">
      <c r="B2264" s="25">
        <v>2273</v>
      </c>
      <c r="C2264" s="33">
        <v>4179</v>
      </c>
      <c r="D2264" s="33" t="s">
        <v>1264</v>
      </c>
      <c r="E2264" s="35">
        <v>44826</v>
      </c>
      <c r="F2264" s="33">
        <v>3</v>
      </c>
      <c r="G2264" s="33" t="s">
        <v>122</v>
      </c>
      <c r="H2264" s="33" t="s">
        <v>71</v>
      </c>
      <c r="I2264" s="33" t="s">
        <v>196</v>
      </c>
      <c r="J2264" s="34">
        <v>6571.76</v>
      </c>
      <c r="K2264" s="34"/>
      <c r="L2264" s="34">
        <v>6571.76</v>
      </c>
    </row>
    <row r="2265" spans="2:12" x14ac:dyDescent="0.3">
      <c r="B2265" s="25">
        <v>2274</v>
      </c>
      <c r="C2265" s="33" t="s">
        <v>1163</v>
      </c>
      <c r="D2265" s="33" t="s">
        <v>1264</v>
      </c>
      <c r="E2265" s="35">
        <v>44825</v>
      </c>
      <c r="F2265" s="33">
        <v>3</v>
      </c>
      <c r="G2265" s="33" t="s">
        <v>124</v>
      </c>
      <c r="H2265" s="33" t="s">
        <v>71</v>
      </c>
      <c r="I2265" s="33" t="s">
        <v>197</v>
      </c>
      <c r="J2265" s="34">
        <v>8958.52</v>
      </c>
      <c r="K2265" s="34"/>
      <c r="L2265" s="34">
        <v>8958.52</v>
      </c>
    </row>
    <row r="2266" spans="2:12" x14ac:dyDescent="0.3">
      <c r="B2266" s="25">
        <v>2275</v>
      </c>
      <c r="C2266" s="33" t="s">
        <v>1165</v>
      </c>
      <c r="D2266" s="33" t="s">
        <v>1265</v>
      </c>
      <c r="E2266" s="35">
        <v>44809</v>
      </c>
      <c r="F2266" s="33">
        <v>3</v>
      </c>
      <c r="G2266" s="33" t="s">
        <v>124</v>
      </c>
      <c r="H2266" s="33" t="s">
        <v>69</v>
      </c>
      <c r="I2266" s="33" t="s">
        <v>197</v>
      </c>
      <c r="J2266" s="34">
        <v>23591.07</v>
      </c>
      <c r="K2266" s="34"/>
      <c r="L2266" s="34">
        <v>23591.07</v>
      </c>
    </row>
    <row r="2267" spans="2:12" x14ac:dyDescent="0.3">
      <c r="B2267" s="25">
        <v>2276</v>
      </c>
      <c r="C2267" s="33">
        <v>19835</v>
      </c>
      <c r="D2267" s="33" t="s">
        <v>1265</v>
      </c>
      <c r="E2267" s="35">
        <v>44817</v>
      </c>
      <c r="F2267" s="33">
        <v>3</v>
      </c>
      <c r="G2267" s="33" t="s">
        <v>122</v>
      </c>
      <c r="H2267" s="33">
        <v>53</v>
      </c>
      <c r="I2267" s="33" t="s">
        <v>196</v>
      </c>
      <c r="J2267" s="34">
        <v>4483.3500000000004</v>
      </c>
      <c r="K2267" s="34"/>
      <c r="L2267" s="34">
        <v>4483.3500000000004</v>
      </c>
    </row>
    <row r="2268" spans="2:12" x14ac:dyDescent="0.3">
      <c r="B2268" s="25">
        <v>2277</v>
      </c>
      <c r="C2268" s="33">
        <v>12348</v>
      </c>
      <c r="D2268" s="33" t="s">
        <v>1265</v>
      </c>
      <c r="E2268" s="35">
        <v>44817</v>
      </c>
      <c r="F2268" s="33">
        <v>3</v>
      </c>
      <c r="G2268" s="33" t="s">
        <v>122</v>
      </c>
      <c r="H2268" s="33" t="s">
        <v>69</v>
      </c>
      <c r="I2268" s="33" t="s">
        <v>196</v>
      </c>
      <c r="J2268" s="34">
        <v>6652.79</v>
      </c>
      <c r="K2268" s="34"/>
      <c r="L2268" s="34">
        <v>6652.79</v>
      </c>
    </row>
    <row r="2269" spans="2:12" x14ac:dyDescent="0.3">
      <c r="B2269" s="25">
        <v>2278</v>
      </c>
      <c r="C2269" s="33">
        <v>12349</v>
      </c>
      <c r="D2269" s="33" t="s">
        <v>1265</v>
      </c>
      <c r="E2269" s="35">
        <v>44817</v>
      </c>
      <c r="F2269" s="33">
        <v>3</v>
      </c>
      <c r="G2269" s="33" t="s">
        <v>122</v>
      </c>
      <c r="H2269" s="33" t="s">
        <v>69</v>
      </c>
      <c r="I2269" s="33" t="s">
        <v>196</v>
      </c>
      <c r="J2269" s="34">
        <v>2133.6799999999998</v>
      </c>
      <c r="K2269" s="34"/>
      <c r="L2269" s="34">
        <v>2133.6799999999998</v>
      </c>
    </row>
    <row r="2270" spans="2:12" x14ac:dyDescent="0.3">
      <c r="B2270" s="25">
        <v>2279</v>
      </c>
      <c r="C2270" s="33">
        <v>12350</v>
      </c>
      <c r="D2270" s="33" t="s">
        <v>1265</v>
      </c>
      <c r="E2270" s="35">
        <v>44817</v>
      </c>
      <c r="F2270" s="33">
        <v>3</v>
      </c>
      <c r="G2270" s="33" t="s">
        <v>122</v>
      </c>
      <c r="H2270" s="33" t="s">
        <v>69</v>
      </c>
      <c r="I2270" s="33" t="s">
        <v>196</v>
      </c>
      <c r="J2270" s="34">
        <v>1235.93</v>
      </c>
      <c r="K2270" s="34"/>
      <c r="L2270" s="34">
        <v>1235.93</v>
      </c>
    </row>
    <row r="2271" spans="2:12" x14ac:dyDescent="0.3">
      <c r="B2271" s="25">
        <v>2280</v>
      </c>
      <c r="C2271" s="33">
        <v>4903</v>
      </c>
      <c r="D2271" s="33" t="s">
        <v>1266</v>
      </c>
      <c r="E2271" s="35">
        <v>44825</v>
      </c>
      <c r="F2271" s="33">
        <v>3</v>
      </c>
      <c r="G2271" s="33" t="s">
        <v>628</v>
      </c>
      <c r="H2271" s="33" t="s">
        <v>630</v>
      </c>
      <c r="I2271" s="33" t="s">
        <v>75</v>
      </c>
      <c r="J2271" s="34">
        <v>1231.68</v>
      </c>
      <c r="K2271" s="34"/>
      <c r="L2271" s="34">
        <v>1231.68</v>
      </c>
    </row>
    <row r="2272" spans="2:12" x14ac:dyDescent="0.3">
      <c r="B2272" s="25">
        <v>2281</v>
      </c>
      <c r="C2272" s="33">
        <v>4904</v>
      </c>
      <c r="D2272" s="33" t="s">
        <v>1266</v>
      </c>
      <c r="E2272" s="35">
        <v>44825</v>
      </c>
      <c r="F2272" s="33">
        <v>3</v>
      </c>
      <c r="G2272" s="33" t="s">
        <v>628</v>
      </c>
      <c r="H2272" s="33" t="s">
        <v>630</v>
      </c>
      <c r="I2272" s="33" t="s">
        <v>75</v>
      </c>
      <c r="J2272" s="34">
        <v>223.2</v>
      </c>
      <c r="K2272" s="34"/>
      <c r="L2272" s="34">
        <v>223.2</v>
      </c>
    </row>
    <row r="2273" spans="2:12" x14ac:dyDescent="0.3">
      <c r="B2273" s="25">
        <v>2282</v>
      </c>
      <c r="C2273" s="33">
        <v>34233</v>
      </c>
      <c r="D2273" s="33" t="s">
        <v>531</v>
      </c>
      <c r="E2273" s="35">
        <v>44818</v>
      </c>
      <c r="F2273" s="33">
        <v>3</v>
      </c>
      <c r="G2273" s="33" t="s">
        <v>122</v>
      </c>
      <c r="H2273" s="33" t="s">
        <v>72</v>
      </c>
      <c r="I2273" s="33" t="s">
        <v>196</v>
      </c>
      <c r="J2273" s="34">
        <v>6669.6</v>
      </c>
      <c r="K2273" s="34"/>
      <c r="L2273" s="34">
        <v>6669.6</v>
      </c>
    </row>
    <row r="2274" spans="2:12" x14ac:dyDescent="0.3">
      <c r="B2274" s="25">
        <v>2283</v>
      </c>
      <c r="C2274" s="33">
        <v>34235</v>
      </c>
      <c r="D2274" s="33" t="s">
        <v>394</v>
      </c>
      <c r="E2274" s="35">
        <v>44818</v>
      </c>
      <c r="F2274" s="33">
        <v>3</v>
      </c>
      <c r="G2274" s="33" t="s">
        <v>122</v>
      </c>
      <c r="H2274" s="33" t="s">
        <v>72</v>
      </c>
      <c r="I2274" s="33" t="s">
        <v>196</v>
      </c>
      <c r="J2274" s="34">
        <v>20964.3</v>
      </c>
      <c r="K2274" s="34"/>
      <c r="L2274" s="34">
        <v>20964.3</v>
      </c>
    </row>
    <row r="2275" spans="2:12" x14ac:dyDescent="0.3">
      <c r="B2275" s="25">
        <v>2284</v>
      </c>
      <c r="C2275" s="33">
        <v>34239</v>
      </c>
      <c r="D2275" s="33" t="s">
        <v>892</v>
      </c>
      <c r="E2275" s="35">
        <v>44820</v>
      </c>
      <c r="F2275" s="33">
        <v>3</v>
      </c>
      <c r="G2275" s="33" t="s">
        <v>122</v>
      </c>
      <c r="H2275" s="33" t="s">
        <v>72</v>
      </c>
      <c r="I2275" s="33" t="s">
        <v>196</v>
      </c>
      <c r="J2275" s="34">
        <v>8176.2</v>
      </c>
      <c r="K2275" s="34"/>
      <c r="L2275" s="34">
        <v>8176.2</v>
      </c>
    </row>
    <row r="2276" spans="2:12" x14ac:dyDescent="0.3">
      <c r="B2276" s="25">
        <v>2285</v>
      </c>
      <c r="C2276" s="33">
        <v>34264</v>
      </c>
      <c r="D2276" s="33" t="s">
        <v>611</v>
      </c>
      <c r="E2276" s="35">
        <v>44824</v>
      </c>
      <c r="F2276" s="33">
        <v>3</v>
      </c>
      <c r="G2276" s="33" t="s">
        <v>628</v>
      </c>
      <c r="H2276" s="33" t="s">
        <v>72</v>
      </c>
      <c r="I2276" s="33" t="s">
        <v>75</v>
      </c>
      <c r="J2276" s="34">
        <v>10336.299999999999</v>
      </c>
      <c r="K2276" s="34"/>
      <c r="L2276" s="34">
        <v>10336.299999999999</v>
      </c>
    </row>
    <row r="2277" spans="2:12" x14ac:dyDescent="0.3">
      <c r="B2277" s="25">
        <v>2286</v>
      </c>
      <c r="C2277" s="33">
        <v>34283</v>
      </c>
      <c r="D2277" s="33" t="s">
        <v>394</v>
      </c>
      <c r="E2277" s="35">
        <v>44824</v>
      </c>
      <c r="F2277" s="33">
        <v>3</v>
      </c>
      <c r="G2277" s="33" t="s">
        <v>122</v>
      </c>
      <c r="H2277" s="33" t="s">
        <v>72</v>
      </c>
      <c r="I2277" s="33" t="s">
        <v>196</v>
      </c>
      <c r="J2277" s="34">
        <v>3211.8</v>
      </c>
      <c r="K2277" s="34"/>
      <c r="L2277" s="34">
        <v>3211.8</v>
      </c>
    </row>
    <row r="2278" spans="2:12" x14ac:dyDescent="0.3">
      <c r="B2278" s="25">
        <v>2287</v>
      </c>
      <c r="C2278" s="33">
        <v>34338</v>
      </c>
      <c r="D2278" s="33" t="s">
        <v>1267</v>
      </c>
      <c r="E2278" s="35">
        <v>44830</v>
      </c>
      <c r="F2278" s="33">
        <v>3</v>
      </c>
      <c r="G2278" s="33" t="s">
        <v>122</v>
      </c>
      <c r="H2278" s="33" t="s">
        <v>72</v>
      </c>
      <c r="I2278" s="33" t="s">
        <v>196</v>
      </c>
      <c r="J2278" s="34">
        <v>1191.2</v>
      </c>
      <c r="K2278" s="34"/>
      <c r="L2278" s="34">
        <v>1191.2</v>
      </c>
    </row>
    <row r="2279" spans="2:12" x14ac:dyDescent="0.3">
      <c r="B2279" s="25">
        <v>2288</v>
      </c>
      <c r="C2279" s="33">
        <v>34347</v>
      </c>
      <c r="D2279" s="33" t="s">
        <v>611</v>
      </c>
      <c r="E2279" s="35">
        <v>44832</v>
      </c>
      <c r="F2279" s="33">
        <v>3</v>
      </c>
      <c r="G2279" s="33" t="s">
        <v>628</v>
      </c>
      <c r="H2279" s="33" t="s">
        <v>72</v>
      </c>
      <c r="I2279" s="33" t="s">
        <v>75</v>
      </c>
      <c r="J2279" s="34">
        <v>2165.9</v>
      </c>
      <c r="K2279" s="34"/>
      <c r="L2279" s="34">
        <v>2165.9</v>
      </c>
    </row>
    <row r="2280" spans="2:12" x14ac:dyDescent="0.3">
      <c r="B2280" s="25">
        <v>2289</v>
      </c>
      <c r="C2280" s="33">
        <v>34387</v>
      </c>
      <c r="D2280" s="33" t="s">
        <v>687</v>
      </c>
      <c r="E2280" s="35">
        <v>44834</v>
      </c>
      <c r="F2280" s="33">
        <v>3</v>
      </c>
      <c r="G2280" s="33" t="s">
        <v>122</v>
      </c>
      <c r="H2280" s="33" t="s">
        <v>72</v>
      </c>
      <c r="I2280" s="33" t="s">
        <v>196</v>
      </c>
      <c r="J2280" s="34">
        <v>3280.2</v>
      </c>
      <c r="K2280" s="34"/>
      <c r="L2280" s="34">
        <v>3280.2</v>
      </c>
    </row>
    <row r="2281" spans="2:12" x14ac:dyDescent="0.3">
      <c r="B2281" s="25">
        <v>2290</v>
      </c>
      <c r="C2281" s="33">
        <v>34406</v>
      </c>
      <c r="D2281" s="33" t="s">
        <v>395</v>
      </c>
      <c r="E2281" s="35">
        <v>44837</v>
      </c>
      <c r="F2281" s="33">
        <v>4</v>
      </c>
      <c r="G2281" s="33" t="s">
        <v>122</v>
      </c>
      <c r="H2281" s="33" t="s">
        <v>72</v>
      </c>
      <c r="I2281" s="33" t="s">
        <v>196</v>
      </c>
      <c r="J2281" s="34">
        <v>1024.4000000000001</v>
      </c>
      <c r="K2281" s="34"/>
      <c r="L2281" s="34">
        <v>1024.4000000000001</v>
      </c>
    </row>
    <row r="2282" spans="2:12" x14ac:dyDescent="0.3">
      <c r="B2282" s="25">
        <v>2291</v>
      </c>
      <c r="C2282" s="33">
        <v>34407</v>
      </c>
      <c r="D2282" s="33" t="s">
        <v>1087</v>
      </c>
      <c r="E2282" s="35">
        <v>44838</v>
      </c>
      <c r="F2282" s="33">
        <v>4</v>
      </c>
      <c r="G2282" s="33" t="s">
        <v>122</v>
      </c>
      <c r="H2282" s="33" t="s">
        <v>72</v>
      </c>
      <c r="I2282" s="33" t="s">
        <v>196</v>
      </c>
      <c r="J2282" s="34">
        <v>7623</v>
      </c>
      <c r="K2282" s="34"/>
      <c r="L2282" s="34">
        <v>7623</v>
      </c>
    </row>
    <row r="2283" spans="2:12" x14ac:dyDescent="0.3">
      <c r="B2283" s="25">
        <v>2292</v>
      </c>
      <c r="C2283" s="33">
        <v>34411</v>
      </c>
      <c r="D2283" s="33" t="s">
        <v>394</v>
      </c>
      <c r="E2283" s="35">
        <v>44838</v>
      </c>
      <c r="F2283" s="33">
        <v>4</v>
      </c>
      <c r="G2283" s="33" t="s">
        <v>122</v>
      </c>
      <c r="H2283" s="33" t="s">
        <v>72</v>
      </c>
      <c r="I2283" s="33" t="s">
        <v>196</v>
      </c>
      <c r="J2283" s="34">
        <v>949.6</v>
      </c>
      <c r="K2283" s="34">
        <v>100</v>
      </c>
      <c r="L2283" s="34">
        <v>849.6</v>
      </c>
    </row>
    <row r="2284" spans="2:12" x14ac:dyDescent="0.3">
      <c r="B2284" s="25">
        <v>2293</v>
      </c>
      <c r="C2284" s="33">
        <v>5473</v>
      </c>
      <c r="D2284" s="33" t="s">
        <v>394</v>
      </c>
      <c r="E2284" s="35">
        <v>44811</v>
      </c>
      <c r="F2284" s="33">
        <v>3</v>
      </c>
      <c r="G2284" s="33" t="s">
        <v>122</v>
      </c>
      <c r="H2284" s="33" t="s">
        <v>201</v>
      </c>
      <c r="I2284" s="33" t="s">
        <v>196</v>
      </c>
      <c r="J2284" s="34">
        <v>2783</v>
      </c>
      <c r="K2284" s="34"/>
      <c r="L2284" s="34">
        <v>2783</v>
      </c>
    </row>
    <row r="2285" spans="2:12" x14ac:dyDescent="0.3">
      <c r="B2285" s="25">
        <v>2294</v>
      </c>
      <c r="C2285" s="33">
        <v>5474</v>
      </c>
      <c r="D2285" s="33" t="s">
        <v>551</v>
      </c>
      <c r="E2285" s="35">
        <v>44811</v>
      </c>
      <c r="F2285" s="33">
        <v>3</v>
      </c>
      <c r="G2285" s="33" t="s">
        <v>231</v>
      </c>
      <c r="H2285" s="33" t="s">
        <v>201</v>
      </c>
      <c r="I2285" s="33" t="s">
        <v>198</v>
      </c>
      <c r="J2285" s="34">
        <v>894.74</v>
      </c>
      <c r="K2285" s="34"/>
      <c r="L2285" s="34">
        <v>894.74</v>
      </c>
    </row>
    <row r="2286" spans="2:12" x14ac:dyDescent="0.3">
      <c r="B2286" s="25">
        <v>2295</v>
      </c>
      <c r="C2286" s="33">
        <v>5475</v>
      </c>
      <c r="D2286" s="33" t="s">
        <v>565</v>
      </c>
      <c r="E2286" s="35">
        <v>44811</v>
      </c>
      <c r="F2286" s="33">
        <v>3</v>
      </c>
      <c r="G2286" s="33" t="s">
        <v>124</v>
      </c>
      <c r="H2286" s="33" t="s">
        <v>201</v>
      </c>
      <c r="I2286" s="33" t="s">
        <v>197</v>
      </c>
      <c r="J2286" s="34">
        <v>1695.91</v>
      </c>
      <c r="K2286" s="34"/>
      <c r="L2286" s="34">
        <v>1695.91</v>
      </c>
    </row>
    <row r="2287" spans="2:12" x14ac:dyDescent="0.3">
      <c r="B2287" s="25">
        <v>2296</v>
      </c>
      <c r="C2287" s="33">
        <v>5476</v>
      </c>
      <c r="D2287" s="33" t="s">
        <v>565</v>
      </c>
      <c r="E2287" s="35">
        <v>44811</v>
      </c>
      <c r="F2287" s="33">
        <v>3</v>
      </c>
      <c r="G2287" s="33" t="s">
        <v>124</v>
      </c>
      <c r="H2287" s="33" t="s">
        <v>201</v>
      </c>
      <c r="I2287" s="33" t="s">
        <v>197</v>
      </c>
      <c r="J2287" s="34">
        <v>2257.19</v>
      </c>
      <c r="K2287" s="34"/>
      <c r="L2287" s="34">
        <v>2257.19</v>
      </c>
    </row>
    <row r="2288" spans="2:12" x14ac:dyDescent="0.3">
      <c r="B2288" s="25">
        <v>2297</v>
      </c>
      <c r="C2288" s="33">
        <v>5477</v>
      </c>
      <c r="D2288" s="33" t="s">
        <v>1268</v>
      </c>
      <c r="E2288" s="35">
        <v>44811</v>
      </c>
      <c r="F2288" s="33">
        <v>3</v>
      </c>
      <c r="G2288" s="33" t="s">
        <v>124</v>
      </c>
      <c r="H2288" s="33" t="s">
        <v>201</v>
      </c>
      <c r="I2288" s="33" t="s">
        <v>197</v>
      </c>
      <c r="J2288" s="34">
        <v>6642</v>
      </c>
      <c r="K2288" s="34"/>
      <c r="L2288" s="34">
        <v>6642</v>
      </c>
    </row>
    <row r="2289" spans="2:12" x14ac:dyDescent="0.3">
      <c r="B2289" s="25">
        <v>2298</v>
      </c>
      <c r="C2289" s="33">
        <v>5623</v>
      </c>
      <c r="D2289" s="33" t="s">
        <v>844</v>
      </c>
      <c r="E2289" s="35">
        <v>44818</v>
      </c>
      <c r="F2289" s="33">
        <v>3</v>
      </c>
      <c r="G2289" s="33" t="s">
        <v>628</v>
      </c>
      <c r="H2289" s="33" t="s">
        <v>201</v>
      </c>
      <c r="I2289" s="33" t="s">
        <v>75</v>
      </c>
      <c r="J2289" s="34">
        <v>1642.3</v>
      </c>
      <c r="K2289" s="34"/>
      <c r="L2289" s="34">
        <v>1642.3</v>
      </c>
    </row>
    <row r="2290" spans="2:12" x14ac:dyDescent="0.3">
      <c r="B2290" s="25">
        <v>2299</v>
      </c>
      <c r="C2290" s="33">
        <v>5624</v>
      </c>
      <c r="D2290" s="33" t="s">
        <v>803</v>
      </c>
      <c r="E2290" s="35">
        <v>44818</v>
      </c>
      <c r="F2290" s="33">
        <v>3</v>
      </c>
      <c r="G2290" s="33" t="s">
        <v>122</v>
      </c>
      <c r="H2290" s="33" t="s">
        <v>201</v>
      </c>
      <c r="I2290" s="33" t="s">
        <v>196</v>
      </c>
      <c r="J2290" s="34">
        <v>4916.3999999999996</v>
      </c>
      <c r="K2290" s="34"/>
      <c r="L2290" s="34">
        <v>4916.3999999999996</v>
      </c>
    </row>
    <row r="2291" spans="2:12" x14ac:dyDescent="0.3">
      <c r="B2291" s="25">
        <v>2300</v>
      </c>
      <c r="C2291" s="33">
        <v>5625</v>
      </c>
      <c r="D2291" s="33" t="s">
        <v>394</v>
      </c>
      <c r="E2291" s="35">
        <v>44818</v>
      </c>
      <c r="F2291" s="33">
        <v>3</v>
      </c>
      <c r="G2291" s="33" t="s">
        <v>122</v>
      </c>
      <c r="H2291" s="33" t="s">
        <v>201</v>
      </c>
      <c r="I2291" s="33" t="s">
        <v>196</v>
      </c>
      <c r="J2291" s="34">
        <v>7197.3</v>
      </c>
      <c r="K2291" s="34"/>
      <c r="L2291" s="34">
        <v>7197.3</v>
      </c>
    </row>
    <row r="2292" spans="2:12" x14ac:dyDescent="0.3">
      <c r="B2292" s="25">
        <v>2301</v>
      </c>
      <c r="C2292" s="33">
        <v>5626</v>
      </c>
      <c r="D2292" s="33" t="s">
        <v>394</v>
      </c>
      <c r="E2292" s="35">
        <v>44818</v>
      </c>
      <c r="F2292" s="33">
        <v>3</v>
      </c>
      <c r="G2292" s="33" t="s">
        <v>122</v>
      </c>
      <c r="H2292" s="33" t="s">
        <v>201</v>
      </c>
      <c r="I2292" s="33" t="s">
        <v>196</v>
      </c>
      <c r="J2292" s="34">
        <v>2808.3</v>
      </c>
      <c r="K2292" s="34"/>
      <c r="L2292" s="34">
        <v>2808.3</v>
      </c>
    </row>
    <row r="2293" spans="2:12" x14ac:dyDescent="0.3">
      <c r="B2293" s="25">
        <v>2302</v>
      </c>
      <c r="C2293" s="33">
        <v>5627</v>
      </c>
      <c r="D2293" s="33" t="s">
        <v>394</v>
      </c>
      <c r="E2293" s="35">
        <v>44818</v>
      </c>
      <c r="F2293" s="33">
        <v>3</v>
      </c>
      <c r="G2293" s="33" t="s">
        <v>122</v>
      </c>
      <c r="H2293" s="33" t="s">
        <v>201</v>
      </c>
      <c r="I2293" s="33" t="s">
        <v>196</v>
      </c>
      <c r="J2293" s="34">
        <v>451</v>
      </c>
      <c r="K2293" s="34"/>
      <c r="L2293" s="34">
        <v>451</v>
      </c>
    </row>
    <row r="2294" spans="2:12" x14ac:dyDescent="0.3">
      <c r="B2294" s="25">
        <v>2303</v>
      </c>
      <c r="C2294" s="33">
        <v>5628</v>
      </c>
      <c r="D2294" s="33" t="s">
        <v>394</v>
      </c>
      <c r="E2294" s="35">
        <v>44818</v>
      </c>
      <c r="F2294" s="33">
        <v>3</v>
      </c>
      <c r="G2294" s="33" t="s">
        <v>122</v>
      </c>
      <c r="H2294" s="33" t="s">
        <v>201</v>
      </c>
      <c r="I2294" s="33" t="s">
        <v>196</v>
      </c>
      <c r="J2294" s="34">
        <v>347.6</v>
      </c>
      <c r="K2294" s="34"/>
      <c r="L2294" s="34">
        <v>347.6</v>
      </c>
    </row>
    <row r="2295" spans="2:12" x14ac:dyDescent="0.3">
      <c r="B2295" s="25">
        <v>2304</v>
      </c>
      <c r="C2295" s="33">
        <v>5632</v>
      </c>
      <c r="D2295" s="33" t="s">
        <v>473</v>
      </c>
      <c r="E2295" s="35">
        <v>44826</v>
      </c>
      <c r="F2295" s="33">
        <v>3</v>
      </c>
      <c r="G2295" s="33" t="s">
        <v>122</v>
      </c>
      <c r="H2295" s="33" t="s">
        <v>201</v>
      </c>
      <c r="I2295" s="33" t="s">
        <v>196</v>
      </c>
      <c r="J2295" s="34">
        <v>1515.67</v>
      </c>
      <c r="K2295" s="34"/>
      <c r="L2295" s="34">
        <v>1515.67</v>
      </c>
    </row>
    <row r="2296" spans="2:12" x14ac:dyDescent="0.3">
      <c r="B2296" s="25">
        <v>2305</v>
      </c>
      <c r="C2296" s="33">
        <v>5634</v>
      </c>
      <c r="D2296" s="33" t="s">
        <v>928</v>
      </c>
      <c r="E2296" s="35">
        <v>44818</v>
      </c>
      <c r="F2296" s="33">
        <v>3</v>
      </c>
      <c r="G2296" s="33" t="s">
        <v>122</v>
      </c>
      <c r="H2296" s="33" t="s">
        <v>201</v>
      </c>
      <c r="I2296" s="33" t="s">
        <v>196</v>
      </c>
      <c r="J2296" s="34">
        <v>1968</v>
      </c>
      <c r="K2296" s="34"/>
      <c r="L2296" s="34">
        <v>1968</v>
      </c>
    </row>
    <row r="2297" spans="2:12" x14ac:dyDescent="0.3">
      <c r="B2297" s="25">
        <v>2306</v>
      </c>
      <c r="C2297" s="33">
        <v>5636</v>
      </c>
      <c r="D2297" s="33" t="s">
        <v>854</v>
      </c>
      <c r="E2297" s="35">
        <v>44818</v>
      </c>
      <c r="F2297" s="33">
        <v>3</v>
      </c>
      <c r="G2297" s="33" t="s">
        <v>122</v>
      </c>
      <c r="H2297" s="33" t="s">
        <v>201</v>
      </c>
      <c r="I2297" s="33" t="s">
        <v>196</v>
      </c>
      <c r="J2297" s="34">
        <v>2822.4</v>
      </c>
      <c r="K2297" s="34"/>
      <c r="L2297" s="34">
        <v>2822.4</v>
      </c>
    </row>
    <row r="2298" spans="2:12" x14ac:dyDescent="0.3">
      <c r="B2298" s="25">
        <v>2307</v>
      </c>
      <c r="C2298" s="33">
        <v>5637</v>
      </c>
      <c r="D2298" s="33" t="s">
        <v>660</v>
      </c>
      <c r="E2298" s="35">
        <v>44818</v>
      </c>
      <c r="F2298" s="33">
        <v>3</v>
      </c>
      <c r="G2298" s="33" t="s">
        <v>124</v>
      </c>
      <c r="H2298" s="33" t="s">
        <v>201</v>
      </c>
      <c r="I2298" s="33" t="s">
        <v>197</v>
      </c>
      <c r="J2298" s="34">
        <v>1519.81</v>
      </c>
      <c r="K2298" s="34"/>
      <c r="L2298" s="34">
        <v>1519.81</v>
      </c>
    </row>
    <row r="2299" spans="2:12" x14ac:dyDescent="0.3">
      <c r="B2299" s="25">
        <v>2308</v>
      </c>
      <c r="C2299" s="33">
        <v>5638</v>
      </c>
      <c r="D2299" s="33" t="s">
        <v>362</v>
      </c>
      <c r="E2299" s="35">
        <v>44818</v>
      </c>
      <c r="F2299" s="33">
        <v>3</v>
      </c>
      <c r="G2299" s="33" t="s">
        <v>124</v>
      </c>
      <c r="H2299" s="33" t="s">
        <v>201</v>
      </c>
      <c r="I2299" s="33" t="s">
        <v>197</v>
      </c>
      <c r="J2299" s="34">
        <v>2543.15</v>
      </c>
      <c r="K2299" s="34"/>
      <c r="L2299" s="34">
        <v>2543.15</v>
      </c>
    </row>
    <row r="2300" spans="2:12" x14ac:dyDescent="0.3">
      <c r="B2300" s="25">
        <v>2309</v>
      </c>
      <c r="C2300" s="33">
        <v>5639</v>
      </c>
      <c r="D2300" s="33" t="s">
        <v>411</v>
      </c>
      <c r="E2300" s="35">
        <v>44818</v>
      </c>
      <c r="F2300" s="33">
        <v>3</v>
      </c>
      <c r="G2300" s="33" t="s">
        <v>122</v>
      </c>
      <c r="H2300" s="33" t="s">
        <v>201</v>
      </c>
      <c r="I2300" s="33" t="s">
        <v>196</v>
      </c>
      <c r="J2300" s="34">
        <v>3554.06</v>
      </c>
      <c r="K2300" s="34"/>
      <c r="L2300" s="34">
        <v>3554.06</v>
      </c>
    </row>
    <row r="2301" spans="2:12" x14ac:dyDescent="0.3">
      <c r="B2301" s="25">
        <v>2310</v>
      </c>
      <c r="C2301" s="33">
        <v>5640</v>
      </c>
      <c r="D2301" s="33" t="s">
        <v>1269</v>
      </c>
      <c r="E2301" s="35">
        <v>44818</v>
      </c>
      <c r="F2301" s="33">
        <v>3</v>
      </c>
      <c r="G2301" s="33" t="s">
        <v>124</v>
      </c>
      <c r="H2301" s="33" t="s">
        <v>201</v>
      </c>
      <c r="I2301" s="33" t="s">
        <v>197</v>
      </c>
      <c r="J2301" s="34">
        <v>2121.6</v>
      </c>
      <c r="K2301" s="34"/>
      <c r="L2301" s="34">
        <v>2121.6</v>
      </c>
    </row>
    <row r="2302" spans="2:12" x14ac:dyDescent="0.3">
      <c r="B2302" s="25">
        <v>2311</v>
      </c>
      <c r="C2302" s="33">
        <v>5754</v>
      </c>
      <c r="D2302" s="33" t="s">
        <v>394</v>
      </c>
      <c r="E2302" s="35">
        <v>44825</v>
      </c>
      <c r="F2302" s="33">
        <v>3</v>
      </c>
      <c r="G2302" s="33" t="s">
        <v>122</v>
      </c>
      <c r="H2302" s="33" t="s">
        <v>201</v>
      </c>
      <c r="I2302" s="33" t="s">
        <v>196</v>
      </c>
      <c r="J2302" s="34">
        <v>1387.1</v>
      </c>
      <c r="K2302" s="34"/>
      <c r="L2302" s="34">
        <v>1387.1</v>
      </c>
    </row>
    <row r="2303" spans="2:12" x14ac:dyDescent="0.3">
      <c r="B2303" s="25">
        <v>2312</v>
      </c>
      <c r="C2303" s="33">
        <v>5755</v>
      </c>
      <c r="D2303" s="33" t="s">
        <v>394</v>
      </c>
      <c r="E2303" s="35">
        <v>44825</v>
      </c>
      <c r="F2303" s="33">
        <v>3</v>
      </c>
      <c r="G2303" s="33" t="s">
        <v>122</v>
      </c>
      <c r="H2303" s="33" t="s">
        <v>201</v>
      </c>
      <c r="I2303" s="33" t="s">
        <v>196</v>
      </c>
      <c r="J2303" s="34">
        <v>3608</v>
      </c>
      <c r="K2303" s="34"/>
      <c r="L2303" s="34">
        <v>3608</v>
      </c>
    </row>
    <row r="2304" spans="2:12" x14ac:dyDescent="0.3">
      <c r="B2304" s="25">
        <v>2313</v>
      </c>
      <c r="C2304" s="33">
        <v>5760</v>
      </c>
      <c r="D2304" s="33" t="s">
        <v>473</v>
      </c>
      <c r="E2304" s="35">
        <v>44825</v>
      </c>
      <c r="F2304" s="33">
        <v>3</v>
      </c>
      <c r="G2304" s="33" t="s">
        <v>122</v>
      </c>
      <c r="H2304" s="33" t="s">
        <v>201</v>
      </c>
      <c r="I2304" s="33" t="s">
        <v>196</v>
      </c>
      <c r="J2304" s="34">
        <v>7314.62</v>
      </c>
      <c r="K2304" s="34"/>
      <c r="L2304" s="34">
        <v>7314.62</v>
      </c>
    </row>
    <row r="2305" spans="2:12" x14ac:dyDescent="0.3">
      <c r="B2305" s="25">
        <v>2314</v>
      </c>
      <c r="C2305" s="33">
        <v>5761</v>
      </c>
      <c r="D2305" s="33" t="s">
        <v>387</v>
      </c>
      <c r="E2305" s="35">
        <v>44825</v>
      </c>
      <c r="F2305" s="33">
        <v>3</v>
      </c>
      <c r="G2305" s="33" t="s">
        <v>124</v>
      </c>
      <c r="H2305" s="33" t="s">
        <v>201</v>
      </c>
      <c r="I2305" s="33" t="s">
        <v>197</v>
      </c>
      <c r="J2305" s="34">
        <v>2669</v>
      </c>
      <c r="K2305" s="34">
        <v>125</v>
      </c>
      <c r="L2305" s="34">
        <v>2544</v>
      </c>
    </row>
    <row r="2306" spans="2:12" x14ac:dyDescent="0.3">
      <c r="B2306" s="25">
        <v>2315</v>
      </c>
      <c r="C2306" s="33">
        <v>5762</v>
      </c>
      <c r="D2306" s="33" t="s">
        <v>566</v>
      </c>
      <c r="E2306" s="35">
        <v>44825</v>
      </c>
      <c r="F2306" s="33">
        <v>3</v>
      </c>
      <c r="G2306" s="33" t="s">
        <v>122</v>
      </c>
      <c r="H2306" s="33" t="s">
        <v>201</v>
      </c>
      <c r="I2306" s="33" t="s">
        <v>196</v>
      </c>
      <c r="J2306" s="34">
        <v>5937.62</v>
      </c>
      <c r="K2306" s="34"/>
      <c r="L2306" s="34">
        <v>5937.62</v>
      </c>
    </row>
    <row r="2307" spans="2:12" x14ac:dyDescent="0.3">
      <c r="B2307" s="25">
        <v>2316</v>
      </c>
      <c r="C2307" s="33">
        <v>5764</v>
      </c>
      <c r="D2307" s="33" t="s">
        <v>1268</v>
      </c>
      <c r="E2307" s="35">
        <v>44825</v>
      </c>
      <c r="F2307" s="33">
        <v>3</v>
      </c>
      <c r="G2307" s="33" t="s">
        <v>124</v>
      </c>
      <c r="H2307" s="33" t="s">
        <v>201</v>
      </c>
      <c r="I2307" s="33" t="s">
        <v>197</v>
      </c>
      <c r="J2307" s="34">
        <v>3907.2</v>
      </c>
      <c r="K2307" s="34"/>
      <c r="L2307" s="34">
        <v>3907.2</v>
      </c>
    </row>
    <row r="2308" spans="2:12" x14ac:dyDescent="0.3">
      <c r="B2308" s="25">
        <v>2317</v>
      </c>
      <c r="C2308" s="33">
        <v>5765</v>
      </c>
      <c r="D2308" s="33" t="s">
        <v>1268</v>
      </c>
      <c r="E2308" s="35">
        <v>44825</v>
      </c>
      <c r="F2308" s="33">
        <v>3</v>
      </c>
      <c r="G2308" s="33" t="s">
        <v>124</v>
      </c>
      <c r="H2308" s="33" t="s">
        <v>201</v>
      </c>
      <c r="I2308" s="33" t="s">
        <v>197</v>
      </c>
      <c r="J2308" s="34">
        <v>3863.2</v>
      </c>
      <c r="K2308" s="34"/>
      <c r="L2308" s="34">
        <v>3863.2</v>
      </c>
    </row>
    <row r="2309" spans="2:12" x14ac:dyDescent="0.3">
      <c r="B2309" s="25">
        <v>2318</v>
      </c>
      <c r="C2309" s="33">
        <v>5766</v>
      </c>
      <c r="D2309" s="33" t="s">
        <v>1268</v>
      </c>
      <c r="E2309" s="35">
        <v>44825</v>
      </c>
      <c r="F2309" s="33">
        <v>3</v>
      </c>
      <c r="G2309" s="33" t="s">
        <v>124</v>
      </c>
      <c r="H2309" s="33" t="s">
        <v>201</v>
      </c>
      <c r="I2309" s="33" t="s">
        <v>197</v>
      </c>
      <c r="J2309" s="34">
        <v>4204.6400000000003</v>
      </c>
      <c r="K2309" s="34"/>
      <c r="L2309" s="34">
        <v>4204.6400000000003</v>
      </c>
    </row>
    <row r="2310" spans="2:12" x14ac:dyDescent="0.3">
      <c r="B2310" s="25">
        <v>2319</v>
      </c>
      <c r="C2310" s="33">
        <v>5767</v>
      </c>
      <c r="D2310" s="33" t="s">
        <v>584</v>
      </c>
      <c r="E2310" s="35">
        <v>44825</v>
      </c>
      <c r="F2310" s="33">
        <v>3</v>
      </c>
      <c r="G2310" s="33" t="s">
        <v>122</v>
      </c>
      <c r="H2310" s="33" t="s">
        <v>201</v>
      </c>
      <c r="I2310" s="33" t="s">
        <v>196</v>
      </c>
      <c r="J2310" s="34">
        <v>4742.91</v>
      </c>
      <c r="K2310" s="34"/>
      <c r="L2310" s="34">
        <v>4742.91</v>
      </c>
    </row>
    <row r="2311" spans="2:12" x14ac:dyDescent="0.3">
      <c r="B2311" s="25">
        <v>2320</v>
      </c>
      <c r="C2311" s="33">
        <v>5769</v>
      </c>
      <c r="D2311" s="33" t="s">
        <v>413</v>
      </c>
      <c r="E2311" s="35">
        <v>44825</v>
      </c>
      <c r="F2311" s="33">
        <v>3</v>
      </c>
      <c r="G2311" s="33" t="s">
        <v>122</v>
      </c>
      <c r="H2311" s="33" t="s">
        <v>201</v>
      </c>
      <c r="I2311" s="33" t="s">
        <v>196</v>
      </c>
      <c r="J2311" s="34">
        <v>3654.2</v>
      </c>
      <c r="K2311" s="34"/>
      <c r="L2311" s="34">
        <v>3654.2</v>
      </c>
    </row>
    <row r="2312" spans="2:12" x14ac:dyDescent="0.3">
      <c r="B2312" s="25">
        <v>2321</v>
      </c>
      <c r="C2312" s="33">
        <v>5771</v>
      </c>
      <c r="D2312" s="33" t="s">
        <v>1146</v>
      </c>
      <c r="E2312" s="35">
        <v>44825</v>
      </c>
      <c r="F2312" s="33">
        <v>3</v>
      </c>
      <c r="G2312" s="33" t="s">
        <v>124</v>
      </c>
      <c r="H2312" s="33" t="s">
        <v>201</v>
      </c>
      <c r="I2312" s="33" t="s">
        <v>197</v>
      </c>
      <c r="J2312" s="34">
        <v>2070.41</v>
      </c>
      <c r="K2312" s="34"/>
      <c r="L2312" s="34">
        <v>2070.41</v>
      </c>
    </row>
    <row r="2313" spans="2:12" x14ac:dyDescent="0.3">
      <c r="B2313" s="25">
        <v>2322</v>
      </c>
      <c r="C2313" s="33">
        <v>5773</v>
      </c>
      <c r="D2313" s="33" t="s">
        <v>1270</v>
      </c>
      <c r="E2313" s="35">
        <v>44825</v>
      </c>
      <c r="F2313" s="33">
        <v>3</v>
      </c>
      <c r="G2313" s="33" t="s">
        <v>124</v>
      </c>
      <c r="H2313" s="33" t="s">
        <v>201</v>
      </c>
      <c r="I2313" s="33" t="s">
        <v>197</v>
      </c>
      <c r="J2313" s="34">
        <v>3411.6</v>
      </c>
      <c r="K2313" s="34"/>
      <c r="L2313" s="34">
        <v>3411.6</v>
      </c>
    </row>
    <row r="2314" spans="2:12" x14ac:dyDescent="0.3">
      <c r="B2314" s="25">
        <v>2323</v>
      </c>
      <c r="C2314" s="33">
        <v>5831</v>
      </c>
      <c r="D2314" s="33" t="s">
        <v>473</v>
      </c>
      <c r="E2314" s="35">
        <v>44826</v>
      </c>
      <c r="F2314" s="33">
        <v>3</v>
      </c>
      <c r="G2314" s="33" t="s">
        <v>122</v>
      </c>
      <c r="H2314" s="33" t="s">
        <v>201</v>
      </c>
      <c r="I2314" s="33" t="s">
        <v>196</v>
      </c>
      <c r="J2314" s="34">
        <v>2580.11</v>
      </c>
      <c r="K2314" s="34"/>
      <c r="L2314" s="34">
        <v>2580.11</v>
      </c>
    </row>
    <row r="2315" spans="2:12" x14ac:dyDescent="0.3">
      <c r="B2315" s="25">
        <v>2324</v>
      </c>
      <c r="C2315" s="33">
        <v>5833</v>
      </c>
      <c r="D2315" s="33" t="s">
        <v>565</v>
      </c>
      <c r="E2315" s="35">
        <v>44826</v>
      </c>
      <c r="F2315" s="33">
        <v>3</v>
      </c>
      <c r="G2315" s="33" t="s">
        <v>124</v>
      </c>
      <c r="H2315" s="33" t="s">
        <v>201</v>
      </c>
      <c r="I2315" s="33" t="s">
        <v>197</v>
      </c>
      <c r="J2315" s="34">
        <v>455.02</v>
      </c>
      <c r="K2315" s="34"/>
      <c r="L2315" s="34">
        <v>455.02</v>
      </c>
    </row>
    <row r="2316" spans="2:12" x14ac:dyDescent="0.3">
      <c r="B2316" s="25">
        <v>2325</v>
      </c>
      <c r="C2316" s="33">
        <v>5835</v>
      </c>
      <c r="D2316" s="33" t="s">
        <v>1268</v>
      </c>
      <c r="E2316" s="35">
        <v>44826</v>
      </c>
      <c r="F2316" s="33">
        <v>3</v>
      </c>
      <c r="G2316" s="33" t="s">
        <v>124</v>
      </c>
      <c r="H2316" s="33" t="s">
        <v>201</v>
      </c>
      <c r="I2316" s="33" t="s">
        <v>197</v>
      </c>
      <c r="J2316" s="34">
        <v>26624.400000000001</v>
      </c>
      <c r="K2316" s="34"/>
      <c r="L2316" s="34">
        <v>26624.400000000001</v>
      </c>
    </row>
    <row r="2317" spans="2:12" x14ac:dyDescent="0.3">
      <c r="B2317" s="25">
        <v>2326</v>
      </c>
      <c r="C2317" s="33">
        <v>4310</v>
      </c>
      <c r="D2317" s="33" t="s">
        <v>681</v>
      </c>
      <c r="E2317" s="35">
        <v>44838</v>
      </c>
      <c r="F2317" s="33">
        <v>4</v>
      </c>
      <c r="G2317" s="33" t="s">
        <v>122</v>
      </c>
      <c r="H2317" s="33" t="s">
        <v>71</v>
      </c>
      <c r="I2317" s="33" t="s">
        <v>196</v>
      </c>
      <c r="J2317" s="34">
        <v>222.64</v>
      </c>
      <c r="K2317" s="34"/>
      <c r="L2317" s="34">
        <v>222.64</v>
      </c>
    </row>
    <row r="2318" spans="2:12" x14ac:dyDescent="0.3">
      <c r="B2318" s="25">
        <v>2327</v>
      </c>
      <c r="C2318" s="33">
        <v>3905</v>
      </c>
      <c r="D2318" s="33" t="s">
        <v>1271</v>
      </c>
      <c r="E2318" s="35">
        <v>44805</v>
      </c>
      <c r="F2318" s="33">
        <v>3</v>
      </c>
      <c r="G2318" s="33" t="s">
        <v>122</v>
      </c>
      <c r="H2318" s="33" t="s">
        <v>71</v>
      </c>
      <c r="I2318" s="33" t="s">
        <v>196</v>
      </c>
      <c r="J2318" s="34">
        <v>920.84</v>
      </c>
      <c r="K2318" s="34">
        <v>80</v>
      </c>
      <c r="L2318" s="34">
        <v>840.84</v>
      </c>
    </row>
    <row r="2319" spans="2:12" x14ac:dyDescent="0.3">
      <c r="B2319" s="25">
        <v>2328</v>
      </c>
      <c r="C2319" s="33">
        <v>3922</v>
      </c>
      <c r="D2319" s="33" t="s">
        <v>426</v>
      </c>
      <c r="E2319" s="35">
        <v>44806</v>
      </c>
      <c r="F2319" s="33">
        <v>3</v>
      </c>
      <c r="G2319" s="33" t="s">
        <v>628</v>
      </c>
      <c r="H2319" s="33" t="s">
        <v>71</v>
      </c>
      <c r="I2319" s="33" t="s">
        <v>75</v>
      </c>
      <c r="J2319" s="34">
        <v>1269.77</v>
      </c>
      <c r="K2319" s="34"/>
      <c r="L2319" s="34">
        <v>1269.77</v>
      </c>
    </row>
    <row r="2320" spans="2:12" x14ac:dyDescent="0.3">
      <c r="B2320" s="25">
        <v>2329</v>
      </c>
      <c r="C2320" s="33">
        <v>3924</v>
      </c>
      <c r="D2320" s="33" t="s">
        <v>1013</v>
      </c>
      <c r="E2320" s="35">
        <v>44806</v>
      </c>
      <c r="F2320" s="33">
        <v>3</v>
      </c>
      <c r="G2320" s="33" t="s">
        <v>231</v>
      </c>
      <c r="H2320" s="33" t="s">
        <v>71</v>
      </c>
      <c r="I2320" s="33" t="s">
        <v>198</v>
      </c>
      <c r="J2320" s="34">
        <v>428.43</v>
      </c>
      <c r="K2320" s="34">
        <v>80</v>
      </c>
      <c r="L2320" s="34">
        <v>348.43</v>
      </c>
    </row>
    <row r="2321" spans="2:12" x14ac:dyDescent="0.3">
      <c r="B2321" s="25">
        <v>2330</v>
      </c>
      <c r="C2321" s="33">
        <v>3933</v>
      </c>
      <c r="D2321" s="33" t="s">
        <v>1272</v>
      </c>
      <c r="E2321" s="35">
        <v>44809</v>
      </c>
      <c r="F2321" s="33">
        <v>3</v>
      </c>
      <c r="G2321" s="33" t="s">
        <v>628</v>
      </c>
      <c r="H2321" s="33" t="s">
        <v>71</v>
      </c>
      <c r="I2321" s="33" t="s">
        <v>75</v>
      </c>
      <c r="J2321" s="34">
        <v>853.35</v>
      </c>
      <c r="K2321" s="34"/>
      <c r="L2321" s="34">
        <v>853.35</v>
      </c>
    </row>
    <row r="2322" spans="2:12" x14ac:dyDescent="0.3">
      <c r="B2322" s="25">
        <v>2331</v>
      </c>
      <c r="C2322" s="33">
        <v>3945</v>
      </c>
      <c r="D2322" s="33" t="s">
        <v>746</v>
      </c>
      <c r="E2322" s="35">
        <v>44810</v>
      </c>
      <c r="F2322" s="33">
        <v>3</v>
      </c>
      <c r="G2322" s="33" t="s">
        <v>122</v>
      </c>
      <c r="H2322" s="33" t="s">
        <v>71</v>
      </c>
      <c r="I2322" s="33" t="s">
        <v>196</v>
      </c>
      <c r="J2322" s="34">
        <v>1028.6600000000001</v>
      </c>
      <c r="K2322" s="34"/>
      <c r="L2322" s="34">
        <v>1028.6600000000001</v>
      </c>
    </row>
    <row r="2323" spans="2:12" x14ac:dyDescent="0.3">
      <c r="B2323" s="25">
        <v>2332</v>
      </c>
      <c r="C2323" s="33">
        <v>3950</v>
      </c>
      <c r="D2323" s="33" t="s">
        <v>1273</v>
      </c>
      <c r="E2323" s="35">
        <v>44810</v>
      </c>
      <c r="F2323" s="33">
        <v>3</v>
      </c>
      <c r="G2323" s="33" t="s">
        <v>122</v>
      </c>
      <c r="H2323" s="33" t="s">
        <v>71</v>
      </c>
      <c r="I2323" s="33" t="s">
        <v>196</v>
      </c>
      <c r="J2323" s="34">
        <v>1261.26</v>
      </c>
      <c r="K2323" s="34"/>
      <c r="L2323" s="34">
        <v>1261.26</v>
      </c>
    </row>
    <row r="2324" spans="2:12" x14ac:dyDescent="0.3">
      <c r="B2324" s="25">
        <v>2333</v>
      </c>
      <c r="C2324" s="33">
        <v>3953</v>
      </c>
      <c r="D2324" s="33" t="s">
        <v>275</v>
      </c>
      <c r="E2324" s="35">
        <v>44810</v>
      </c>
      <c r="F2324" s="33">
        <v>3</v>
      </c>
      <c r="G2324" s="33" t="s">
        <v>124</v>
      </c>
      <c r="H2324" s="33" t="s">
        <v>71</v>
      </c>
      <c r="I2324" s="33" t="s">
        <v>197</v>
      </c>
      <c r="J2324" s="34">
        <v>1724.16</v>
      </c>
      <c r="K2324" s="34">
        <v>65</v>
      </c>
      <c r="L2324" s="34">
        <v>1659.16</v>
      </c>
    </row>
    <row r="2325" spans="2:12" x14ac:dyDescent="0.3">
      <c r="B2325" s="25">
        <v>2334</v>
      </c>
      <c r="C2325" s="33">
        <v>3961</v>
      </c>
      <c r="D2325" s="33" t="s">
        <v>277</v>
      </c>
      <c r="E2325" s="35">
        <v>44811</v>
      </c>
      <c r="F2325" s="33">
        <v>3</v>
      </c>
      <c r="G2325" s="33" t="s">
        <v>124</v>
      </c>
      <c r="H2325" s="33" t="s">
        <v>71</v>
      </c>
      <c r="I2325" s="33" t="s">
        <v>197</v>
      </c>
      <c r="J2325" s="34">
        <v>980.48</v>
      </c>
      <c r="K2325" s="34"/>
      <c r="L2325" s="34">
        <v>980.48</v>
      </c>
    </row>
    <row r="2326" spans="2:12" x14ac:dyDescent="0.3">
      <c r="B2326" s="25">
        <v>2335</v>
      </c>
      <c r="C2326" s="33">
        <v>3985</v>
      </c>
      <c r="D2326" s="33" t="s">
        <v>277</v>
      </c>
      <c r="E2326" s="35">
        <v>44813</v>
      </c>
      <c r="F2326" s="33">
        <v>3</v>
      </c>
      <c r="G2326" s="33" t="s">
        <v>124</v>
      </c>
      <c r="H2326" s="33" t="s">
        <v>71</v>
      </c>
      <c r="I2326" s="33" t="s">
        <v>197</v>
      </c>
      <c r="J2326" s="34">
        <v>770.69</v>
      </c>
      <c r="K2326" s="34">
        <v>80</v>
      </c>
      <c r="L2326" s="34">
        <v>690.69</v>
      </c>
    </row>
    <row r="2327" spans="2:12" x14ac:dyDescent="0.3">
      <c r="B2327" s="25">
        <v>2336</v>
      </c>
      <c r="C2327" s="33">
        <v>4041</v>
      </c>
      <c r="D2327" s="33" t="s">
        <v>519</v>
      </c>
      <c r="E2327" s="35">
        <v>44820</v>
      </c>
      <c r="F2327" s="33">
        <v>3</v>
      </c>
      <c r="G2327" s="33" t="s">
        <v>628</v>
      </c>
      <c r="H2327" s="33" t="s">
        <v>71</v>
      </c>
      <c r="I2327" s="33" t="s">
        <v>75</v>
      </c>
      <c r="J2327" s="34">
        <v>662.34</v>
      </c>
      <c r="K2327" s="34">
        <v>80</v>
      </c>
      <c r="L2327" s="34">
        <v>582.34</v>
      </c>
    </row>
    <row r="2328" spans="2:12" x14ac:dyDescent="0.3">
      <c r="B2328" s="25">
        <v>2337</v>
      </c>
      <c r="C2328" s="33">
        <v>4042</v>
      </c>
      <c r="D2328" s="33" t="s">
        <v>285</v>
      </c>
      <c r="E2328" s="35">
        <v>44820</v>
      </c>
      <c r="F2328" s="33">
        <v>3</v>
      </c>
      <c r="G2328" s="33" t="s">
        <v>124</v>
      </c>
      <c r="H2328" s="33" t="s">
        <v>71</v>
      </c>
      <c r="I2328" s="33" t="s">
        <v>197</v>
      </c>
      <c r="J2328" s="34">
        <v>677.1</v>
      </c>
      <c r="K2328" s="34">
        <v>80</v>
      </c>
      <c r="L2328" s="34">
        <v>597.1</v>
      </c>
    </row>
    <row r="2329" spans="2:12" x14ac:dyDescent="0.3">
      <c r="B2329" s="25">
        <v>2338</v>
      </c>
      <c r="C2329" s="33">
        <v>4064</v>
      </c>
      <c r="D2329" s="33" t="s">
        <v>407</v>
      </c>
      <c r="E2329" s="35">
        <v>44824</v>
      </c>
      <c r="F2329" s="33">
        <v>3</v>
      </c>
      <c r="G2329" s="33" t="s">
        <v>231</v>
      </c>
      <c r="H2329" s="33" t="s">
        <v>71</v>
      </c>
      <c r="I2329" s="33" t="s">
        <v>198</v>
      </c>
      <c r="J2329" s="34">
        <v>485.41</v>
      </c>
      <c r="K2329" s="34">
        <v>80</v>
      </c>
      <c r="L2329" s="34">
        <v>405.41</v>
      </c>
    </row>
    <row r="2330" spans="2:12" x14ac:dyDescent="0.3">
      <c r="B2330" s="25">
        <v>2339</v>
      </c>
      <c r="C2330" s="33">
        <v>4071</v>
      </c>
      <c r="D2330" s="33" t="s">
        <v>1013</v>
      </c>
      <c r="E2330" s="35">
        <v>44824</v>
      </c>
      <c r="F2330" s="33">
        <v>3</v>
      </c>
      <c r="G2330" s="33" t="s">
        <v>231</v>
      </c>
      <c r="H2330" s="33" t="s">
        <v>71</v>
      </c>
      <c r="I2330" s="33" t="s">
        <v>198</v>
      </c>
      <c r="J2330" s="34">
        <v>217.48</v>
      </c>
      <c r="K2330" s="34">
        <v>80</v>
      </c>
      <c r="L2330" s="34">
        <v>137.47999999999999</v>
      </c>
    </row>
    <row r="2331" spans="2:12" x14ac:dyDescent="0.3">
      <c r="B2331" s="25">
        <v>2340</v>
      </c>
      <c r="C2331" s="33">
        <v>4072</v>
      </c>
      <c r="D2331" s="33" t="s">
        <v>770</v>
      </c>
      <c r="E2331" s="35">
        <v>44824</v>
      </c>
      <c r="F2331" s="33">
        <v>3</v>
      </c>
      <c r="G2331" s="33" t="s">
        <v>628</v>
      </c>
      <c r="H2331" s="33" t="s">
        <v>71</v>
      </c>
      <c r="I2331" s="33" t="s">
        <v>75</v>
      </c>
      <c r="J2331" s="34">
        <v>623.59</v>
      </c>
      <c r="K2331" s="34">
        <v>80</v>
      </c>
      <c r="L2331" s="34">
        <v>543.59</v>
      </c>
    </row>
    <row r="2332" spans="2:12" x14ac:dyDescent="0.3">
      <c r="B2332" s="25">
        <v>2341</v>
      </c>
      <c r="C2332" s="33">
        <v>4133</v>
      </c>
      <c r="D2332" s="33" t="s">
        <v>1274</v>
      </c>
      <c r="E2332" s="35">
        <v>44825</v>
      </c>
      <c r="F2332" s="33">
        <v>3</v>
      </c>
      <c r="G2332" s="33" t="s">
        <v>122</v>
      </c>
      <c r="H2332" s="33" t="s">
        <v>71</v>
      </c>
      <c r="I2332" s="33" t="s">
        <v>196</v>
      </c>
      <c r="J2332" s="34">
        <v>2113.61</v>
      </c>
      <c r="K2332" s="34"/>
      <c r="L2332" s="34">
        <v>2113.61</v>
      </c>
    </row>
    <row r="2333" spans="2:12" x14ac:dyDescent="0.3">
      <c r="B2333" s="25">
        <v>2342</v>
      </c>
      <c r="C2333" s="33">
        <v>4134</v>
      </c>
      <c r="D2333" s="33" t="s">
        <v>426</v>
      </c>
      <c r="E2333" s="35">
        <v>44825</v>
      </c>
      <c r="F2333" s="33">
        <v>3</v>
      </c>
      <c r="G2333" s="33" t="s">
        <v>628</v>
      </c>
      <c r="H2333" s="33" t="s">
        <v>71</v>
      </c>
      <c r="I2333" s="33" t="s">
        <v>75</v>
      </c>
      <c r="J2333" s="34">
        <v>2187.19</v>
      </c>
      <c r="K2333" s="34"/>
      <c r="L2333" s="34">
        <v>2187.19</v>
      </c>
    </row>
    <row r="2334" spans="2:12" x14ac:dyDescent="0.3">
      <c r="B2334" s="25">
        <v>2343</v>
      </c>
      <c r="C2334" s="33">
        <v>4177</v>
      </c>
      <c r="D2334" s="33" t="s">
        <v>362</v>
      </c>
      <c r="E2334" s="35">
        <v>44826</v>
      </c>
      <c r="F2334" s="33">
        <v>3</v>
      </c>
      <c r="G2334" s="33" t="s">
        <v>124</v>
      </c>
      <c r="H2334" s="33" t="s">
        <v>71</v>
      </c>
      <c r="I2334" s="33" t="s">
        <v>197</v>
      </c>
      <c r="J2334" s="34">
        <v>1698.2</v>
      </c>
      <c r="K2334" s="34"/>
      <c r="L2334" s="34">
        <v>1698.2</v>
      </c>
    </row>
    <row r="2335" spans="2:12" x14ac:dyDescent="0.3">
      <c r="B2335" s="25">
        <v>2344</v>
      </c>
      <c r="C2335" s="33" t="s">
        <v>1275</v>
      </c>
      <c r="D2335" s="33" t="s">
        <v>384</v>
      </c>
      <c r="E2335" s="35">
        <v>44831</v>
      </c>
      <c r="F2335" s="33">
        <v>3</v>
      </c>
      <c r="G2335" s="33" t="s">
        <v>124</v>
      </c>
      <c r="H2335" s="33" t="s">
        <v>71</v>
      </c>
      <c r="I2335" s="33" t="s">
        <v>197</v>
      </c>
      <c r="J2335" s="34">
        <v>1672.4</v>
      </c>
      <c r="K2335" s="34"/>
      <c r="L2335" s="34">
        <v>1672.4</v>
      </c>
    </row>
    <row r="2336" spans="2:12" x14ac:dyDescent="0.3">
      <c r="B2336" s="25">
        <v>2345</v>
      </c>
      <c r="C2336" s="33">
        <v>4237</v>
      </c>
      <c r="D2336" s="33" t="s">
        <v>384</v>
      </c>
      <c r="E2336" s="35">
        <v>44831</v>
      </c>
      <c r="F2336" s="33">
        <v>3</v>
      </c>
      <c r="G2336" s="33" t="s">
        <v>124</v>
      </c>
      <c r="H2336" s="33" t="s">
        <v>71</v>
      </c>
      <c r="I2336" s="33" t="s">
        <v>197</v>
      </c>
      <c r="J2336" s="34">
        <v>884.8</v>
      </c>
      <c r="K2336" s="34">
        <v>80</v>
      </c>
      <c r="L2336" s="34">
        <v>804.8</v>
      </c>
    </row>
    <row r="2337" spans="2:12" x14ac:dyDescent="0.3">
      <c r="B2337" s="25">
        <v>2346</v>
      </c>
      <c r="C2337" s="33">
        <v>4238</v>
      </c>
      <c r="D2337" s="33" t="s">
        <v>1276</v>
      </c>
      <c r="E2337" s="35">
        <v>44831</v>
      </c>
      <c r="F2337" s="33">
        <v>3</v>
      </c>
      <c r="G2337" s="33" t="s">
        <v>628</v>
      </c>
      <c r="H2337" s="33" t="s">
        <v>71</v>
      </c>
      <c r="I2337" s="33" t="s">
        <v>75</v>
      </c>
      <c r="J2337" s="34">
        <v>309.32</v>
      </c>
      <c r="K2337" s="34">
        <v>80</v>
      </c>
      <c r="L2337" s="34">
        <v>229.32</v>
      </c>
    </row>
    <row r="2338" spans="2:12" x14ac:dyDescent="0.3">
      <c r="B2338" s="25">
        <v>2347</v>
      </c>
      <c r="C2338" s="33">
        <v>4244</v>
      </c>
      <c r="D2338" s="33" t="s">
        <v>392</v>
      </c>
      <c r="E2338" s="35">
        <v>44832</v>
      </c>
      <c r="F2338" s="33">
        <v>3</v>
      </c>
      <c r="G2338" s="33" t="s">
        <v>122</v>
      </c>
      <c r="H2338" s="33" t="s">
        <v>71</v>
      </c>
      <c r="I2338" s="33" t="s">
        <v>196</v>
      </c>
      <c r="J2338" s="34">
        <v>2972.97</v>
      </c>
      <c r="K2338" s="34"/>
      <c r="L2338" s="34">
        <v>2972.97</v>
      </c>
    </row>
    <row r="2339" spans="2:12" x14ac:dyDescent="0.3">
      <c r="B2339" s="25">
        <v>2348</v>
      </c>
      <c r="C2339" s="33">
        <v>4245</v>
      </c>
      <c r="D2339" s="33" t="s">
        <v>376</v>
      </c>
      <c r="E2339" s="35">
        <v>44832</v>
      </c>
      <c r="F2339" s="33">
        <v>3</v>
      </c>
      <c r="G2339" s="33" t="s">
        <v>124</v>
      </c>
      <c r="H2339" s="33" t="s">
        <v>71</v>
      </c>
      <c r="I2339" s="33" t="s">
        <v>197</v>
      </c>
      <c r="J2339" s="34">
        <v>1766.27</v>
      </c>
      <c r="K2339" s="34"/>
      <c r="L2339" s="34">
        <v>1766.27</v>
      </c>
    </row>
    <row r="2340" spans="2:12" x14ac:dyDescent="0.3">
      <c r="B2340" s="25">
        <v>2349</v>
      </c>
      <c r="C2340" s="33">
        <v>4251</v>
      </c>
      <c r="D2340" s="33" t="s">
        <v>384</v>
      </c>
      <c r="E2340" s="35">
        <v>44832</v>
      </c>
      <c r="F2340" s="33">
        <v>3</v>
      </c>
      <c r="G2340" s="33" t="s">
        <v>124</v>
      </c>
      <c r="H2340" s="33" t="s">
        <v>71</v>
      </c>
      <c r="I2340" s="33" t="s">
        <v>197</v>
      </c>
      <c r="J2340" s="34">
        <v>434.9</v>
      </c>
      <c r="K2340" s="34">
        <v>80</v>
      </c>
      <c r="L2340" s="34">
        <v>354.9</v>
      </c>
    </row>
    <row r="2341" spans="2:12" x14ac:dyDescent="0.3">
      <c r="B2341" s="25">
        <v>2350</v>
      </c>
      <c r="C2341" s="33">
        <v>4255</v>
      </c>
      <c r="D2341" s="33" t="s">
        <v>412</v>
      </c>
      <c r="E2341" s="35">
        <v>44833</v>
      </c>
      <c r="F2341" s="33">
        <v>3</v>
      </c>
      <c r="G2341" s="33" t="s">
        <v>231</v>
      </c>
      <c r="H2341" s="33" t="s">
        <v>71</v>
      </c>
      <c r="I2341" s="33" t="s">
        <v>198</v>
      </c>
      <c r="J2341" s="34">
        <v>1216.72</v>
      </c>
      <c r="K2341" s="34"/>
      <c r="L2341" s="34">
        <v>1216.72</v>
      </c>
    </row>
    <row r="2342" spans="2:12" x14ac:dyDescent="0.3">
      <c r="B2342" s="25">
        <v>2351</v>
      </c>
      <c r="C2342" s="33" t="s">
        <v>1277</v>
      </c>
      <c r="D2342" s="33" t="s">
        <v>1278</v>
      </c>
      <c r="E2342" s="35">
        <v>44831</v>
      </c>
      <c r="F2342" s="33">
        <v>3</v>
      </c>
      <c r="G2342" s="33" t="s">
        <v>231</v>
      </c>
      <c r="H2342" s="33" t="s">
        <v>71</v>
      </c>
      <c r="I2342" s="33" t="s">
        <v>198</v>
      </c>
      <c r="J2342" s="34">
        <v>3723.42</v>
      </c>
      <c r="K2342" s="34">
        <v>300</v>
      </c>
      <c r="L2342" s="34">
        <v>3423.42</v>
      </c>
    </row>
    <row r="2343" spans="2:12" x14ac:dyDescent="0.3">
      <c r="B2343" s="25">
        <v>2352</v>
      </c>
      <c r="C2343" s="33" t="s">
        <v>1279</v>
      </c>
      <c r="D2343" s="33" t="s">
        <v>1280</v>
      </c>
      <c r="E2343" s="35">
        <v>44834</v>
      </c>
      <c r="F2343" s="33">
        <v>3</v>
      </c>
      <c r="G2343" s="33" t="s">
        <v>231</v>
      </c>
      <c r="H2343" s="33" t="s">
        <v>71</v>
      </c>
      <c r="I2343" s="33" t="s">
        <v>198</v>
      </c>
      <c r="J2343" s="34">
        <v>2034.52</v>
      </c>
      <c r="K2343" s="34">
        <v>205</v>
      </c>
      <c r="L2343" s="34">
        <v>1829.52</v>
      </c>
    </row>
    <row r="2344" spans="2:12" x14ac:dyDescent="0.3">
      <c r="B2344" s="25">
        <v>2353</v>
      </c>
      <c r="C2344" s="33">
        <v>5995</v>
      </c>
      <c r="D2344" s="33" t="s">
        <v>928</v>
      </c>
      <c r="E2344" s="35">
        <v>44833</v>
      </c>
      <c r="F2344" s="33">
        <v>3</v>
      </c>
      <c r="G2344" s="33" t="s">
        <v>122</v>
      </c>
      <c r="H2344" s="33" t="s">
        <v>201</v>
      </c>
      <c r="I2344" s="33" t="s">
        <v>196</v>
      </c>
      <c r="J2344" s="34">
        <v>1909.2</v>
      </c>
      <c r="K2344" s="34"/>
      <c r="L2344" s="34">
        <v>1909.2</v>
      </c>
    </row>
    <row r="2345" spans="2:12" x14ac:dyDescent="0.3">
      <c r="B2345" s="25">
        <v>2354</v>
      </c>
      <c r="C2345" s="33">
        <v>6001</v>
      </c>
      <c r="D2345" s="33" t="s">
        <v>655</v>
      </c>
      <c r="E2345" s="35">
        <v>44833</v>
      </c>
      <c r="F2345" s="33">
        <v>3</v>
      </c>
      <c r="G2345" s="33" t="s">
        <v>122</v>
      </c>
      <c r="H2345" s="33" t="s">
        <v>201</v>
      </c>
      <c r="I2345" s="33" t="s">
        <v>196</v>
      </c>
      <c r="J2345" s="34">
        <v>2553.6</v>
      </c>
      <c r="K2345" s="34"/>
      <c r="L2345" s="34">
        <v>2553.6</v>
      </c>
    </row>
    <row r="2346" spans="2:12" x14ac:dyDescent="0.3">
      <c r="B2346" s="25">
        <v>2355</v>
      </c>
      <c r="C2346" s="33">
        <v>6004</v>
      </c>
      <c r="D2346" s="33" t="s">
        <v>1281</v>
      </c>
      <c r="E2346" s="35">
        <v>44833</v>
      </c>
      <c r="F2346" s="33">
        <v>3</v>
      </c>
      <c r="G2346" s="33" t="s">
        <v>124</v>
      </c>
      <c r="H2346" s="33" t="s">
        <v>201</v>
      </c>
      <c r="I2346" s="33" t="s">
        <v>197</v>
      </c>
      <c r="J2346" s="34">
        <v>2347.4</v>
      </c>
      <c r="K2346" s="34"/>
      <c r="L2346" s="34">
        <v>2347.4</v>
      </c>
    </row>
    <row r="2347" spans="2:12" x14ac:dyDescent="0.3">
      <c r="B2347" s="25">
        <v>2356</v>
      </c>
      <c r="C2347" s="33">
        <v>34421</v>
      </c>
      <c r="D2347" s="33" t="s">
        <v>1282</v>
      </c>
      <c r="E2347" s="35">
        <v>44840</v>
      </c>
      <c r="F2347" s="33">
        <v>4</v>
      </c>
      <c r="G2347" s="33" t="s">
        <v>628</v>
      </c>
      <c r="H2347" s="33" t="s">
        <v>72</v>
      </c>
      <c r="I2347" s="33" t="s">
        <v>75</v>
      </c>
      <c r="J2347" s="34">
        <v>4440</v>
      </c>
      <c r="K2347" s="34"/>
      <c r="L2347" s="34">
        <v>4440</v>
      </c>
    </row>
    <row r="2348" spans="2:12" x14ac:dyDescent="0.3">
      <c r="B2348" s="25">
        <v>2357</v>
      </c>
      <c r="C2348" s="33">
        <v>34425</v>
      </c>
      <c r="D2348" s="33" t="s">
        <v>532</v>
      </c>
      <c r="E2348" s="35">
        <v>44840</v>
      </c>
      <c r="F2348" s="33">
        <v>4</v>
      </c>
      <c r="G2348" s="33" t="s">
        <v>122</v>
      </c>
      <c r="H2348" s="33" t="s">
        <v>72</v>
      </c>
      <c r="I2348" s="33" t="s">
        <v>196</v>
      </c>
      <c r="J2348" s="34">
        <v>6046.8</v>
      </c>
      <c r="K2348" s="34"/>
      <c r="L2348" s="34">
        <v>6046.8</v>
      </c>
    </row>
    <row r="2349" spans="2:12" x14ac:dyDescent="0.3">
      <c r="B2349" s="25">
        <v>2358</v>
      </c>
      <c r="C2349" s="33">
        <v>4351</v>
      </c>
      <c r="D2349" s="33" t="s">
        <v>1283</v>
      </c>
      <c r="E2349" s="35">
        <v>44840</v>
      </c>
      <c r="F2349" s="33">
        <v>4</v>
      </c>
      <c r="G2349" s="33" t="s">
        <v>122</v>
      </c>
      <c r="H2349" s="33" t="s">
        <v>71</v>
      </c>
      <c r="I2349" s="33" t="s">
        <v>196</v>
      </c>
      <c r="J2349" s="34">
        <v>1103.52</v>
      </c>
      <c r="K2349" s="34"/>
      <c r="L2349" s="34">
        <v>1103.52</v>
      </c>
    </row>
    <row r="2350" spans="2:12" x14ac:dyDescent="0.3">
      <c r="B2350" s="25">
        <v>2359</v>
      </c>
      <c r="C2350" s="33">
        <v>52719</v>
      </c>
      <c r="D2350" s="33" t="s">
        <v>438</v>
      </c>
      <c r="E2350" s="35">
        <v>44812</v>
      </c>
      <c r="F2350" s="33">
        <v>3</v>
      </c>
      <c r="G2350" s="33" t="s">
        <v>122</v>
      </c>
      <c r="H2350" s="33" t="s">
        <v>73</v>
      </c>
      <c r="I2350" s="33" t="s">
        <v>196</v>
      </c>
      <c r="J2350" s="34">
        <v>722.5</v>
      </c>
      <c r="K2350" s="34"/>
      <c r="L2350" s="34">
        <v>722.5</v>
      </c>
    </row>
    <row r="2351" spans="2:12" x14ac:dyDescent="0.3">
      <c r="B2351" s="25">
        <v>2360</v>
      </c>
      <c r="C2351" s="33">
        <v>52720</v>
      </c>
      <c r="D2351" s="33" t="s">
        <v>401</v>
      </c>
      <c r="E2351" s="35">
        <v>44812</v>
      </c>
      <c r="F2351" s="33">
        <v>3</v>
      </c>
      <c r="G2351" s="33" t="s">
        <v>231</v>
      </c>
      <c r="H2351" s="33">
        <v>53</v>
      </c>
      <c r="I2351" s="33" t="s">
        <v>198</v>
      </c>
      <c r="J2351" s="34">
        <v>307.8</v>
      </c>
      <c r="K2351" s="34"/>
      <c r="L2351" s="34">
        <v>307.8</v>
      </c>
    </row>
    <row r="2352" spans="2:12" x14ac:dyDescent="0.3">
      <c r="B2352" s="25">
        <v>2361</v>
      </c>
      <c r="C2352" s="33" t="s">
        <v>1284</v>
      </c>
      <c r="D2352" s="33" t="s">
        <v>414</v>
      </c>
      <c r="E2352" s="35">
        <v>44812</v>
      </c>
      <c r="F2352" s="33">
        <v>3</v>
      </c>
      <c r="G2352" s="33" t="s">
        <v>122</v>
      </c>
      <c r="H2352" s="33">
        <v>53</v>
      </c>
      <c r="I2352" s="33" t="s">
        <v>196</v>
      </c>
      <c r="J2352" s="34">
        <v>3214.99</v>
      </c>
      <c r="K2352" s="34"/>
      <c r="L2352" s="34">
        <v>3214.99</v>
      </c>
    </row>
    <row r="2353" spans="2:12" x14ac:dyDescent="0.3">
      <c r="B2353" s="25">
        <v>2362</v>
      </c>
      <c r="C2353" s="33">
        <v>52826</v>
      </c>
      <c r="D2353" s="33" t="s">
        <v>400</v>
      </c>
      <c r="E2353" s="35">
        <v>44819</v>
      </c>
      <c r="F2353" s="33">
        <v>3</v>
      </c>
      <c r="G2353" s="33" t="s">
        <v>231</v>
      </c>
      <c r="H2353" s="33" t="s">
        <v>73</v>
      </c>
      <c r="I2353" s="33" t="s">
        <v>198</v>
      </c>
      <c r="J2353" s="34">
        <v>805.58</v>
      </c>
      <c r="K2353" s="34"/>
      <c r="L2353" s="34">
        <v>805.58</v>
      </c>
    </row>
    <row r="2354" spans="2:12" x14ac:dyDescent="0.3">
      <c r="B2354" s="25">
        <v>2363</v>
      </c>
      <c r="C2354" s="33" t="s">
        <v>1285</v>
      </c>
      <c r="D2354" s="33" t="s">
        <v>400</v>
      </c>
      <c r="E2354" s="35">
        <v>44819</v>
      </c>
      <c r="F2354" s="33">
        <v>3</v>
      </c>
      <c r="G2354" s="33" t="s">
        <v>231</v>
      </c>
      <c r="H2354" s="33">
        <v>53</v>
      </c>
      <c r="I2354" s="33" t="s">
        <v>198</v>
      </c>
      <c r="J2354" s="34">
        <v>1203.75</v>
      </c>
      <c r="K2354" s="34"/>
      <c r="L2354" s="34">
        <v>1203.75</v>
      </c>
    </row>
    <row r="2355" spans="2:12" x14ac:dyDescent="0.3">
      <c r="B2355" s="25">
        <v>2364</v>
      </c>
      <c r="C2355" s="33">
        <v>52828</v>
      </c>
      <c r="D2355" s="33" t="s">
        <v>400</v>
      </c>
      <c r="E2355" s="35">
        <v>44819</v>
      </c>
      <c r="F2355" s="33">
        <v>3</v>
      </c>
      <c r="G2355" s="33" t="s">
        <v>231</v>
      </c>
      <c r="H2355" s="33">
        <v>53</v>
      </c>
      <c r="I2355" s="33" t="s">
        <v>198</v>
      </c>
      <c r="J2355" s="34">
        <v>602.83000000000004</v>
      </c>
      <c r="K2355" s="34"/>
      <c r="L2355" s="34">
        <v>602.83000000000004</v>
      </c>
    </row>
    <row r="2356" spans="2:12" x14ac:dyDescent="0.3">
      <c r="B2356" s="25">
        <v>2365</v>
      </c>
      <c r="C2356" s="33">
        <v>52831</v>
      </c>
      <c r="D2356" s="33" t="s">
        <v>596</v>
      </c>
      <c r="E2356" s="35">
        <v>44819</v>
      </c>
      <c r="F2356" s="33">
        <v>3</v>
      </c>
      <c r="G2356" s="33" t="s">
        <v>122</v>
      </c>
      <c r="H2356" s="33" t="s">
        <v>73</v>
      </c>
      <c r="I2356" s="33" t="s">
        <v>196</v>
      </c>
      <c r="J2356" s="34">
        <v>1130</v>
      </c>
      <c r="K2356" s="34"/>
      <c r="L2356" s="34">
        <v>1130</v>
      </c>
    </row>
    <row r="2357" spans="2:12" x14ac:dyDescent="0.3">
      <c r="B2357" s="25">
        <v>2366</v>
      </c>
      <c r="C2357" s="33" t="s">
        <v>1286</v>
      </c>
      <c r="D2357" s="33" t="s">
        <v>411</v>
      </c>
      <c r="E2357" s="35">
        <v>44819</v>
      </c>
      <c r="F2357" s="33">
        <v>3</v>
      </c>
      <c r="G2357" s="33" t="s">
        <v>122</v>
      </c>
      <c r="H2357" s="33" t="s">
        <v>73</v>
      </c>
      <c r="I2357" s="33" t="s">
        <v>196</v>
      </c>
      <c r="J2357" s="34">
        <v>167</v>
      </c>
      <c r="K2357" s="34"/>
      <c r="L2357" s="34">
        <v>167</v>
      </c>
    </row>
    <row r="2358" spans="2:12" x14ac:dyDescent="0.3">
      <c r="B2358" s="25">
        <v>2367</v>
      </c>
      <c r="C2358" s="33">
        <v>52935</v>
      </c>
      <c r="D2358" s="33" t="s">
        <v>400</v>
      </c>
      <c r="E2358" s="35">
        <v>44826</v>
      </c>
      <c r="F2358" s="33">
        <v>3</v>
      </c>
      <c r="G2358" s="33" t="s">
        <v>231</v>
      </c>
      <c r="H2358" s="33">
        <v>53</v>
      </c>
      <c r="I2358" s="33" t="s">
        <v>198</v>
      </c>
      <c r="J2358" s="34">
        <v>788.58</v>
      </c>
      <c r="K2358" s="34"/>
      <c r="L2358" s="34">
        <v>788.58</v>
      </c>
    </row>
    <row r="2359" spans="2:12" x14ac:dyDescent="0.3">
      <c r="B2359" s="25">
        <v>2368</v>
      </c>
      <c r="C2359" s="33">
        <v>52944</v>
      </c>
      <c r="D2359" s="33" t="s">
        <v>1043</v>
      </c>
      <c r="E2359" s="35">
        <v>44826</v>
      </c>
      <c r="F2359" s="33">
        <v>3</v>
      </c>
      <c r="G2359" s="33" t="s">
        <v>122</v>
      </c>
      <c r="H2359" s="33" t="s">
        <v>73</v>
      </c>
      <c r="I2359" s="33" t="s">
        <v>196</v>
      </c>
      <c r="J2359" s="34">
        <v>4124</v>
      </c>
      <c r="K2359" s="34"/>
      <c r="L2359" s="34">
        <v>4124</v>
      </c>
    </row>
    <row r="2360" spans="2:12" x14ac:dyDescent="0.3">
      <c r="B2360" s="25">
        <v>2369</v>
      </c>
      <c r="C2360" s="33" t="s">
        <v>1287</v>
      </c>
      <c r="D2360" s="33" t="s">
        <v>413</v>
      </c>
      <c r="E2360" s="35">
        <v>44806</v>
      </c>
      <c r="F2360" s="33">
        <v>3</v>
      </c>
      <c r="G2360" s="33" t="s">
        <v>122</v>
      </c>
      <c r="H2360" s="33" t="s">
        <v>73</v>
      </c>
      <c r="I2360" s="33" t="s">
        <v>196</v>
      </c>
      <c r="J2360" s="34">
        <v>216.5</v>
      </c>
      <c r="K2360" s="34"/>
      <c r="L2360" s="34">
        <v>216.5</v>
      </c>
    </row>
    <row r="2361" spans="2:12" x14ac:dyDescent="0.3">
      <c r="B2361" s="25">
        <v>2370</v>
      </c>
      <c r="C2361" s="33">
        <v>53036</v>
      </c>
      <c r="D2361" s="33" t="s">
        <v>400</v>
      </c>
      <c r="E2361" s="35">
        <v>44832</v>
      </c>
      <c r="F2361" s="33">
        <v>3</v>
      </c>
      <c r="G2361" s="33" t="s">
        <v>231</v>
      </c>
      <c r="H2361" s="33">
        <v>53</v>
      </c>
      <c r="I2361" s="33" t="s">
        <v>198</v>
      </c>
      <c r="J2361" s="34">
        <v>1668.38</v>
      </c>
      <c r="K2361" s="34"/>
      <c r="L2361" s="34">
        <v>1668.38</v>
      </c>
    </row>
    <row r="2362" spans="2:12" x14ac:dyDescent="0.3">
      <c r="B2362" s="25">
        <v>2371</v>
      </c>
      <c r="C2362" s="33">
        <v>53037</v>
      </c>
      <c r="D2362" s="33" t="s">
        <v>400</v>
      </c>
      <c r="E2362" s="35">
        <v>44832</v>
      </c>
      <c r="F2362" s="33">
        <v>3</v>
      </c>
      <c r="G2362" s="33" t="s">
        <v>231</v>
      </c>
      <c r="H2362" s="33">
        <v>53</v>
      </c>
      <c r="I2362" s="33" t="s">
        <v>198</v>
      </c>
      <c r="J2362" s="34">
        <v>504.85</v>
      </c>
      <c r="K2362" s="34"/>
      <c r="L2362" s="34">
        <v>504.85</v>
      </c>
    </row>
    <row r="2363" spans="2:12" x14ac:dyDescent="0.3">
      <c r="B2363" s="25">
        <v>2372</v>
      </c>
      <c r="C2363" s="33">
        <v>53038</v>
      </c>
      <c r="D2363" s="33" t="s">
        <v>400</v>
      </c>
      <c r="E2363" s="35">
        <v>44832</v>
      </c>
      <c r="F2363" s="33">
        <v>3</v>
      </c>
      <c r="G2363" s="33" t="s">
        <v>231</v>
      </c>
      <c r="H2363" s="33">
        <v>53</v>
      </c>
      <c r="I2363" s="33" t="s">
        <v>198</v>
      </c>
      <c r="J2363" s="34">
        <v>582.46</v>
      </c>
      <c r="K2363" s="34"/>
      <c r="L2363" s="34">
        <v>582.46</v>
      </c>
    </row>
    <row r="2364" spans="2:12" x14ac:dyDescent="0.3">
      <c r="B2364" s="25">
        <v>2373</v>
      </c>
      <c r="C2364" s="33">
        <v>53039</v>
      </c>
      <c r="D2364" s="33" t="s">
        <v>400</v>
      </c>
      <c r="E2364" s="35">
        <v>44832</v>
      </c>
      <c r="F2364" s="33">
        <v>3</v>
      </c>
      <c r="G2364" s="33" t="s">
        <v>231</v>
      </c>
      <c r="H2364" s="33">
        <v>53</v>
      </c>
      <c r="I2364" s="33" t="s">
        <v>198</v>
      </c>
      <c r="J2364" s="34">
        <v>19.399999999999999</v>
      </c>
      <c r="K2364" s="34"/>
      <c r="L2364" s="34">
        <v>19.399999999999999</v>
      </c>
    </row>
    <row r="2365" spans="2:12" x14ac:dyDescent="0.3">
      <c r="B2365" s="25">
        <v>2374</v>
      </c>
      <c r="C2365" s="33">
        <v>53040</v>
      </c>
      <c r="D2365" s="33" t="s">
        <v>400</v>
      </c>
      <c r="E2365" s="35">
        <v>44832</v>
      </c>
      <c r="F2365" s="33">
        <v>3</v>
      </c>
      <c r="G2365" s="33" t="s">
        <v>231</v>
      </c>
      <c r="H2365" s="33">
        <v>53</v>
      </c>
      <c r="I2365" s="33" t="s">
        <v>198</v>
      </c>
      <c r="J2365" s="34">
        <v>1150.3699999999999</v>
      </c>
      <c r="K2365" s="34"/>
      <c r="L2365" s="34">
        <v>1150.3699999999999</v>
      </c>
    </row>
    <row r="2366" spans="2:12" x14ac:dyDescent="0.3">
      <c r="B2366" s="25">
        <v>2375</v>
      </c>
      <c r="C2366" s="33">
        <v>53041</v>
      </c>
      <c r="D2366" s="33" t="s">
        <v>400</v>
      </c>
      <c r="E2366" s="35">
        <v>44832</v>
      </c>
      <c r="F2366" s="33">
        <v>3</v>
      </c>
      <c r="G2366" s="33" t="s">
        <v>231</v>
      </c>
      <c r="H2366" s="33">
        <v>53</v>
      </c>
      <c r="I2366" s="33" t="s">
        <v>198</v>
      </c>
      <c r="J2366" s="34">
        <v>957.85</v>
      </c>
      <c r="K2366" s="34"/>
      <c r="L2366" s="34">
        <v>957.85</v>
      </c>
    </row>
    <row r="2367" spans="2:12" x14ac:dyDescent="0.3">
      <c r="B2367" s="25">
        <v>2376</v>
      </c>
      <c r="C2367" s="33">
        <v>53048</v>
      </c>
      <c r="D2367" s="33" t="s">
        <v>394</v>
      </c>
      <c r="E2367" s="35">
        <v>44833</v>
      </c>
      <c r="F2367" s="33">
        <v>3</v>
      </c>
      <c r="G2367" s="33" t="s">
        <v>122</v>
      </c>
      <c r="H2367" s="33" t="s">
        <v>73</v>
      </c>
      <c r="I2367" s="33" t="s">
        <v>196</v>
      </c>
      <c r="J2367" s="34">
        <v>1407</v>
      </c>
      <c r="K2367" s="34"/>
      <c r="L2367" s="34">
        <v>1407</v>
      </c>
    </row>
    <row r="2368" spans="2:12" x14ac:dyDescent="0.3">
      <c r="B2368" s="25">
        <v>2377</v>
      </c>
      <c r="C2368" s="33">
        <v>53050</v>
      </c>
      <c r="D2368" s="33" t="s">
        <v>411</v>
      </c>
      <c r="E2368" s="35">
        <v>44833</v>
      </c>
      <c r="F2368" s="33">
        <v>3</v>
      </c>
      <c r="G2368" s="33" t="s">
        <v>122</v>
      </c>
      <c r="H2368" s="33" t="s">
        <v>73</v>
      </c>
      <c r="I2368" s="33" t="s">
        <v>196</v>
      </c>
      <c r="J2368" s="34">
        <v>2390.5</v>
      </c>
      <c r="K2368" s="34"/>
      <c r="L2368" s="34">
        <v>2390.5</v>
      </c>
    </row>
    <row r="2369" spans="2:12" x14ac:dyDescent="0.3">
      <c r="B2369" s="25">
        <v>2378</v>
      </c>
      <c r="C2369" s="33">
        <v>53053</v>
      </c>
      <c r="D2369" s="33" t="s">
        <v>473</v>
      </c>
      <c r="E2369" s="35">
        <v>44833</v>
      </c>
      <c r="F2369" s="33">
        <v>3</v>
      </c>
      <c r="G2369" s="33" t="s">
        <v>122</v>
      </c>
      <c r="H2369" s="33" t="s">
        <v>73</v>
      </c>
      <c r="I2369" s="33" t="s">
        <v>196</v>
      </c>
      <c r="J2369" s="34">
        <v>1370.59</v>
      </c>
      <c r="K2369" s="34"/>
      <c r="L2369" s="34">
        <v>1370.59</v>
      </c>
    </row>
    <row r="2370" spans="2:12" x14ac:dyDescent="0.3">
      <c r="B2370" s="25">
        <v>2379</v>
      </c>
      <c r="C2370" s="33" t="s">
        <v>1288</v>
      </c>
      <c r="D2370" s="33" t="s">
        <v>442</v>
      </c>
      <c r="E2370" s="35">
        <v>44834</v>
      </c>
      <c r="F2370" s="33">
        <v>3</v>
      </c>
      <c r="G2370" s="33" t="s">
        <v>122</v>
      </c>
      <c r="H2370" s="33" t="s">
        <v>73</v>
      </c>
      <c r="I2370" s="33" t="s">
        <v>196</v>
      </c>
      <c r="J2370" s="34">
        <v>782.5</v>
      </c>
      <c r="K2370" s="34"/>
      <c r="L2370" s="34">
        <v>782.5</v>
      </c>
    </row>
    <row r="2371" spans="2:12" x14ac:dyDescent="0.3">
      <c r="B2371" s="25">
        <v>2380</v>
      </c>
      <c r="C2371" s="33" t="s">
        <v>1289</v>
      </c>
      <c r="D2371" s="33" t="s">
        <v>442</v>
      </c>
      <c r="E2371" s="35">
        <v>44848</v>
      </c>
      <c r="F2371" s="33">
        <v>4</v>
      </c>
      <c r="G2371" s="33" t="s">
        <v>122</v>
      </c>
      <c r="H2371" s="33" t="s">
        <v>73</v>
      </c>
      <c r="I2371" s="33" t="s">
        <v>196</v>
      </c>
      <c r="J2371" s="34">
        <v>49.35</v>
      </c>
      <c r="K2371" s="34"/>
      <c r="L2371" s="34">
        <v>49.35</v>
      </c>
    </row>
    <row r="2372" spans="2:12" x14ac:dyDescent="0.3">
      <c r="B2372" s="25">
        <v>2381</v>
      </c>
      <c r="C2372" s="33">
        <v>34441</v>
      </c>
      <c r="D2372" s="33" t="s">
        <v>1290</v>
      </c>
      <c r="E2372" s="35">
        <v>44845</v>
      </c>
      <c r="F2372" s="33">
        <v>4</v>
      </c>
      <c r="G2372" s="33" t="s">
        <v>122</v>
      </c>
      <c r="H2372" s="33" t="s">
        <v>72</v>
      </c>
      <c r="I2372" s="33" t="s">
        <v>196</v>
      </c>
      <c r="J2372" s="34">
        <v>1583.5</v>
      </c>
      <c r="K2372" s="34">
        <v>110</v>
      </c>
      <c r="L2372" s="34">
        <v>1473.5</v>
      </c>
    </row>
    <row r="2373" spans="2:12" x14ac:dyDescent="0.3">
      <c r="B2373" s="25">
        <v>2382</v>
      </c>
      <c r="C2373" s="33">
        <v>21802</v>
      </c>
      <c r="D2373" s="33" t="s">
        <v>536</v>
      </c>
      <c r="E2373" s="35">
        <v>44834</v>
      </c>
      <c r="F2373" s="33">
        <v>3</v>
      </c>
      <c r="G2373" s="33" t="s">
        <v>122</v>
      </c>
      <c r="H2373" s="33">
        <v>53</v>
      </c>
      <c r="I2373" s="33" t="s">
        <v>196</v>
      </c>
      <c r="J2373" s="34">
        <v>2174.52</v>
      </c>
      <c r="K2373" s="34"/>
      <c r="L2373" s="34">
        <v>2174.52</v>
      </c>
    </row>
    <row r="2374" spans="2:12" x14ac:dyDescent="0.3">
      <c r="B2374" s="25">
        <v>2383</v>
      </c>
      <c r="C2374" s="33" t="s">
        <v>1176</v>
      </c>
      <c r="D2374" s="33" t="s">
        <v>536</v>
      </c>
      <c r="E2374" s="35">
        <v>44833</v>
      </c>
      <c r="F2374" s="33">
        <v>3</v>
      </c>
      <c r="G2374" s="33" t="s">
        <v>231</v>
      </c>
      <c r="H2374" s="33">
        <v>53</v>
      </c>
      <c r="I2374" s="33" t="s">
        <v>198</v>
      </c>
      <c r="J2374" s="34">
        <v>2617.1999999999998</v>
      </c>
      <c r="K2374" s="34"/>
      <c r="L2374" s="34">
        <v>2617.1999999999998</v>
      </c>
    </row>
    <row r="2375" spans="2:12" x14ac:dyDescent="0.3">
      <c r="B2375" s="25">
        <v>2384</v>
      </c>
      <c r="C2375" s="33">
        <v>702956</v>
      </c>
      <c r="D2375" s="33" t="s">
        <v>941</v>
      </c>
      <c r="E2375" s="35">
        <v>44734</v>
      </c>
      <c r="F2375" s="33">
        <v>2</v>
      </c>
      <c r="G2375" s="33" t="s">
        <v>122</v>
      </c>
      <c r="H2375" s="33" t="s">
        <v>200</v>
      </c>
      <c r="I2375" s="33" t="s">
        <v>196</v>
      </c>
      <c r="J2375" s="34">
        <v>4084.7</v>
      </c>
      <c r="K2375" s="34"/>
      <c r="L2375" s="34">
        <v>4084.7</v>
      </c>
    </row>
    <row r="2376" spans="2:12" x14ac:dyDescent="0.3">
      <c r="B2376" s="25">
        <v>2385</v>
      </c>
      <c r="C2376" s="33">
        <v>702965</v>
      </c>
      <c r="D2376" s="33" t="s">
        <v>1065</v>
      </c>
      <c r="E2376" s="35">
        <v>44739</v>
      </c>
      <c r="F2376" s="33">
        <v>2</v>
      </c>
      <c r="G2376" s="33" t="s">
        <v>122</v>
      </c>
      <c r="H2376" s="33" t="s">
        <v>200</v>
      </c>
      <c r="I2376" s="33" t="s">
        <v>196</v>
      </c>
      <c r="J2376" s="34">
        <v>807.98</v>
      </c>
      <c r="K2376" s="34">
        <v>50</v>
      </c>
      <c r="L2376" s="34">
        <v>757.98</v>
      </c>
    </row>
    <row r="2377" spans="2:12" x14ac:dyDescent="0.3">
      <c r="B2377" s="25">
        <v>2386</v>
      </c>
      <c r="C2377" s="33">
        <v>702964</v>
      </c>
      <c r="D2377" s="33" t="s">
        <v>939</v>
      </c>
      <c r="E2377" s="35">
        <v>44734</v>
      </c>
      <c r="F2377" s="33">
        <v>2</v>
      </c>
      <c r="G2377" s="33" t="s">
        <v>124</v>
      </c>
      <c r="H2377" s="33" t="s">
        <v>200</v>
      </c>
      <c r="I2377" s="33" t="s">
        <v>197</v>
      </c>
      <c r="J2377" s="34">
        <v>2676.39</v>
      </c>
      <c r="K2377" s="34"/>
      <c r="L2377" s="34">
        <v>2676.39</v>
      </c>
    </row>
    <row r="2378" spans="2:12" x14ac:dyDescent="0.3">
      <c r="B2378" s="25">
        <v>2387</v>
      </c>
      <c r="C2378" s="33" t="s">
        <v>1291</v>
      </c>
      <c r="D2378" s="33" t="s">
        <v>941</v>
      </c>
      <c r="E2378" s="35">
        <v>44832</v>
      </c>
      <c r="F2378" s="33">
        <v>3</v>
      </c>
      <c r="G2378" s="33" t="s">
        <v>122</v>
      </c>
      <c r="H2378" s="33" t="s">
        <v>200</v>
      </c>
      <c r="I2378" s="33" t="s">
        <v>196</v>
      </c>
      <c r="J2378" s="34">
        <v>-3481.14</v>
      </c>
      <c r="K2378" s="34"/>
      <c r="L2378" s="34">
        <v>-3481.14</v>
      </c>
    </row>
    <row r="2379" spans="2:12" x14ac:dyDescent="0.3">
      <c r="B2379" s="25">
        <v>2388</v>
      </c>
      <c r="C2379" s="33">
        <v>382172</v>
      </c>
      <c r="D2379" s="33" t="s">
        <v>1292</v>
      </c>
      <c r="E2379" s="35">
        <v>44748</v>
      </c>
      <c r="F2379" s="33">
        <v>3</v>
      </c>
      <c r="G2379" s="33" t="s">
        <v>124</v>
      </c>
      <c r="H2379" s="33" t="s">
        <v>200</v>
      </c>
      <c r="I2379" s="33" t="s">
        <v>197</v>
      </c>
      <c r="J2379" s="34">
        <v>1519.16</v>
      </c>
      <c r="K2379" s="34"/>
      <c r="L2379" s="34">
        <v>1519.16</v>
      </c>
    </row>
    <row r="2380" spans="2:12" x14ac:dyDescent="0.3">
      <c r="B2380" s="25">
        <v>2389</v>
      </c>
      <c r="C2380" s="33">
        <v>382522</v>
      </c>
      <c r="D2380" s="33" t="s">
        <v>941</v>
      </c>
      <c r="E2380" s="35">
        <v>44749</v>
      </c>
      <c r="F2380" s="33">
        <v>3</v>
      </c>
      <c r="G2380" s="33" t="s">
        <v>122</v>
      </c>
      <c r="H2380" s="33" t="s">
        <v>200</v>
      </c>
      <c r="I2380" s="33" t="s">
        <v>196</v>
      </c>
      <c r="J2380" s="34">
        <v>3481.14</v>
      </c>
      <c r="K2380" s="34"/>
      <c r="L2380" s="34">
        <v>3481.14</v>
      </c>
    </row>
    <row r="2381" spans="2:12" x14ac:dyDescent="0.3">
      <c r="B2381" s="25">
        <v>2390</v>
      </c>
      <c r="C2381" s="33">
        <v>382557</v>
      </c>
      <c r="D2381" s="33" t="s">
        <v>1293</v>
      </c>
      <c r="E2381" s="35">
        <v>44782</v>
      </c>
      <c r="F2381" s="33">
        <v>3</v>
      </c>
      <c r="G2381" s="33" t="s">
        <v>124</v>
      </c>
      <c r="H2381" s="33" t="s">
        <v>200</v>
      </c>
      <c r="I2381" s="33" t="s">
        <v>197</v>
      </c>
      <c r="J2381" s="34">
        <v>572.41</v>
      </c>
      <c r="K2381" s="34">
        <v>50</v>
      </c>
      <c r="L2381" s="34">
        <v>522.41</v>
      </c>
    </row>
    <row r="2382" spans="2:12" x14ac:dyDescent="0.3">
      <c r="B2382" s="25">
        <v>2391</v>
      </c>
      <c r="C2382" s="33">
        <v>382558</v>
      </c>
      <c r="D2382" s="33" t="s">
        <v>1294</v>
      </c>
      <c r="E2382" s="35">
        <v>44782</v>
      </c>
      <c r="F2382" s="33">
        <v>3</v>
      </c>
      <c r="G2382" s="33" t="s">
        <v>122</v>
      </c>
      <c r="H2382" s="33" t="s">
        <v>200</v>
      </c>
      <c r="I2382" s="33" t="s">
        <v>196</v>
      </c>
      <c r="J2382" s="34">
        <v>5558.52</v>
      </c>
      <c r="K2382" s="34"/>
      <c r="L2382" s="34">
        <v>5558.52</v>
      </c>
    </row>
    <row r="2383" spans="2:12" x14ac:dyDescent="0.3">
      <c r="B2383" s="25">
        <v>2392</v>
      </c>
      <c r="C2383" s="33">
        <v>382712</v>
      </c>
      <c r="D2383" s="33" t="s">
        <v>395</v>
      </c>
      <c r="E2383" s="35">
        <v>44806</v>
      </c>
      <c r="F2383" s="33">
        <v>3</v>
      </c>
      <c r="G2383" s="33" t="s">
        <v>122</v>
      </c>
      <c r="H2383" s="33" t="s">
        <v>200</v>
      </c>
      <c r="I2383" s="33" t="s">
        <v>196</v>
      </c>
      <c r="J2383" s="34">
        <v>1242.45</v>
      </c>
      <c r="K2383" s="34"/>
      <c r="L2383" s="34">
        <v>1242.45</v>
      </c>
    </row>
    <row r="2384" spans="2:12" x14ac:dyDescent="0.3">
      <c r="B2384" s="25">
        <v>2393</v>
      </c>
      <c r="C2384" s="33">
        <v>382713</v>
      </c>
      <c r="D2384" s="33" t="s">
        <v>395</v>
      </c>
      <c r="E2384" s="35">
        <v>44806</v>
      </c>
      <c r="F2384" s="33">
        <v>3</v>
      </c>
      <c r="G2384" s="33" t="s">
        <v>122</v>
      </c>
      <c r="H2384" s="33" t="s">
        <v>200</v>
      </c>
      <c r="I2384" s="33" t="s">
        <v>196</v>
      </c>
      <c r="J2384" s="34">
        <v>1035.3800000000001</v>
      </c>
      <c r="K2384" s="34"/>
      <c r="L2384" s="34">
        <v>1035.3800000000001</v>
      </c>
    </row>
    <row r="2385" spans="2:12" x14ac:dyDescent="0.3">
      <c r="B2385" s="25">
        <v>2394</v>
      </c>
      <c r="C2385" s="33">
        <v>382727</v>
      </c>
      <c r="D2385" s="33" t="s">
        <v>1295</v>
      </c>
      <c r="E2385" s="35">
        <v>44809</v>
      </c>
      <c r="F2385" s="33">
        <v>3</v>
      </c>
      <c r="G2385" s="33" t="s">
        <v>122</v>
      </c>
      <c r="H2385" s="33" t="s">
        <v>200</v>
      </c>
      <c r="I2385" s="33" t="s">
        <v>196</v>
      </c>
      <c r="J2385" s="34">
        <v>2393.2800000000002</v>
      </c>
      <c r="K2385" s="34"/>
      <c r="L2385" s="34">
        <v>2393.2800000000002</v>
      </c>
    </row>
    <row r="2386" spans="2:12" x14ac:dyDescent="0.3">
      <c r="B2386" s="25">
        <v>2395</v>
      </c>
      <c r="C2386" s="33">
        <v>382740</v>
      </c>
      <c r="D2386" s="33" t="s">
        <v>395</v>
      </c>
      <c r="E2386" s="35">
        <v>44810</v>
      </c>
      <c r="F2386" s="33">
        <v>3</v>
      </c>
      <c r="G2386" s="33" t="s">
        <v>122</v>
      </c>
      <c r="H2386" s="33" t="s">
        <v>200</v>
      </c>
      <c r="I2386" s="33" t="s">
        <v>196</v>
      </c>
      <c r="J2386" s="34">
        <v>731.48</v>
      </c>
      <c r="K2386" s="34">
        <v>50</v>
      </c>
      <c r="L2386" s="34">
        <v>681.48</v>
      </c>
    </row>
    <row r="2387" spans="2:12" x14ac:dyDescent="0.3">
      <c r="B2387" s="25">
        <v>2396</v>
      </c>
      <c r="C2387" s="33">
        <v>382812</v>
      </c>
      <c r="D2387" s="33" t="s">
        <v>1296</v>
      </c>
      <c r="E2387" s="35">
        <v>44819</v>
      </c>
      <c r="F2387" s="33">
        <v>3</v>
      </c>
      <c r="G2387" s="33" t="s">
        <v>231</v>
      </c>
      <c r="H2387" s="33" t="s">
        <v>200</v>
      </c>
      <c r="I2387" s="33" t="s">
        <v>198</v>
      </c>
      <c r="J2387" s="34">
        <v>16242.27</v>
      </c>
      <c r="K2387" s="34"/>
      <c r="L2387" s="34">
        <v>16242.27</v>
      </c>
    </row>
    <row r="2388" spans="2:12" x14ac:dyDescent="0.3">
      <c r="B2388" s="25">
        <v>2397</v>
      </c>
      <c r="C2388" s="33">
        <v>382815</v>
      </c>
      <c r="D2388" s="33" t="s">
        <v>1297</v>
      </c>
      <c r="E2388" s="35">
        <v>44820</v>
      </c>
      <c r="F2388" s="33">
        <v>3</v>
      </c>
      <c r="G2388" s="33" t="s">
        <v>122</v>
      </c>
      <c r="H2388" s="33" t="s">
        <v>200</v>
      </c>
      <c r="I2388" s="33" t="s">
        <v>196</v>
      </c>
      <c r="J2388" s="34">
        <v>36723.17</v>
      </c>
      <c r="K2388" s="34"/>
      <c r="L2388" s="34">
        <v>36723.17</v>
      </c>
    </row>
    <row r="2389" spans="2:12" x14ac:dyDescent="0.3">
      <c r="B2389" s="25">
        <v>2398</v>
      </c>
      <c r="C2389" s="33">
        <v>382866</v>
      </c>
      <c r="D2389" s="33" t="s">
        <v>1293</v>
      </c>
      <c r="E2389" s="35">
        <v>44825</v>
      </c>
      <c r="F2389" s="33">
        <v>3</v>
      </c>
      <c r="G2389" s="33" t="s">
        <v>124</v>
      </c>
      <c r="H2389" s="33" t="s">
        <v>200</v>
      </c>
      <c r="I2389" s="33" t="s">
        <v>197</v>
      </c>
      <c r="J2389" s="34">
        <v>878.35</v>
      </c>
      <c r="K2389" s="34"/>
      <c r="L2389" s="34">
        <v>878.35</v>
      </c>
    </row>
    <row r="2390" spans="2:12" x14ac:dyDescent="0.3">
      <c r="B2390" s="25">
        <v>2399</v>
      </c>
      <c r="C2390" s="33">
        <v>382890</v>
      </c>
      <c r="D2390" s="33" t="s">
        <v>1298</v>
      </c>
      <c r="E2390" s="35">
        <v>44827</v>
      </c>
      <c r="F2390" s="33">
        <v>3</v>
      </c>
      <c r="G2390" s="33" t="s">
        <v>122</v>
      </c>
      <c r="H2390" s="33" t="s">
        <v>200</v>
      </c>
      <c r="I2390" s="33" t="s">
        <v>196</v>
      </c>
      <c r="J2390" s="34">
        <v>603.75</v>
      </c>
      <c r="K2390" s="34">
        <v>50</v>
      </c>
      <c r="L2390" s="34">
        <v>553.75</v>
      </c>
    </row>
    <row r="2391" spans="2:12" x14ac:dyDescent="0.3">
      <c r="B2391" s="25">
        <v>2400</v>
      </c>
      <c r="C2391" s="33">
        <v>382926</v>
      </c>
      <c r="D2391" s="33" t="s">
        <v>394</v>
      </c>
      <c r="E2391" s="35">
        <v>44832</v>
      </c>
      <c r="F2391" s="33">
        <v>3</v>
      </c>
      <c r="G2391" s="33" t="s">
        <v>122</v>
      </c>
      <c r="H2391" s="33" t="s">
        <v>200</v>
      </c>
      <c r="I2391" s="33" t="s">
        <v>196</v>
      </c>
      <c r="J2391" s="34">
        <v>985.7</v>
      </c>
      <c r="K2391" s="34"/>
      <c r="L2391" s="34">
        <v>985.7</v>
      </c>
    </row>
    <row r="2392" spans="2:12" x14ac:dyDescent="0.3">
      <c r="B2392" s="25">
        <v>2401</v>
      </c>
      <c r="C2392" s="33">
        <v>382946</v>
      </c>
      <c r="D2392" s="33" t="s">
        <v>939</v>
      </c>
      <c r="E2392" s="35">
        <v>44834</v>
      </c>
      <c r="F2392" s="33">
        <v>3</v>
      </c>
      <c r="G2392" s="33" t="s">
        <v>124</v>
      </c>
      <c r="H2392" s="33" t="s">
        <v>200</v>
      </c>
      <c r="I2392" s="33" t="s">
        <v>197</v>
      </c>
      <c r="J2392" s="34">
        <v>1393.3</v>
      </c>
      <c r="K2392" s="34"/>
      <c r="L2392" s="34">
        <v>1393.3</v>
      </c>
    </row>
    <row r="2393" spans="2:12" x14ac:dyDescent="0.3">
      <c r="B2393" s="25">
        <v>2402</v>
      </c>
      <c r="C2393" s="33">
        <v>53986</v>
      </c>
      <c r="D2393" s="33" t="s">
        <v>405</v>
      </c>
      <c r="E2393" s="35">
        <v>44812</v>
      </c>
      <c r="F2393" s="33">
        <v>3</v>
      </c>
      <c r="G2393" s="33" t="s">
        <v>122</v>
      </c>
      <c r="H2393" s="33" t="s">
        <v>69</v>
      </c>
      <c r="I2393" s="33" t="s">
        <v>196</v>
      </c>
      <c r="J2393" s="34">
        <v>493.5</v>
      </c>
      <c r="K2393" s="34"/>
      <c r="L2393" s="34">
        <v>493.5</v>
      </c>
    </row>
    <row r="2394" spans="2:12" x14ac:dyDescent="0.3">
      <c r="B2394" s="25">
        <v>2403</v>
      </c>
      <c r="C2394" s="33">
        <v>53987</v>
      </c>
      <c r="D2394" s="33" t="s">
        <v>281</v>
      </c>
      <c r="E2394" s="35">
        <v>44812</v>
      </c>
      <c r="F2394" s="33">
        <v>3</v>
      </c>
      <c r="G2394" s="33" t="s">
        <v>124</v>
      </c>
      <c r="H2394" s="33" t="s">
        <v>69</v>
      </c>
      <c r="I2394" s="33" t="s">
        <v>197</v>
      </c>
      <c r="J2394" s="34">
        <v>4751.0200000000004</v>
      </c>
      <c r="K2394" s="34"/>
      <c r="L2394" s="34">
        <v>4751.0200000000004</v>
      </c>
    </row>
    <row r="2395" spans="2:12" x14ac:dyDescent="0.3">
      <c r="B2395" s="25">
        <v>2404</v>
      </c>
      <c r="C2395" s="33">
        <v>53991</v>
      </c>
      <c r="D2395" s="33" t="s">
        <v>400</v>
      </c>
      <c r="E2395" s="35">
        <v>44812</v>
      </c>
      <c r="F2395" s="33">
        <v>3</v>
      </c>
      <c r="G2395" s="33" t="s">
        <v>231</v>
      </c>
      <c r="H2395" s="33" t="s">
        <v>69</v>
      </c>
      <c r="I2395" s="33" t="s">
        <v>198</v>
      </c>
      <c r="J2395" s="34">
        <v>4641.83</v>
      </c>
      <c r="K2395" s="34"/>
      <c r="L2395" s="34">
        <v>4641.83</v>
      </c>
    </row>
    <row r="2396" spans="2:12" x14ac:dyDescent="0.3">
      <c r="B2396" s="25">
        <v>2405</v>
      </c>
      <c r="C2396" s="33" t="s">
        <v>1299</v>
      </c>
      <c r="D2396" s="33" t="s">
        <v>400</v>
      </c>
      <c r="E2396" s="35">
        <v>44812</v>
      </c>
      <c r="F2396" s="33">
        <v>3</v>
      </c>
      <c r="G2396" s="33" t="s">
        <v>231</v>
      </c>
      <c r="H2396" s="33" t="s">
        <v>69</v>
      </c>
      <c r="I2396" s="33" t="s">
        <v>198</v>
      </c>
      <c r="J2396" s="34">
        <v>1503.98</v>
      </c>
      <c r="K2396" s="34"/>
      <c r="L2396" s="34">
        <v>1503.98</v>
      </c>
    </row>
    <row r="2397" spans="2:12" x14ac:dyDescent="0.3">
      <c r="B2397" s="25">
        <v>2406</v>
      </c>
      <c r="C2397" s="33">
        <v>53997</v>
      </c>
      <c r="D2397" s="33" t="s">
        <v>805</v>
      </c>
      <c r="E2397" s="35">
        <v>44812</v>
      </c>
      <c r="F2397" s="33">
        <v>3</v>
      </c>
      <c r="G2397" s="33" t="s">
        <v>231</v>
      </c>
      <c r="H2397" s="33" t="s">
        <v>69</v>
      </c>
      <c r="I2397" s="33" t="s">
        <v>198</v>
      </c>
      <c r="J2397" s="34">
        <v>4293.5</v>
      </c>
      <c r="K2397" s="34"/>
      <c r="L2397" s="34">
        <v>4293.5</v>
      </c>
    </row>
    <row r="2398" spans="2:12" x14ac:dyDescent="0.3">
      <c r="B2398" s="25">
        <v>2407</v>
      </c>
      <c r="C2398" s="33">
        <v>54110</v>
      </c>
      <c r="D2398" s="33" t="s">
        <v>400</v>
      </c>
      <c r="E2398" s="35">
        <v>44819</v>
      </c>
      <c r="F2398" s="33">
        <v>3</v>
      </c>
      <c r="G2398" s="33" t="s">
        <v>231</v>
      </c>
      <c r="H2398" s="33" t="s">
        <v>69</v>
      </c>
      <c r="I2398" s="33" t="s">
        <v>198</v>
      </c>
      <c r="J2398" s="34">
        <v>22.79</v>
      </c>
      <c r="K2398" s="34"/>
      <c r="L2398" s="34">
        <v>22.79</v>
      </c>
    </row>
    <row r="2399" spans="2:12" x14ac:dyDescent="0.3">
      <c r="B2399" s="25">
        <v>2408</v>
      </c>
      <c r="C2399" s="33">
        <v>54115</v>
      </c>
      <c r="D2399" s="33" t="s">
        <v>416</v>
      </c>
      <c r="E2399" s="35">
        <v>44819</v>
      </c>
      <c r="F2399" s="33">
        <v>3</v>
      </c>
      <c r="G2399" s="33" t="s">
        <v>231</v>
      </c>
      <c r="H2399" s="33" t="s">
        <v>69</v>
      </c>
      <c r="I2399" s="33" t="s">
        <v>198</v>
      </c>
      <c r="J2399" s="34">
        <v>280.5</v>
      </c>
      <c r="K2399" s="34"/>
      <c r="L2399" s="34">
        <v>280.5</v>
      </c>
    </row>
    <row r="2400" spans="2:12" x14ac:dyDescent="0.3">
      <c r="B2400" s="25">
        <v>2409</v>
      </c>
      <c r="C2400" s="33">
        <v>54116</v>
      </c>
      <c r="D2400" s="33" t="s">
        <v>804</v>
      </c>
      <c r="E2400" s="35">
        <v>44819</v>
      </c>
      <c r="F2400" s="33">
        <v>3</v>
      </c>
      <c r="G2400" s="33" t="s">
        <v>124</v>
      </c>
      <c r="H2400" s="33" t="s">
        <v>69</v>
      </c>
      <c r="I2400" s="33" t="s">
        <v>197</v>
      </c>
      <c r="J2400" s="34">
        <v>192.5</v>
      </c>
      <c r="K2400" s="34"/>
      <c r="L2400" s="34">
        <v>192.5</v>
      </c>
    </row>
    <row r="2401" spans="2:12" x14ac:dyDescent="0.3">
      <c r="B2401" s="25">
        <v>2410</v>
      </c>
      <c r="C2401" s="33">
        <v>54118</v>
      </c>
      <c r="D2401" s="33" t="s">
        <v>1300</v>
      </c>
      <c r="E2401" s="35">
        <v>44819</v>
      </c>
      <c r="F2401" s="33">
        <v>3</v>
      </c>
      <c r="G2401" s="33" t="s">
        <v>124</v>
      </c>
      <c r="H2401" s="33" t="s">
        <v>69</v>
      </c>
      <c r="I2401" s="33" t="s">
        <v>197</v>
      </c>
      <c r="J2401" s="34">
        <v>2993.43</v>
      </c>
      <c r="K2401" s="34"/>
      <c r="L2401" s="34">
        <v>2993.43</v>
      </c>
    </row>
    <row r="2402" spans="2:12" x14ac:dyDescent="0.3">
      <c r="B2402" s="25">
        <v>2411</v>
      </c>
      <c r="C2402" s="33">
        <v>54219</v>
      </c>
      <c r="D2402" s="33" t="s">
        <v>411</v>
      </c>
      <c r="E2402" s="35">
        <v>44826</v>
      </c>
      <c r="F2402" s="33">
        <v>3</v>
      </c>
      <c r="G2402" s="33" t="s">
        <v>122</v>
      </c>
      <c r="H2402" s="33" t="s">
        <v>69</v>
      </c>
      <c r="I2402" s="33" t="s">
        <v>196</v>
      </c>
      <c r="J2402" s="34">
        <v>896</v>
      </c>
      <c r="K2402" s="34"/>
      <c r="L2402" s="34">
        <v>896</v>
      </c>
    </row>
    <row r="2403" spans="2:12" x14ac:dyDescent="0.3">
      <c r="B2403" s="25">
        <v>2412</v>
      </c>
      <c r="C2403" s="33">
        <v>54222</v>
      </c>
      <c r="D2403" s="33" t="s">
        <v>281</v>
      </c>
      <c r="E2403" s="35">
        <v>44826</v>
      </c>
      <c r="F2403" s="33">
        <v>3</v>
      </c>
      <c r="G2403" s="33" t="s">
        <v>124</v>
      </c>
      <c r="H2403" s="33" t="s">
        <v>69</v>
      </c>
      <c r="I2403" s="33" t="s">
        <v>197</v>
      </c>
      <c r="J2403" s="34">
        <v>1781.52</v>
      </c>
      <c r="K2403" s="34"/>
      <c r="L2403" s="34">
        <v>1781.52</v>
      </c>
    </row>
    <row r="2404" spans="2:12" x14ac:dyDescent="0.3">
      <c r="B2404" s="25">
        <v>2413</v>
      </c>
      <c r="C2404" s="33">
        <v>54223</v>
      </c>
      <c r="D2404" s="33" t="s">
        <v>275</v>
      </c>
      <c r="E2404" s="35">
        <v>44826</v>
      </c>
      <c r="F2404" s="33">
        <v>3</v>
      </c>
      <c r="G2404" s="33" t="s">
        <v>124</v>
      </c>
      <c r="H2404" s="33" t="s">
        <v>69</v>
      </c>
      <c r="I2404" s="33" t="s">
        <v>197</v>
      </c>
      <c r="J2404" s="34">
        <v>5632.5</v>
      </c>
      <c r="K2404" s="34"/>
      <c r="L2404" s="34">
        <v>5632.5</v>
      </c>
    </row>
    <row r="2405" spans="2:12" x14ac:dyDescent="0.3">
      <c r="B2405" s="25">
        <v>2414</v>
      </c>
      <c r="C2405" s="33">
        <v>54357</v>
      </c>
      <c r="D2405" s="33" t="s">
        <v>416</v>
      </c>
      <c r="E2405" s="35">
        <v>44833</v>
      </c>
      <c r="F2405" s="33">
        <v>3</v>
      </c>
      <c r="G2405" s="33" t="s">
        <v>231</v>
      </c>
      <c r="H2405" s="33" t="s">
        <v>69</v>
      </c>
      <c r="I2405" s="33" t="s">
        <v>198</v>
      </c>
      <c r="J2405" s="34">
        <v>3072.48</v>
      </c>
      <c r="K2405" s="34"/>
      <c r="L2405" s="34">
        <v>3072.48</v>
      </c>
    </row>
    <row r="2406" spans="2:12" x14ac:dyDescent="0.3">
      <c r="B2406" s="25">
        <v>2415</v>
      </c>
      <c r="C2406" s="33" t="s">
        <v>1301</v>
      </c>
      <c r="D2406" s="33" t="s">
        <v>593</v>
      </c>
      <c r="E2406" s="35">
        <v>44833</v>
      </c>
      <c r="F2406" s="33">
        <v>3</v>
      </c>
      <c r="G2406" s="33" t="s">
        <v>122</v>
      </c>
      <c r="H2406" s="33" t="s">
        <v>69</v>
      </c>
      <c r="I2406" s="33" t="s">
        <v>196</v>
      </c>
      <c r="J2406" s="34">
        <v>3130.5</v>
      </c>
      <c r="K2406" s="34"/>
      <c r="L2406" s="34">
        <v>3130.5</v>
      </c>
    </row>
    <row r="2407" spans="2:12" x14ac:dyDescent="0.3">
      <c r="B2407" s="25">
        <v>2416</v>
      </c>
      <c r="C2407" s="33">
        <v>54359</v>
      </c>
      <c r="D2407" s="33" t="s">
        <v>401</v>
      </c>
      <c r="E2407" s="35">
        <v>44833</v>
      </c>
      <c r="F2407" s="33">
        <v>3</v>
      </c>
      <c r="G2407" s="33" t="s">
        <v>231</v>
      </c>
      <c r="H2407" s="33" t="s">
        <v>69</v>
      </c>
      <c r="I2407" s="33" t="s">
        <v>198</v>
      </c>
      <c r="J2407" s="34">
        <v>628</v>
      </c>
      <c r="K2407" s="34"/>
      <c r="L2407" s="34">
        <v>628</v>
      </c>
    </row>
    <row r="2408" spans="2:12" x14ac:dyDescent="0.3">
      <c r="B2408" s="25">
        <v>2417</v>
      </c>
      <c r="C2408" s="33" t="s">
        <v>1302</v>
      </c>
      <c r="D2408" s="33" t="s">
        <v>404</v>
      </c>
      <c r="E2408" s="35">
        <v>44833</v>
      </c>
      <c r="F2408" s="33">
        <v>3</v>
      </c>
      <c r="G2408" s="33" t="s">
        <v>122</v>
      </c>
      <c r="H2408" s="33" t="s">
        <v>69</v>
      </c>
      <c r="I2408" s="33" t="s">
        <v>196</v>
      </c>
      <c r="J2408" s="34">
        <v>932</v>
      </c>
      <c r="K2408" s="34"/>
      <c r="L2408" s="34">
        <v>932</v>
      </c>
    </row>
    <row r="2409" spans="2:12" x14ac:dyDescent="0.3">
      <c r="B2409" s="25">
        <v>2418</v>
      </c>
      <c r="C2409" s="33">
        <v>54363</v>
      </c>
      <c r="D2409" s="33" t="s">
        <v>404</v>
      </c>
      <c r="E2409" s="35">
        <v>44833</v>
      </c>
      <c r="F2409" s="33">
        <v>3</v>
      </c>
      <c r="G2409" s="33" t="s">
        <v>122</v>
      </c>
      <c r="H2409" s="33" t="s">
        <v>69</v>
      </c>
      <c r="I2409" s="33" t="s">
        <v>196</v>
      </c>
      <c r="J2409" s="34">
        <v>1086</v>
      </c>
      <c r="K2409" s="34"/>
      <c r="L2409" s="34">
        <v>1086</v>
      </c>
    </row>
    <row r="2410" spans="2:12" x14ac:dyDescent="0.3">
      <c r="B2410" s="25">
        <v>2419</v>
      </c>
      <c r="C2410" s="33">
        <v>54371</v>
      </c>
      <c r="D2410" s="33" t="s">
        <v>411</v>
      </c>
      <c r="E2410" s="35">
        <v>44833</v>
      </c>
      <c r="F2410" s="33">
        <v>3</v>
      </c>
      <c r="G2410" s="33" t="s">
        <v>122</v>
      </c>
      <c r="H2410" s="33" t="s">
        <v>69</v>
      </c>
      <c r="I2410" s="33" t="s">
        <v>196</v>
      </c>
      <c r="J2410" s="34">
        <v>8072.95</v>
      </c>
      <c r="K2410" s="34"/>
      <c r="L2410" s="34">
        <v>8072.95</v>
      </c>
    </row>
    <row r="2411" spans="2:12" x14ac:dyDescent="0.3">
      <c r="B2411" s="25">
        <v>2420</v>
      </c>
      <c r="C2411" s="33">
        <v>54373</v>
      </c>
      <c r="D2411" s="33" t="s">
        <v>283</v>
      </c>
      <c r="E2411" s="35">
        <v>44833</v>
      </c>
      <c r="F2411" s="33">
        <v>3</v>
      </c>
      <c r="G2411" s="33" t="s">
        <v>124</v>
      </c>
      <c r="H2411" s="33" t="s">
        <v>69</v>
      </c>
      <c r="I2411" s="33" t="s">
        <v>197</v>
      </c>
      <c r="J2411" s="34">
        <v>1117.78</v>
      </c>
      <c r="K2411" s="34"/>
      <c r="L2411" s="34">
        <v>1117.78</v>
      </c>
    </row>
    <row r="2412" spans="2:12" x14ac:dyDescent="0.3">
      <c r="B2412" s="25">
        <v>2421</v>
      </c>
      <c r="C2412" s="33">
        <v>54374</v>
      </c>
      <c r="D2412" s="33" t="s">
        <v>281</v>
      </c>
      <c r="E2412" s="35">
        <v>44833</v>
      </c>
      <c r="F2412" s="33">
        <v>3</v>
      </c>
      <c r="G2412" s="33" t="s">
        <v>124</v>
      </c>
      <c r="H2412" s="33" t="s">
        <v>69</v>
      </c>
      <c r="I2412" s="33" t="s">
        <v>197</v>
      </c>
      <c r="J2412" s="34">
        <v>1023.5</v>
      </c>
      <c r="K2412" s="34"/>
      <c r="L2412" s="34">
        <v>1023.5</v>
      </c>
    </row>
    <row r="2413" spans="2:12" x14ac:dyDescent="0.3">
      <c r="B2413" s="25">
        <v>2422</v>
      </c>
      <c r="C2413" s="33">
        <v>54376</v>
      </c>
      <c r="D2413" s="33" t="s">
        <v>805</v>
      </c>
      <c r="E2413" s="35">
        <v>44833</v>
      </c>
      <c r="F2413" s="33">
        <v>3</v>
      </c>
      <c r="G2413" s="33" t="s">
        <v>231</v>
      </c>
      <c r="H2413" s="33" t="s">
        <v>69</v>
      </c>
      <c r="I2413" s="33" t="s">
        <v>198</v>
      </c>
      <c r="J2413" s="34">
        <v>1959.37</v>
      </c>
      <c r="K2413" s="34"/>
      <c r="L2413" s="34">
        <v>1959.37</v>
      </c>
    </row>
    <row r="2414" spans="2:12" x14ac:dyDescent="0.3">
      <c r="B2414" s="25">
        <v>2423</v>
      </c>
      <c r="C2414" s="33">
        <v>54380</v>
      </c>
      <c r="D2414" s="33" t="s">
        <v>400</v>
      </c>
      <c r="E2414" s="35">
        <v>44833</v>
      </c>
      <c r="F2414" s="33">
        <v>3</v>
      </c>
      <c r="G2414" s="33" t="s">
        <v>231</v>
      </c>
      <c r="H2414" s="33" t="s">
        <v>69</v>
      </c>
      <c r="I2414" s="33" t="s">
        <v>198</v>
      </c>
      <c r="J2414" s="34">
        <v>209.52</v>
      </c>
      <c r="K2414" s="34"/>
      <c r="L2414" s="34">
        <v>209.52</v>
      </c>
    </row>
    <row r="2415" spans="2:12" x14ac:dyDescent="0.3">
      <c r="B2415" s="25">
        <v>2424</v>
      </c>
      <c r="C2415" s="33">
        <v>34381</v>
      </c>
      <c r="D2415" s="33" t="s">
        <v>1303</v>
      </c>
      <c r="E2415" s="35">
        <v>44834</v>
      </c>
      <c r="F2415" s="33">
        <v>3</v>
      </c>
      <c r="G2415" s="33" t="s">
        <v>122</v>
      </c>
      <c r="H2415" s="33" t="s">
        <v>72</v>
      </c>
      <c r="I2415" s="33" t="s">
        <v>196</v>
      </c>
      <c r="J2415" s="34">
        <v>171.9</v>
      </c>
      <c r="K2415" s="34">
        <v>50</v>
      </c>
      <c r="L2415" s="34">
        <v>121.9</v>
      </c>
    </row>
    <row r="2416" spans="2:12" x14ac:dyDescent="0.3">
      <c r="B2416" s="25">
        <v>2425</v>
      </c>
      <c r="C2416" s="33">
        <v>5481</v>
      </c>
      <c r="D2416" s="33" t="s">
        <v>362</v>
      </c>
      <c r="E2416" s="35">
        <v>44811</v>
      </c>
      <c r="F2416" s="33">
        <v>3</v>
      </c>
      <c r="G2416" s="33" t="s">
        <v>124</v>
      </c>
      <c r="H2416" s="33" t="s">
        <v>201</v>
      </c>
      <c r="I2416" s="33" t="s">
        <v>197</v>
      </c>
      <c r="J2416" s="34">
        <v>2400.6999999999998</v>
      </c>
      <c r="K2416" s="34"/>
      <c r="L2416" s="34">
        <v>2400.6999999999998</v>
      </c>
    </row>
    <row r="2417" spans="2:12" x14ac:dyDescent="0.3">
      <c r="B2417" s="25">
        <v>2426</v>
      </c>
      <c r="C2417" s="33">
        <v>4775</v>
      </c>
      <c r="D2417" s="33" t="s">
        <v>1126</v>
      </c>
      <c r="E2417" s="35">
        <v>44775</v>
      </c>
      <c r="F2417" s="33">
        <v>3</v>
      </c>
      <c r="G2417" s="33" t="s">
        <v>124</v>
      </c>
      <c r="H2417" s="33" t="s">
        <v>630</v>
      </c>
      <c r="I2417" s="33" t="s">
        <v>197</v>
      </c>
      <c r="J2417" s="34">
        <v>1251</v>
      </c>
      <c r="K2417" s="34"/>
      <c r="L2417" s="34">
        <v>1251</v>
      </c>
    </row>
    <row r="2418" spans="2:12" x14ac:dyDescent="0.3">
      <c r="B2418" s="25">
        <v>2427</v>
      </c>
      <c r="C2418" s="33">
        <v>4991</v>
      </c>
      <c r="D2418" s="33" t="s">
        <v>1282</v>
      </c>
      <c r="E2418" s="35">
        <v>44851</v>
      </c>
      <c r="F2418" s="33">
        <v>4</v>
      </c>
      <c r="G2418" s="33" t="s">
        <v>628</v>
      </c>
      <c r="H2418" s="33" t="s">
        <v>630</v>
      </c>
      <c r="I2418" s="33" t="s">
        <v>75</v>
      </c>
      <c r="J2418" s="34">
        <v>580</v>
      </c>
      <c r="K2418" s="34">
        <v>40</v>
      </c>
      <c r="L2418" s="34">
        <v>540</v>
      </c>
    </row>
    <row r="2419" spans="2:12" x14ac:dyDescent="0.3">
      <c r="B2419" s="25">
        <v>2428</v>
      </c>
      <c r="C2419" s="33" t="s">
        <v>1304</v>
      </c>
      <c r="D2419" s="33" t="s">
        <v>1282</v>
      </c>
      <c r="E2419" s="35">
        <v>44851</v>
      </c>
      <c r="F2419" s="33">
        <v>4</v>
      </c>
      <c r="G2419" s="33" t="s">
        <v>628</v>
      </c>
      <c r="H2419" s="33" t="s">
        <v>630</v>
      </c>
      <c r="I2419" s="33" t="s">
        <v>75</v>
      </c>
      <c r="J2419" s="34">
        <v>324</v>
      </c>
      <c r="K2419" s="34"/>
      <c r="L2419" s="34">
        <v>324</v>
      </c>
    </row>
    <row r="2420" spans="2:12" x14ac:dyDescent="0.3">
      <c r="B2420" s="25">
        <v>2429</v>
      </c>
      <c r="C2420" s="33">
        <v>34439</v>
      </c>
      <c r="D2420" s="33" t="s">
        <v>446</v>
      </c>
      <c r="E2420" s="35">
        <v>44845</v>
      </c>
      <c r="F2420" s="33">
        <v>4</v>
      </c>
      <c r="G2420" s="33" t="s">
        <v>231</v>
      </c>
      <c r="H2420" s="33" t="s">
        <v>72</v>
      </c>
      <c r="I2420" s="33" t="s">
        <v>198</v>
      </c>
      <c r="J2420" s="34">
        <v>3664.8</v>
      </c>
      <c r="K2420" s="34"/>
      <c r="L2420" s="34">
        <v>3664.8</v>
      </c>
    </row>
    <row r="2421" spans="2:12" x14ac:dyDescent="0.3">
      <c r="B2421" s="25">
        <v>2430</v>
      </c>
      <c r="C2421" s="33">
        <v>34459</v>
      </c>
      <c r="D2421" s="33" t="s">
        <v>463</v>
      </c>
      <c r="E2421" s="35">
        <v>44848</v>
      </c>
      <c r="F2421" s="33">
        <v>4</v>
      </c>
      <c r="G2421" s="33" t="s">
        <v>122</v>
      </c>
      <c r="H2421" s="33" t="s">
        <v>72</v>
      </c>
      <c r="I2421" s="33" t="s">
        <v>196</v>
      </c>
      <c r="J2421" s="34">
        <v>39199.699999999997</v>
      </c>
      <c r="K2421" s="34"/>
      <c r="L2421" s="34">
        <v>39199.699999999997</v>
      </c>
    </row>
    <row r="2422" spans="2:12" x14ac:dyDescent="0.3">
      <c r="B2422" s="25">
        <v>2431</v>
      </c>
      <c r="C2422" s="33">
        <v>34465</v>
      </c>
      <c r="D2422" s="33" t="s">
        <v>462</v>
      </c>
      <c r="E2422" s="35">
        <v>44848</v>
      </c>
      <c r="F2422" s="33">
        <v>4</v>
      </c>
      <c r="G2422" s="33" t="s">
        <v>122</v>
      </c>
      <c r="H2422" s="33" t="s">
        <v>72</v>
      </c>
      <c r="I2422" s="33" t="s">
        <v>196</v>
      </c>
      <c r="J2422" s="34">
        <v>6076.8</v>
      </c>
      <c r="K2422" s="34"/>
      <c r="L2422" s="34">
        <v>6076.8</v>
      </c>
    </row>
    <row r="2423" spans="2:12" x14ac:dyDescent="0.3">
      <c r="B2423" s="25">
        <v>2432</v>
      </c>
      <c r="C2423" s="33">
        <v>6112</v>
      </c>
      <c r="D2423" s="33" t="s">
        <v>608</v>
      </c>
      <c r="E2423" s="35">
        <v>44839</v>
      </c>
      <c r="F2423" s="33">
        <v>4</v>
      </c>
      <c r="G2423" s="33" t="s">
        <v>124</v>
      </c>
      <c r="H2423" s="33" t="s">
        <v>201</v>
      </c>
      <c r="I2423" s="33" t="s">
        <v>197</v>
      </c>
      <c r="J2423" s="34">
        <v>2155.34</v>
      </c>
      <c r="K2423" s="34"/>
      <c r="L2423" s="34">
        <v>2155.34</v>
      </c>
    </row>
    <row r="2424" spans="2:12" x14ac:dyDescent="0.3">
      <c r="B2424" s="25">
        <v>2433</v>
      </c>
      <c r="C2424" s="33">
        <v>6118</v>
      </c>
      <c r="D2424" s="33" t="s">
        <v>473</v>
      </c>
      <c r="E2424" s="35">
        <v>44839</v>
      </c>
      <c r="F2424" s="33">
        <v>4</v>
      </c>
      <c r="G2424" s="33" t="s">
        <v>122</v>
      </c>
      <c r="H2424" s="33" t="s">
        <v>201</v>
      </c>
      <c r="I2424" s="33" t="s">
        <v>196</v>
      </c>
      <c r="J2424" s="34">
        <v>6461.03</v>
      </c>
      <c r="K2424" s="34"/>
      <c r="L2424" s="34">
        <v>6461.03</v>
      </c>
    </row>
    <row r="2425" spans="2:12" x14ac:dyDescent="0.3">
      <c r="B2425" s="25">
        <v>2434</v>
      </c>
      <c r="C2425" s="33">
        <v>6119</v>
      </c>
      <c r="D2425" s="33" t="s">
        <v>584</v>
      </c>
      <c r="E2425" s="35">
        <v>44839</v>
      </c>
      <c r="F2425" s="33">
        <v>4</v>
      </c>
      <c r="G2425" s="33" t="s">
        <v>122</v>
      </c>
      <c r="H2425" s="33" t="s">
        <v>201</v>
      </c>
      <c r="I2425" s="33" t="s">
        <v>196</v>
      </c>
      <c r="J2425" s="34">
        <v>6422.66</v>
      </c>
      <c r="K2425" s="34"/>
      <c r="L2425" s="34">
        <v>6422.66</v>
      </c>
    </row>
    <row r="2426" spans="2:12" x14ac:dyDescent="0.3">
      <c r="B2426" s="25">
        <v>2435</v>
      </c>
      <c r="C2426" s="33">
        <v>6122</v>
      </c>
      <c r="D2426" s="33" t="s">
        <v>401</v>
      </c>
      <c r="E2426" s="35">
        <v>44839</v>
      </c>
      <c r="F2426" s="33">
        <v>4</v>
      </c>
      <c r="G2426" s="33" t="s">
        <v>231</v>
      </c>
      <c r="H2426" s="33" t="s">
        <v>201</v>
      </c>
      <c r="I2426" s="33" t="s">
        <v>198</v>
      </c>
      <c r="J2426" s="34">
        <v>2042.48</v>
      </c>
      <c r="K2426" s="34"/>
      <c r="L2426" s="34">
        <v>2042.48</v>
      </c>
    </row>
    <row r="2427" spans="2:12" x14ac:dyDescent="0.3">
      <c r="B2427" s="25">
        <v>2436</v>
      </c>
      <c r="C2427" s="33">
        <v>6123</v>
      </c>
      <c r="D2427" s="33" t="s">
        <v>411</v>
      </c>
      <c r="E2427" s="35">
        <v>44839</v>
      </c>
      <c r="F2427" s="33">
        <v>4</v>
      </c>
      <c r="G2427" s="33" t="s">
        <v>122</v>
      </c>
      <c r="H2427" s="33" t="s">
        <v>201</v>
      </c>
      <c r="I2427" s="33" t="s">
        <v>196</v>
      </c>
      <c r="J2427" s="34">
        <v>2372.04</v>
      </c>
      <c r="K2427" s="34"/>
      <c r="L2427" s="34">
        <v>2372.04</v>
      </c>
    </row>
    <row r="2428" spans="2:12" x14ac:dyDescent="0.3">
      <c r="B2428" s="25">
        <v>2437</v>
      </c>
      <c r="C2428" s="33">
        <v>6125</v>
      </c>
      <c r="D2428" s="33" t="s">
        <v>429</v>
      </c>
      <c r="E2428" s="35">
        <v>44839</v>
      </c>
      <c r="F2428" s="33">
        <v>4</v>
      </c>
      <c r="G2428" s="33" t="s">
        <v>628</v>
      </c>
      <c r="H2428" s="33" t="s">
        <v>201</v>
      </c>
      <c r="I2428" s="33" t="s">
        <v>75</v>
      </c>
      <c r="J2428" s="34">
        <v>1968.17</v>
      </c>
      <c r="K2428" s="34"/>
      <c r="L2428" s="34">
        <v>1968.17</v>
      </c>
    </row>
    <row r="2429" spans="2:12" x14ac:dyDescent="0.3">
      <c r="B2429" s="25">
        <v>2438</v>
      </c>
      <c r="C2429" s="33">
        <v>6143</v>
      </c>
      <c r="D2429" s="33" t="s">
        <v>1305</v>
      </c>
      <c r="E2429" s="35">
        <v>44840</v>
      </c>
      <c r="F2429" s="33">
        <v>4</v>
      </c>
      <c r="G2429" s="33" t="s">
        <v>122</v>
      </c>
      <c r="H2429" s="33" t="s">
        <v>201</v>
      </c>
      <c r="I2429" s="33" t="s">
        <v>196</v>
      </c>
      <c r="J2429" s="34">
        <v>3132</v>
      </c>
      <c r="K2429" s="34"/>
      <c r="L2429" s="34">
        <v>3132</v>
      </c>
    </row>
    <row r="2430" spans="2:12" x14ac:dyDescent="0.3">
      <c r="B2430" s="25">
        <v>2439</v>
      </c>
      <c r="C2430" s="33">
        <v>6209</v>
      </c>
      <c r="D2430" s="33" t="s">
        <v>1306</v>
      </c>
      <c r="E2430" s="35">
        <v>44841</v>
      </c>
      <c r="F2430" s="33">
        <v>4</v>
      </c>
      <c r="G2430" s="33" t="s">
        <v>122</v>
      </c>
      <c r="H2430" s="33" t="s">
        <v>201</v>
      </c>
      <c r="I2430" s="33" t="s">
        <v>196</v>
      </c>
      <c r="J2430" s="34">
        <v>5431.25</v>
      </c>
      <c r="K2430" s="34"/>
      <c r="L2430" s="34">
        <v>5431.25</v>
      </c>
    </row>
    <row r="2431" spans="2:12" x14ac:dyDescent="0.3">
      <c r="B2431" s="25">
        <v>2440</v>
      </c>
      <c r="C2431" s="33">
        <v>6369</v>
      </c>
      <c r="D2431" s="33" t="s">
        <v>403</v>
      </c>
      <c r="E2431" s="35">
        <v>44847</v>
      </c>
      <c r="F2431" s="33">
        <v>4</v>
      </c>
      <c r="G2431" s="33" t="s">
        <v>122</v>
      </c>
      <c r="H2431" s="33" t="s">
        <v>201</v>
      </c>
      <c r="I2431" s="33" t="s">
        <v>196</v>
      </c>
      <c r="J2431" s="34">
        <v>2429.81</v>
      </c>
      <c r="K2431" s="34"/>
      <c r="L2431" s="34">
        <v>2429.81</v>
      </c>
    </row>
    <row r="2432" spans="2:12" x14ac:dyDescent="0.3">
      <c r="B2432" s="25">
        <v>2441</v>
      </c>
      <c r="C2432" s="33" t="s">
        <v>1307</v>
      </c>
      <c r="D2432" s="33" t="s">
        <v>394</v>
      </c>
      <c r="E2432" s="35">
        <v>44847</v>
      </c>
      <c r="F2432" s="33">
        <v>4</v>
      </c>
      <c r="G2432" s="33" t="s">
        <v>122</v>
      </c>
      <c r="H2432" s="33" t="s">
        <v>201</v>
      </c>
      <c r="I2432" s="33" t="s">
        <v>196</v>
      </c>
      <c r="J2432" s="34">
        <v>3410</v>
      </c>
      <c r="K2432" s="34"/>
      <c r="L2432" s="34">
        <v>3410</v>
      </c>
    </row>
    <row r="2433" spans="2:12" x14ac:dyDescent="0.3">
      <c r="B2433" s="25">
        <v>2442</v>
      </c>
      <c r="C2433" s="33" t="s">
        <v>1308</v>
      </c>
      <c r="D2433" s="33" t="s">
        <v>473</v>
      </c>
      <c r="E2433" s="35">
        <v>44847</v>
      </c>
      <c r="F2433" s="33">
        <v>4</v>
      </c>
      <c r="G2433" s="33" t="s">
        <v>122</v>
      </c>
      <c r="H2433" s="33" t="s">
        <v>201</v>
      </c>
      <c r="I2433" s="33" t="s">
        <v>196</v>
      </c>
      <c r="J2433" s="34">
        <v>3281.22</v>
      </c>
      <c r="K2433" s="34"/>
      <c r="L2433" s="34">
        <v>3281.22</v>
      </c>
    </row>
    <row r="2434" spans="2:12" x14ac:dyDescent="0.3">
      <c r="B2434" s="25">
        <v>2443</v>
      </c>
      <c r="C2434" s="33" t="s">
        <v>1309</v>
      </c>
      <c r="D2434" s="33" t="s">
        <v>565</v>
      </c>
      <c r="E2434" s="35">
        <v>44847</v>
      </c>
      <c r="F2434" s="33">
        <v>4</v>
      </c>
      <c r="G2434" s="33" t="s">
        <v>124</v>
      </c>
      <c r="H2434" s="33" t="s">
        <v>201</v>
      </c>
      <c r="I2434" s="33" t="s">
        <v>197</v>
      </c>
      <c r="J2434" s="34">
        <v>862.4</v>
      </c>
      <c r="K2434" s="34"/>
      <c r="L2434" s="34">
        <v>862.4</v>
      </c>
    </row>
    <row r="2435" spans="2:12" x14ac:dyDescent="0.3">
      <c r="B2435" s="25">
        <v>2444</v>
      </c>
      <c r="C2435" s="33">
        <v>6384</v>
      </c>
      <c r="D2435" s="33" t="s">
        <v>413</v>
      </c>
      <c r="E2435" s="35">
        <v>44847</v>
      </c>
      <c r="F2435" s="33">
        <v>4</v>
      </c>
      <c r="G2435" s="33" t="s">
        <v>122</v>
      </c>
      <c r="H2435" s="33" t="s">
        <v>201</v>
      </c>
      <c r="I2435" s="33" t="s">
        <v>196</v>
      </c>
      <c r="J2435" s="34">
        <v>2821</v>
      </c>
      <c r="K2435" s="34"/>
      <c r="L2435" s="34">
        <v>2821</v>
      </c>
    </row>
    <row r="2436" spans="2:12" x14ac:dyDescent="0.3">
      <c r="B2436" s="25">
        <v>2445</v>
      </c>
      <c r="C2436" s="33">
        <v>6385</v>
      </c>
      <c r="D2436" s="33" t="s">
        <v>401</v>
      </c>
      <c r="E2436" s="35">
        <v>44847</v>
      </c>
      <c r="F2436" s="33">
        <v>4</v>
      </c>
      <c r="G2436" s="33" t="s">
        <v>231</v>
      </c>
      <c r="H2436" s="33" t="s">
        <v>201</v>
      </c>
      <c r="I2436" s="33" t="s">
        <v>198</v>
      </c>
      <c r="J2436" s="34">
        <v>1982.75</v>
      </c>
      <c r="K2436" s="34"/>
      <c r="L2436" s="34">
        <v>1982.75</v>
      </c>
    </row>
    <row r="2437" spans="2:12" x14ac:dyDescent="0.3">
      <c r="B2437" s="25">
        <v>2446</v>
      </c>
      <c r="C2437" s="33">
        <v>4995</v>
      </c>
      <c r="D2437" s="33" t="s">
        <v>1310</v>
      </c>
      <c r="E2437" s="35">
        <v>44852</v>
      </c>
      <c r="F2437" s="33">
        <v>4</v>
      </c>
      <c r="G2437" s="33" t="s">
        <v>122</v>
      </c>
      <c r="H2437" s="33" t="s">
        <v>630</v>
      </c>
      <c r="I2437" s="33" t="s">
        <v>196</v>
      </c>
      <c r="J2437" s="34">
        <v>259.60000000000002</v>
      </c>
      <c r="K2437" s="34"/>
      <c r="L2437" s="34">
        <v>259.60000000000002</v>
      </c>
    </row>
    <row r="2438" spans="2:12" x14ac:dyDescent="0.3">
      <c r="B2438" s="25">
        <v>2447</v>
      </c>
      <c r="C2438" s="33">
        <v>4996</v>
      </c>
      <c r="D2438" s="33" t="s">
        <v>1311</v>
      </c>
      <c r="E2438" s="35">
        <v>44852</v>
      </c>
      <c r="F2438" s="33">
        <v>4</v>
      </c>
      <c r="G2438" s="33" t="s">
        <v>122</v>
      </c>
      <c r="H2438" s="33" t="s">
        <v>630</v>
      </c>
      <c r="I2438" s="33" t="s">
        <v>196</v>
      </c>
      <c r="J2438" s="34">
        <v>1414.4</v>
      </c>
      <c r="K2438" s="34"/>
      <c r="L2438" s="34">
        <v>1414.4</v>
      </c>
    </row>
    <row r="2439" spans="2:12" x14ac:dyDescent="0.3">
      <c r="B2439" s="25">
        <v>2448</v>
      </c>
      <c r="C2439" s="33">
        <v>4994</v>
      </c>
      <c r="D2439" s="33" t="s">
        <v>1282</v>
      </c>
      <c r="E2439" s="35">
        <v>44852</v>
      </c>
      <c r="F2439" s="33">
        <v>4</v>
      </c>
      <c r="G2439" s="33" t="s">
        <v>628</v>
      </c>
      <c r="H2439" s="33" t="s">
        <v>630</v>
      </c>
      <c r="I2439" s="33" t="s">
        <v>75</v>
      </c>
      <c r="J2439" s="34">
        <v>229.28</v>
      </c>
      <c r="K2439" s="34"/>
      <c r="L2439" s="34">
        <v>229.28</v>
      </c>
    </row>
    <row r="2440" spans="2:12" x14ac:dyDescent="0.3">
      <c r="B2440" s="25">
        <v>2450</v>
      </c>
      <c r="C2440" s="33">
        <v>34478</v>
      </c>
      <c r="D2440" s="33" t="s">
        <v>1128</v>
      </c>
      <c r="E2440" s="35">
        <v>44853</v>
      </c>
      <c r="F2440" s="33">
        <v>4</v>
      </c>
      <c r="G2440" s="33" t="s">
        <v>122</v>
      </c>
      <c r="H2440" s="33" t="s">
        <v>72</v>
      </c>
      <c r="I2440" s="33" t="s">
        <v>196</v>
      </c>
      <c r="J2440" s="34">
        <v>63264.9</v>
      </c>
      <c r="K2440" s="34"/>
      <c r="L2440" s="34">
        <v>63264.9</v>
      </c>
    </row>
    <row r="2441" spans="2:12" x14ac:dyDescent="0.3">
      <c r="B2441" s="25">
        <v>2451</v>
      </c>
      <c r="C2441" s="33" t="s">
        <v>1312</v>
      </c>
      <c r="D2441" s="33" t="s">
        <v>477</v>
      </c>
      <c r="E2441" s="35">
        <v>44743</v>
      </c>
      <c r="F2441" s="33">
        <v>3</v>
      </c>
      <c r="G2441" s="33" t="s">
        <v>628</v>
      </c>
      <c r="H2441" s="33" t="s">
        <v>70</v>
      </c>
      <c r="I2441" s="33" t="s">
        <v>75</v>
      </c>
      <c r="J2441" s="34">
        <v>7163.88</v>
      </c>
      <c r="K2441" s="34"/>
      <c r="L2441" s="34">
        <v>7163.88</v>
      </c>
    </row>
    <row r="2442" spans="2:12" x14ac:dyDescent="0.3">
      <c r="B2442" s="25">
        <v>2452</v>
      </c>
      <c r="C2442" s="33" t="s">
        <v>1313</v>
      </c>
      <c r="D2442" s="33" t="s">
        <v>909</v>
      </c>
      <c r="E2442" s="35">
        <v>44771</v>
      </c>
      <c r="F2442" s="33">
        <v>3</v>
      </c>
      <c r="G2442" s="33" t="s">
        <v>122</v>
      </c>
      <c r="H2442" s="33" t="s">
        <v>70</v>
      </c>
      <c r="I2442" s="33" t="s">
        <v>196</v>
      </c>
      <c r="J2442" s="34">
        <v>1615.56</v>
      </c>
      <c r="K2442" s="34">
        <v>75</v>
      </c>
      <c r="L2442" s="34">
        <v>1540.56</v>
      </c>
    </row>
    <row r="2443" spans="2:12" x14ac:dyDescent="0.3">
      <c r="B2443" s="25">
        <v>2453</v>
      </c>
      <c r="C2443" s="33" t="s">
        <v>1314</v>
      </c>
      <c r="D2443" s="33" t="s">
        <v>477</v>
      </c>
      <c r="E2443" s="35">
        <v>44771</v>
      </c>
      <c r="F2443" s="33">
        <v>3</v>
      </c>
      <c r="G2443" s="33" t="s">
        <v>628</v>
      </c>
      <c r="H2443" s="33" t="s">
        <v>70</v>
      </c>
      <c r="I2443" s="33" t="s">
        <v>75</v>
      </c>
      <c r="J2443" s="34">
        <v>18063.189999999999</v>
      </c>
      <c r="K2443" s="34">
        <v>170</v>
      </c>
      <c r="L2443" s="34">
        <v>17893.189999999999</v>
      </c>
    </row>
    <row r="2444" spans="2:12" x14ac:dyDescent="0.3">
      <c r="B2444" s="25">
        <v>2454</v>
      </c>
      <c r="C2444" s="33" t="s">
        <v>1315</v>
      </c>
      <c r="D2444" s="33" t="s">
        <v>582</v>
      </c>
      <c r="E2444" s="35">
        <v>44834</v>
      </c>
      <c r="F2444" s="33">
        <v>3</v>
      </c>
      <c r="G2444" s="33" t="s">
        <v>628</v>
      </c>
      <c r="H2444" s="33" t="s">
        <v>70</v>
      </c>
      <c r="I2444" s="33" t="s">
        <v>75</v>
      </c>
      <c r="J2444" s="34">
        <v>1319.16</v>
      </c>
      <c r="K2444" s="34">
        <v>75</v>
      </c>
      <c r="L2444" s="34">
        <v>1244.1600000000001</v>
      </c>
    </row>
    <row r="2445" spans="2:12" x14ac:dyDescent="0.3">
      <c r="B2445" s="25">
        <v>2455</v>
      </c>
      <c r="C2445" s="33">
        <v>13674</v>
      </c>
      <c r="D2445" s="33" t="s">
        <v>493</v>
      </c>
      <c r="E2445" s="35">
        <v>44837</v>
      </c>
      <c r="F2445" s="33">
        <v>4</v>
      </c>
      <c r="G2445" s="33" t="s">
        <v>122</v>
      </c>
      <c r="H2445" s="33" t="s">
        <v>69</v>
      </c>
      <c r="I2445" s="33" t="s">
        <v>196</v>
      </c>
      <c r="J2445" s="34">
        <v>12645.99</v>
      </c>
      <c r="K2445" s="34"/>
      <c r="L2445" s="34">
        <v>12645.99</v>
      </c>
    </row>
    <row r="2446" spans="2:12" x14ac:dyDescent="0.3">
      <c r="B2446" s="25">
        <v>2456</v>
      </c>
      <c r="C2446" s="33">
        <v>383156</v>
      </c>
      <c r="D2446" s="33" t="s">
        <v>921</v>
      </c>
      <c r="E2446" s="35">
        <v>44859</v>
      </c>
      <c r="F2446" s="33">
        <v>4</v>
      </c>
      <c r="G2446" s="33" t="s">
        <v>122</v>
      </c>
      <c r="H2446" s="33" t="s">
        <v>200</v>
      </c>
      <c r="I2446" s="33" t="s">
        <v>196</v>
      </c>
      <c r="J2446" s="34">
        <v>1288.24</v>
      </c>
      <c r="K2446" s="34"/>
      <c r="L2446" s="34">
        <v>1288.24</v>
      </c>
    </row>
    <row r="2447" spans="2:12" x14ac:dyDescent="0.3">
      <c r="B2447" s="25">
        <v>2457</v>
      </c>
      <c r="C2447" s="33" t="s">
        <v>1316</v>
      </c>
      <c r="D2447" s="33" t="s">
        <v>921</v>
      </c>
      <c r="E2447" s="35">
        <v>44848</v>
      </c>
      <c r="F2447" s="33">
        <v>4</v>
      </c>
      <c r="G2447" s="33" t="s">
        <v>231</v>
      </c>
      <c r="H2447" s="33" t="s">
        <v>200</v>
      </c>
      <c r="I2447" s="33" t="s">
        <v>198</v>
      </c>
      <c r="J2447" s="34">
        <v>1873.79</v>
      </c>
      <c r="K2447" s="34"/>
      <c r="L2447" s="34">
        <v>1873.79</v>
      </c>
    </row>
    <row r="2448" spans="2:12" x14ac:dyDescent="0.3">
      <c r="B2448" s="25">
        <v>2458</v>
      </c>
      <c r="C2448" s="33">
        <v>6575</v>
      </c>
      <c r="D2448" s="33" t="s">
        <v>394</v>
      </c>
      <c r="E2448" s="35">
        <v>44854</v>
      </c>
      <c r="F2448" s="33">
        <v>4</v>
      </c>
      <c r="G2448" s="33" t="s">
        <v>122</v>
      </c>
      <c r="H2448" s="33" t="s">
        <v>201</v>
      </c>
      <c r="I2448" s="33" t="s">
        <v>196</v>
      </c>
      <c r="J2448" s="34">
        <v>1478.4</v>
      </c>
      <c r="K2448" s="34"/>
      <c r="L2448" s="34">
        <v>1478.4</v>
      </c>
    </row>
    <row r="2449" spans="2:12" x14ac:dyDescent="0.3">
      <c r="B2449" s="25">
        <v>2459</v>
      </c>
      <c r="C2449" s="33">
        <v>6579</v>
      </c>
      <c r="D2449" s="33" t="s">
        <v>411</v>
      </c>
      <c r="E2449" s="35">
        <v>44854</v>
      </c>
      <c r="F2449" s="33">
        <v>4</v>
      </c>
      <c r="G2449" s="33" t="s">
        <v>122</v>
      </c>
      <c r="H2449" s="33" t="s">
        <v>201</v>
      </c>
      <c r="I2449" s="33" t="s">
        <v>196</v>
      </c>
      <c r="J2449" s="34">
        <v>3813.96</v>
      </c>
      <c r="K2449" s="34"/>
      <c r="L2449" s="34">
        <v>3813.96</v>
      </c>
    </row>
    <row r="2450" spans="2:12" x14ac:dyDescent="0.3">
      <c r="B2450" s="25">
        <v>2460</v>
      </c>
      <c r="C2450" s="33">
        <v>6580</v>
      </c>
      <c r="D2450" s="33" t="s">
        <v>1317</v>
      </c>
      <c r="E2450" s="35">
        <v>44854</v>
      </c>
      <c r="F2450" s="33">
        <v>4</v>
      </c>
      <c r="G2450" s="33" t="s">
        <v>231</v>
      </c>
      <c r="H2450" s="33" t="s">
        <v>201</v>
      </c>
      <c r="I2450" s="33" t="s">
        <v>198</v>
      </c>
      <c r="J2450" s="34">
        <v>13778.83</v>
      </c>
      <c r="K2450" s="34"/>
      <c r="L2450" s="34">
        <v>13778.83</v>
      </c>
    </row>
    <row r="2451" spans="2:12" x14ac:dyDescent="0.3">
      <c r="B2451" s="25">
        <v>2461</v>
      </c>
      <c r="C2451" s="33">
        <v>6593</v>
      </c>
      <c r="D2451" s="33" t="s">
        <v>473</v>
      </c>
      <c r="E2451" s="35">
        <v>44854</v>
      </c>
      <c r="F2451" s="33">
        <v>4</v>
      </c>
      <c r="G2451" s="33" t="s">
        <v>122</v>
      </c>
      <c r="H2451" s="33" t="s">
        <v>201</v>
      </c>
      <c r="I2451" s="33" t="s">
        <v>196</v>
      </c>
      <c r="J2451" s="34">
        <v>5888.57</v>
      </c>
      <c r="K2451" s="34"/>
      <c r="L2451" s="34">
        <v>5888.57</v>
      </c>
    </row>
    <row r="2452" spans="2:12" x14ac:dyDescent="0.3">
      <c r="B2452" s="25">
        <v>2462</v>
      </c>
      <c r="C2452" s="33">
        <v>34510</v>
      </c>
      <c r="D2452" s="33" t="s">
        <v>394</v>
      </c>
      <c r="E2452" s="35">
        <v>44854</v>
      </c>
      <c r="F2452" s="33">
        <v>4</v>
      </c>
      <c r="G2452" s="33" t="s">
        <v>122</v>
      </c>
      <c r="H2452" s="33" t="s">
        <v>72</v>
      </c>
      <c r="I2452" s="33" t="s">
        <v>196</v>
      </c>
      <c r="J2452" s="34">
        <v>853.8</v>
      </c>
      <c r="K2452" s="34"/>
      <c r="L2452" s="34">
        <v>853.8</v>
      </c>
    </row>
    <row r="2453" spans="2:12" x14ac:dyDescent="0.3">
      <c r="B2453" s="25">
        <v>2463</v>
      </c>
      <c r="C2453" s="33">
        <v>34511</v>
      </c>
      <c r="D2453" s="33" t="s">
        <v>394</v>
      </c>
      <c r="E2453" s="35">
        <v>44854</v>
      </c>
      <c r="F2453" s="33">
        <v>4</v>
      </c>
      <c r="G2453" s="33" t="s">
        <v>122</v>
      </c>
      <c r="H2453" s="33" t="s">
        <v>72</v>
      </c>
      <c r="I2453" s="33" t="s">
        <v>196</v>
      </c>
      <c r="J2453" s="34">
        <v>9701.7000000000007</v>
      </c>
      <c r="K2453" s="34"/>
      <c r="L2453" s="34">
        <v>9701.7000000000007</v>
      </c>
    </row>
    <row r="2454" spans="2:12" x14ac:dyDescent="0.3">
      <c r="B2454" s="25">
        <v>2464</v>
      </c>
      <c r="C2454" s="33">
        <v>34529</v>
      </c>
      <c r="D2454" s="33" t="s">
        <v>1087</v>
      </c>
      <c r="E2454" s="35">
        <v>44854</v>
      </c>
      <c r="F2454" s="33">
        <v>4</v>
      </c>
      <c r="G2454" s="33" t="s">
        <v>122</v>
      </c>
      <c r="H2454" s="33" t="s">
        <v>72</v>
      </c>
      <c r="I2454" s="33" t="s">
        <v>196</v>
      </c>
      <c r="J2454" s="34">
        <v>7623</v>
      </c>
      <c r="K2454" s="34"/>
      <c r="L2454" s="34">
        <v>7623</v>
      </c>
    </row>
    <row r="2455" spans="2:12" x14ac:dyDescent="0.3">
      <c r="B2455" s="25">
        <v>2465</v>
      </c>
      <c r="C2455" s="33">
        <v>34530</v>
      </c>
      <c r="D2455" s="33" t="s">
        <v>1282</v>
      </c>
      <c r="E2455" s="35">
        <v>44854</v>
      </c>
      <c r="F2455" s="33">
        <v>4</v>
      </c>
      <c r="G2455" s="33" t="s">
        <v>628</v>
      </c>
      <c r="H2455" s="33" t="s">
        <v>72</v>
      </c>
      <c r="I2455" s="33" t="s">
        <v>75</v>
      </c>
      <c r="J2455" s="34">
        <v>4440</v>
      </c>
      <c r="K2455" s="34"/>
      <c r="L2455" s="34">
        <v>4440</v>
      </c>
    </row>
    <row r="2456" spans="2:12" x14ac:dyDescent="0.3">
      <c r="B2456" s="25">
        <v>2466</v>
      </c>
      <c r="C2456" s="33">
        <v>34540</v>
      </c>
      <c r="D2456" s="33" t="s">
        <v>394</v>
      </c>
      <c r="E2456" s="35">
        <v>44859</v>
      </c>
      <c r="F2456" s="33">
        <v>4</v>
      </c>
      <c r="G2456" s="33" t="s">
        <v>122</v>
      </c>
      <c r="H2456" s="33" t="s">
        <v>72</v>
      </c>
      <c r="I2456" s="33" t="s">
        <v>196</v>
      </c>
      <c r="J2456" s="34">
        <v>19557.3</v>
      </c>
      <c r="K2456" s="34"/>
      <c r="L2456" s="34">
        <v>19557.3</v>
      </c>
    </row>
    <row r="2457" spans="2:12" x14ac:dyDescent="0.3">
      <c r="B2457" s="25">
        <v>2467</v>
      </c>
      <c r="C2457" s="33">
        <v>34544</v>
      </c>
      <c r="D2457" s="33" t="s">
        <v>394</v>
      </c>
      <c r="E2457" s="35">
        <v>44859</v>
      </c>
      <c r="F2457" s="33">
        <v>4</v>
      </c>
      <c r="G2457" s="33" t="s">
        <v>122</v>
      </c>
      <c r="H2457" s="33" t="s">
        <v>72</v>
      </c>
      <c r="I2457" s="33" t="s">
        <v>196</v>
      </c>
      <c r="J2457" s="34">
        <v>17998.3</v>
      </c>
      <c r="K2457" s="34"/>
      <c r="L2457" s="34">
        <v>17998.3</v>
      </c>
    </row>
    <row r="2458" spans="2:12" x14ac:dyDescent="0.3">
      <c r="B2458" s="25">
        <v>2468</v>
      </c>
      <c r="C2458" s="33">
        <v>4709</v>
      </c>
      <c r="D2458" s="33" t="s">
        <v>1318</v>
      </c>
      <c r="E2458" s="35">
        <v>44865</v>
      </c>
      <c r="F2458" s="33">
        <v>4</v>
      </c>
      <c r="G2458" s="33" t="s">
        <v>122</v>
      </c>
      <c r="H2458" s="33" t="s">
        <v>71</v>
      </c>
      <c r="I2458" s="33" t="s">
        <v>196</v>
      </c>
      <c r="J2458" s="34">
        <v>837.44</v>
      </c>
      <c r="K2458" s="34"/>
      <c r="L2458" s="34">
        <v>837.44</v>
      </c>
    </row>
    <row r="2459" spans="2:12" x14ac:dyDescent="0.3">
      <c r="B2459" s="25">
        <v>2469</v>
      </c>
      <c r="C2459" s="33" t="s">
        <v>1319</v>
      </c>
      <c r="D2459" s="33" t="s">
        <v>1318</v>
      </c>
      <c r="E2459" s="35">
        <v>44861</v>
      </c>
      <c r="F2459" s="33">
        <v>4</v>
      </c>
      <c r="G2459" s="33" t="s">
        <v>231</v>
      </c>
      <c r="H2459" s="33" t="s">
        <v>71</v>
      </c>
      <c r="I2459" s="33" t="s">
        <v>198</v>
      </c>
      <c r="J2459" s="34">
        <v>1239.7</v>
      </c>
      <c r="K2459" s="34"/>
      <c r="L2459" s="34">
        <v>1239.7</v>
      </c>
    </row>
    <row r="2460" spans="2:12" x14ac:dyDescent="0.3">
      <c r="B2460" s="25">
        <v>2470</v>
      </c>
      <c r="C2460" s="33">
        <v>34568</v>
      </c>
      <c r="D2460" s="33" t="s">
        <v>1087</v>
      </c>
      <c r="E2460" s="35">
        <v>44862</v>
      </c>
      <c r="F2460" s="33">
        <v>4</v>
      </c>
      <c r="G2460" s="33" t="s">
        <v>122</v>
      </c>
      <c r="H2460" s="33" t="s">
        <v>72</v>
      </c>
      <c r="I2460" s="33" t="s">
        <v>196</v>
      </c>
      <c r="J2460" s="34">
        <v>705.4</v>
      </c>
      <c r="K2460" s="34"/>
      <c r="L2460" s="34">
        <v>705.4</v>
      </c>
    </row>
    <row r="2461" spans="2:12" x14ac:dyDescent="0.3">
      <c r="B2461" s="25">
        <v>2471</v>
      </c>
      <c r="C2461" s="33">
        <v>34584</v>
      </c>
      <c r="D2461" s="33" t="s">
        <v>394</v>
      </c>
      <c r="E2461" s="35">
        <v>44865</v>
      </c>
      <c r="F2461" s="33">
        <v>4</v>
      </c>
      <c r="G2461" s="33" t="s">
        <v>122</v>
      </c>
      <c r="H2461" s="33" t="s">
        <v>72</v>
      </c>
      <c r="I2461" s="33" t="s">
        <v>196</v>
      </c>
      <c r="J2461" s="34">
        <v>526.79999999999995</v>
      </c>
      <c r="K2461" s="34"/>
      <c r="L2461" s="34">
        <v>526.79999999999995</v>
      </c>
    </row>
    <row r="2462" spans="2:12" x14ac:dyDescent="0.3">
      <c r="B2462" s="25">
        <v>2472</v>
      </c>
      <c r="C2462" s="33">
        <v>34601</v>
      </c>
      <c r="D2462" s="33" t="s">
        <v>1087</v>
      </c>
      <c r="E2462" s="35">
        <v>44867</v>
      </c>
      <c r="F2462" s="33">
        <v>4</v>
      </c>
      <c r="G2462" s="33" t="s">
        <v>122</v>
      </c>
      <c r="H2462" s="33" t="s">
        <v>72</v>
      </c>
      <c r="I2462" s="33" t="s">
        <v>196</v>
      </c>
      <c r="J2462" s="34">
        <v>815.4</v>
      </c>
      <c r="K2462" s="34"/>
      <c r="L2462" s="34">
        <v>815.4</v>
      </c>
    </row>
    <row r="2463" spans="2:12" x14ac:dyDescent="0.3">
      <c r="B2463" s="25">
        <v>2473</v>
      </c>
      <c r="C2463" s="33">
        <v>34656</v>
      </c>
      <c r="D2463" s="33" t="s">
        <v>687</v>
      </c>
      <c r="E2463" s="35">
        <v>44873</v>
      </c>
      <c r="F2463" s="33">
        <v>4</v>
      </c>
      <c r="G2463" s="33" t="s">
        <v>122</v>
      </c>
      <c r="H2463" s="33" t="s">
        <v>72</v>
      </c>
      <c r="I2463" s="33" t="s">
        <v>196</v>
      </c>
      <c r="J2463" s="34">
        <v>3601.4</v>
      </c>
      <c r="K2463" s="34"/>
      <c r="L2463" s="34">
        <v>3601.4</v>
      </c>
    </row>
    <row r="2464" spans="2:12" x14ac:dyDescent="0.3">
      <c r="B2464" s="25">
        <v>2474</v>
      </c>
      <c r="C2464" s="33">
        <v>34655</v>
      </c>
      <c r="D2464" s="33" t="s">
        <v>394</v>
      </c>
      <c r="E2464" s="35">
        <v>44873</v>
      </c>
      <c r="F2464" s="33">
        <v>4</v>
      </c>
      <c r="G2464" s="33" t="s">
        <v>122</v>
      </c>
      <c r="H2464" s="33" t="s">
        <v>72</v>
      </c>
      <c r="I2464" s="33" t="s">
        <v>196</v>
      </c>
      <c r="J2464" s="34">
        <v>11033</v>
      </c>
      <c r="K2464" s="34"/>
      <c r="L2464" s="34">
        <v>11033</v>
      </c>
    </row>
    <row r="2465" spans="2:12" x14ac:dyDescent="0.3">
      <c r="B2465" s="25">
        <v>2475</v>
      </c>
      <c r="C2465" s="33">
        <v>6831</v>
      </c>
      <c r="D2465" s="33" t="s">
        <v>554</v>
      </c>
      <c r="E2465" s="35">
        <v>44861</v>
      </c>
      <c r="F2465" s="33">
        <v>4</v>
      </c>
      <c r="G2465" s="33" t="s">
        <v>124</v>
      </c>
      <c r="H2465" s="33" t="s">
        <v>201</v>
      </c>
      <c r="I2465" s="33" t="s">
        <v>197</v>
      </c>
      <c r="J2465" s="34">
        <v>1222.0999999999999</v>
      </c>
      <c r="K2465" s="34"/>
      <c r="L2465" s="34">
        <v>1222.0999999999999</v>
      </c>
    </row>
    <row r="2466" spans="2:12" x14ac:dyDescent="0.3">
      <c r="B2466" s="25">
        <v>2476</v>
      </c>
      <c r="C2466" s="33">
        <v>6833</v>
      </c>
      <c r="D2466" s="33" t="s">
        <v>394</v>
      </c>
      <c r="E2466" s="35">
        <v>44861</v>
      </c>
      <c r="F2466" s="33">
        <v>4</v>
      </c>
      <c r="G2466" s="33" t="s">
        <v>122</v>
      </c>
      <c r="H2466" s="33" t="s">
        <v>201</v>
      </c>
      <c r="I2466" s="33" t="s">
        <v>196</v>
      </c>
      <c r="J2466" s="34">
        <v>1048.8900000000001</v>
      </c>
      <c r="K2466" s="34"/>
      <c r="L2466" s="34">
        <v>1048.8900000000001</v>
      </c>
    </row>
    <row r="2467" spans="2:12" x14ac:dyDescent="0.3">
      <c r="B2467" s="25">
        <v>2477</v>
      </c>
      <c r="C2467" s="33">
        <v>6835</v>
      </c>
      <c r="D2467" s="33" t="s">
        <v>594</v>
      </c>
      <c r="E2467" s="35">
        <v>44861</v>
      </c>
      <c r="F2467" s="33">
        <v>4</v>
      </c>
      <c r="G2467" s="33" t="s">
        <v>628</v>
      </c>
      <c r="H2467" s="33" t="s">
        <v>201</v>
      </c>
      <c r="I2467" s="33" t="s">
        <v>75</v>
      </c>
      <c r="J2467" s="34">
        <v>1276</v>
      </c>
      <c r="K2467" s="34"/>
      <c r="L2467" s="34">
        <v>1276</v>
      </c>
    </row>
    <row r="2468" spans="2:12" x14ac:dyDescent="0.3">
      <c r="B2468" s="25">
        <v>2478</v>
      </c>
      <c r="C2468" s="33">
        <v>6837</v>
      </c>
      <c r="D2468" s="33" t="s">
        <v>473</v>
      </c>
      <c r="E2468" s="35">
        <v>44861</v>
      </c>
      <c r="F2468" s="33">
        <v>4</v>
      </c>
      <c r="G2468" s="33" t="s">
        <v>122</v>
      </c>
      <c r="H2468" s="33" t="s">
        <v>201</v>
      </c>
      <c r="I2468" s="33" t="s">
        <v>196</v>
      </c>
      <c r="J2468" s="34">
        <v>2268.38</v>
      </c>
      <c r="K2468" s="34"/>
      <c r="L2468" s="34">
        <v>2268.38</v>
      </c>
    </row>
    <row r="2469" spans="2:12" x14ac:dyDescent="0.3">
      <c r="B2469" s="25">
        <v>2479</v>
      </c>
      <c r="C2469" s="33">
        <v>6839</v>
      </c>
      <c r="D2469" s="33" t="s">
        <v>852</v>
      </c>
      <c r="E2469" s="35">
        <v>44861</v>
      </c>
      <c r="F2469" s="33">
        <v>4</v>
      </c>
      <c r="G2469" s="33" t="s">
        <v>124</v>
      </c>
      <c r="H2469" s="33" t="s">
        <v>201</v>
      </c>
      <c r="I2469" s="33" t="s">
        <v>197</v>
      </c>
      <c r="J2469" s="34">
        <v>143.55000000000001</v>
      </c>
      <c r="K2469" s="34"/>
      <c r="L2469" s="34">
        <v>143.55000000000001</v>
      </c>
    </row>
    <row r="2470" spans="2:12" x14ac:dyDescent="0.3">
      <c r="B2470" s="25">
        <v>2480</v>
      </c>
      <c r="C2470" s="33">
        <v>6840</v>
      </c>
      <c r="D2470" s="33" t="s">
        <v>852</v>
      </c>
      <c r="E2470" s="35">
        <v>44861</v>
      </c>
      <c r="F2470" s="33">
        <v>4</v>
      </c>
      <c r="G2470" s="33" t="s">
        <v>124</v>
      </c>
      <c r="H2470" s="33" t="s">
        <v>201</v>
      </c>
      <c r="I2470" s="33" t="s">
        <v>197</v>
      </c>
      <c r="J2470" s="34">
        <v>4420.24</v>
      </c>
      <c r="K2470" s="34"/>
      <c r="L2470" s="34">
        <v>4420.24</v>
      </c>
    </row>
    <row r="2471" spans="2:12" x14ac:dyDescent="0.3">
      <c r="B2471" s="25">
        <v>2481</v>
      </c>
      <c r="C2471" s="33">
        <v>6841</v>
      </c>
      <c r="D2471" s="33" t="s">
        <v>852</v>
      </c>
      <c r="E2471" s="35">
        <v>44861</v>
      </c>
      <c r="F2471" s="33">
        <v>4</v>
      </c>
      <c r="G2471" s="33" t="s">
        <v>124</v>
      </c>
      <c r="H2471" s="33" t="s">
        <v>201</v>
      </c>
      <c r="I2471" s="33" t="s">
        <v>197</v>
      </c>
      <c r="J2471" s="34">
        <v>788.48</v>
      </c>
      <c r="K2471" s="34"/>
      <c r="L2471" s="34">
        <v>788.48</v>
      </c>
    </row>
    <row r="2472" spans="2:12" x14ac:dyDescent="0.3">
      <c r="B2472" s="25">
        <v>2482</v>
      </c>
      <c r="C2472" s="33">
        <v>6842</v>
      </c>
      <c r="D2472" s="33" t="s">
        <v>584</v>
      </c>
      <c r="E2472" s="35">
        <v>44861</v>
      </c>
      <c r="F2472" s="33">
        <v>4</v>
      </c>
      <c r="G2472" s="33" t="s">
        <v>122</v>
      </c>
      <c r="H2472" s="33" t="s">
        <v>201</v>
      </c>
      <c r="I2472" s="33" t="s">
        <v>196</v>
      </c>
      <c r="J2472" s="34">
        <v>948.02</v>
      </c>
      <c r="K2472" s="34"/>
      <c r="L2472" s="34">
        <v>948.02</v>
      </c>
    </row>
    <row r="2473" spans="2:12" x14ac:dyDescent="0.3">
      <c r="B2473" s="25">
        <v>2483</v>
      </c>
      <c r="C2473" s="33">
        <v>6843</v>
      </c>
      <c r="D2473" s="33" t="s">
        <v>584</v>
      </c>
      <c r="E2473" s="35">
        <v>44861</v>
      </c>
      <c r="F2473" s="33">
        <v>4</v>
      </c>
      <c r="G2473" s="33" t="s">
        <v>122</v>
      </c>
      <c r="H2473" s="33" t="s">
        <v>201</v>
      </c>
      <c r="I2473" s="33" t="s">
        <v>196</v>
      </c>
      <c r="J2473" s="34">
        <v>664.93</v>
      </c>
      <c r="K2473" s="34"/>
      <c r="L2473" s="34">
        <v>664.93</v>
      </c>
    </row>
    <row r="2474" spans="2:12" x14ac:dyDescent="0.3">
      <c r="B2474" s="25">
        <v>2484</v>
      </c>
      <c r="C2474" s="33">
        <v>6844</v>
      </c>
      <c r="D2474" s="33" t="s">
        <v>584</v>
      </c>
      <c r="E2474" s="35">
        <v>44861</v>
      </c>
      <c r="F2474" s="33">
        <v>4</v>
      </c>
      <c r="G2474" s="33" t="s">
        <v>122</v>
      </c>
      <c r="H2474" s="33" t="s">
        <v>201</v>
      </c>
      <c r="I2474" s="33" t="s">
        <v>196</v>
      </c>
      <c r="J2474" s="34">
        <v>6625.87</v>
      </c>
      <c r="K2474" s="34"/>
      <c r="L2474" s="34">
        <v>6625.87</v>
      </c>
    </row>
    <row r="2475" spans="2:12" x14ac:dyDescent="0.3">
      <c r="B2475" s="25">
        <v>2485</v>
      </c>
      <c r="C2475" s="33">
        <v>6848</v>
      </c>
      <c r="D2475" s="33" t="s">
        <v>403</v>
      </c>
      <c r="E2475" s="35">
        <v>44861</v>
      </c>
      <c r="F2475" s="33">
        <v>4</v>
      </c>
      <c r="G2475" s="33" t="s">
        <v>122</v>
      </c>
      <c r="H2475" s="33" t="s">
        <v>201</v>
      </c>
      <c r="I2475" s="33" t="s">
        <v>196</v>
      </c>
      <c r="J2475" s="34">
        <v>165</v>
      </c>
      <c r="K2475" s="34"/>
      <c r="L2475" s="34">
        <v>165</v>
      </c>
    </row>
    <row r="2476" spans="2:12" x14ac:dyDescent="0.3">
      <c r="B2476" s="25">
        <v>2486</v>
      </c>
      <c r="C2476" s="33">
        <v>6850</v>
      </c>
      <c r="D2476" s="33" t="s">
        <v>677</v>
      </c>
      <c r="E2476" s="35">
        <v>44861</v>
      </c>
      <c r="F2476" s="33">
        <v>4</v>
      </c>
      <c r="G2476" s="33" t="s">
        <v>124</v>
      </c>
      <c r="H2476" s="33" t="s">
        <v>201</v>
      </c>
      <c r="I2476" s="33" t="s">
        <v>197</v>
      </c>
      <c r="J2476" s="34">
        <v>3223.82</v>
      </c>
      <c r="K2476" s="34"/>
      <c r="L2476" s="34">
        <v>3223.82</v>
      </c>
    </row>
    <row r="2477" spans="2:12" x14ac:dyDescent="0.3">
      <c r="B2477" s="25">
        <v>2487</v>
      </c>
      <c r="C2477" s="33">
        <v>4300</v>
      </c>
      <c r="D2477" s="33" t="s">
        <v>1071</v>
      </c>
      <c r="E2477" s="35">
        <v>44837</v>
      </c>
      <c r="F2477" s="33">
        <v>4</v>
      </c>
      <c r="G2477" s="33" t="s">
        <v>628</v>
      </c>
      <c r="H2477" s="33" t="s">
        <v>71</v>
      </c>
      <c r="I2477" s="33" t="s">
        <v>75</v>
      </c>
      <c r="J2477" s="34">
        <v>652.75</v>
      </c>
      <c r="K2477" s="34">
        <v>80</v>
      </c>
      <c r="L2477" s="34">
        <v>572.75</v>
      </c>
    </row>
    <row r="2478" spans="2:12" x14ac:dyDescent="0.3">
      <c r="B2478" s="25">
        <v>2488</v>
      </c>
      <c r="C2478" s="33">
        <v>4308</v>
      </c>
      <c r="D2478" s="33" t="s">
        <v>654</v>
      </c>
      <c r="E2478" s="35">
        <v>44838</v>
      </c>
      <c r="F2478" s="33">
        <v>4</v>
      </c>
      <c r="G2478" s="33" t="s">
        <v>628</v>
      </c>
      <c r="H2478" s="33" t="s">
        <v>71</v>
      </c>
      <c r="I2478" s="33" t="s">
        <v>75</v>
      </c>
      <c r="J2478" s="34">
        <v>548.98</v>
      </c>
      <c r="K2478" s="34">
        <v>80</v>
      </c>
      <c r="L2478" s="34">
        <v>468.98</v>
      </c>
    </row>
    <row r="2479" spans="2:12" x14ac:dyDescent="0.3">
      <c r="B2479" s="25">
        <v>2489</v>
      </c>
      <c r="C2479" s="33">
        <v>4345</v>
      </c>
      <c r="D2479" s="33" t="s">
        <v>277</v>
      </c>
      <c r="E2479" s="35">
        <v>44840</v>
      </c>
      <c r="F2479" s="33">
        <v>4</v>
      </c>
      <c r="G2479" s="33" t="s">
        <v>124</v>
      </c>
      <c r="H2479" s="33" t="s">
        <v>71</v>
      </c>
      <c r="I2479" s="33" t="s">
        <v>197</v>
      </c>
      <c r="J2479" s="34">
        <v>876.38</v>
      </c>
      <c r="K2479" s="34"/>
      <c r="L2479" s="34">
        <v>876.38</v>
      </c>
    </row>
    <row r="2480" spans="2:12" x14ac:dyDescent="0.3">
      <c r="B2480" s="25">
        <v>2490</v>
      </c>
      <c r="C2480" s="33">
        <v>4363</v>
      </c>
      <c r="D2480" s="33" t="s">
        <v>426</v>
      </c>
      <c r="E2480" s="35">
        <v>44840</v>
      </c>
      <c r="F2480" s="33">
        <v>4</v>
      </c>
      <c r="G2480" s="33" t="s">
        <v>628</v>
      </c>
      <c r="H2480" s="33" t="s">
        <v>71</v>
      </c>
      <c r="I2480" s="33" t="s">
        <v>75</v>
      </c>
      <c r="J2480" s="34">
        <v>1476.48</v>
      </c>
      <c r="K2480" s="34"/>
      <c r="L2480" s="34">
        <v>1476.48</v>
      </c>
    </row>
    <row r="2481" spans="2:12" x14ac:dyDescent="0.3">
      <c r="B2481" s="25">
        <v>2491</v>
      </c>
      <c r="C2481" s="33">
        <v>4448</v>
      </c>
      <c r="D2481" s="33" t="s">
        <v>387</v>
      </c>
      <c r="E2481" s="35">
        <v>44851</v>
      </c>
      <c r="F2481" s="33">
        <v>4</v>
      </c>
      <c r="G2481" s="33" t="s">
        <v>124</v>
      </c>
      <c r="H2481" s="33" t="s">
        <v>71</v>
      </c>
      <c r="I2481" s="33" t="s">
        <v>197</v>
      </c>
      <c r="J2481" s="34">
        <v>1164.33</v>
      </c>
      <c r="K2481" s="34"/>
      <c r="L2481" s="34">
        <v>1164.33</v>
      </c>
    </row>
    <row r="2482" spans="2:12" x14ac:dyDescent="0.3">
      <c r="B2482" s="25">
        <v>2492</v>
      </c>
      <c r="C2482" s="33">
        <v>4517</v>
      </c>
      <c r="D2482" s="33" t="s">
        <v>1071</v>
      </c>
      <c r="E2482" s="35">
        <v>44853</v>
      </c>
      <c r="F2482" s="33">
        <v>4</v>
      </c>
      <c r="G2482" s="33" t="s">
        <v>628</v>
      </c>
      <c r="H2482" s="33" t="s">
        <v>71</v>
      </c>
      <c r="I2482" s="33" t="s">
        <v>75</v>
      </c>
      <c r="J2482" s="34">
        <v>773.84</v>
      </c>
      <c r="K2482" s="34">
        <v>80</v>
      </c>
      <c r="L2482" s="34">
        <v>693.84</v>
      </c>
    </row>
    <row r="2483" spans="2:12" x14ac:dyDescent="0.3">
      <c r="B2483" s="25">
        <v>2493</v>
      </c>
      <c r="C2483" s="33" t="s">
        <v>1320</v>
      </c>
      <c r="D2483" s="33" t="s">
        <v>376</v>
      </c>
      <c r="E2483" s="35">
        <v>44858</v>
      </c>
      <c r="F2483" s="33">
        <v>4</v>
      </c>
      <c r="G2483" s="33" t="s">
        <v>124</v>
      </c>
      <c r="H2483" s="33" t="s">
        <v>71</v>
      </c>
      <c r="I2483" s="33" t="s">
        <v>197</v>
      </c>
      <c r="J2483" s="34">
        <v>679.1</v>
      </c>
      <c r="K2483" s="34">
        <v>80</v>
      </c>
      <c r="L2483" s="34">
        <v>599.1</v>
      </c>
    </row>
    <row r="2484" spans="2:12" x14ac:dyDescent="0.3">
      <c r="B2484" s="25">
        <v>2494</v>
      </c>
      <c r="C2484" s="33" t="s">
        <v>1321</v>
      </c>
      <c r="D2484" s="33" t="s">
        <v>401</v>
      </c>
      <c r="E2484" s="35">
        <v>44859</v>
      </c>
      <c r="F2484" s="33">
        <v>4</v>
      </c>
      <c r="G2484" s="33" t="s">
        <v>231</v>
      </c>
      <c r="H2484" s="33" t="s">
        <v>71</v>
      </c>
      <c r="I2484" s="33" t="s">
        <v>198</v>
      </c>
      <c r="J2484" s="34">
        <v>802.15</v>
      </c>
      <c r="K2484" s="34">
        <v>80</v>
      </c>
      <c r="L2484" s="34">
        <v>722.15</v>
      </c>
    </row>
    <row r="2485" spans="2:12" x14ac:dyDescent="0.3">
      <c r="B2485" s="25">
        <v>2495</v>
      </c>
      <c r="C2485" s="33">
        <v>4682</v>
      </c>
      <c r="D2485" s="33" t="s">
        <v>1012</v>
      </c>
      <c r="E2485" s="35">
        <v>44861</v>
      </c>
      <c r="F2485" s="33">
        <v>4</v>
      </c>
      <c r="G2485" s="33" t="s">
        <v>628</v>
      </c>
      <c r="H2485" s="33" t="s">
        <v>71</v>
      </c>
      <c r="I2485" s="33" t="s">
        <v>75</v>
      </c>
      <c r="J2485" s="34">
        <v>718.82</v>
      </c>
      <c r="K2485" s="34">
        <v>80</v>
      </c>
      <c r="L2485" s="34">
        <v>638.82000000000005</v>
      </c>
    </row>
    <row r="2486" spans="2:12" x14ac:dyDescent="0.3">
      <c r="B2486" s="25">
        <v>2496</v>
      </c>
      <c r="C2486" s="33" t="s">
        <v>1322</v>
      </c>
      <c r="D2486" s="33" t="s">
        <v>1323</v>
      </c>
      <c r="E2486" s="35">
        <v>44879</v>
      </c>
      <c r="F2486" s="33">
        <v>4</v>
      </c>
      <c r="G2486" s="33" t="s">
        <v>231</v>
      </c>
      <c r="H2486" s="33" t="s">
        <v>71</v>
      </c>
      <c r="I2486" s="33" t="s">
        <v>198</v>
      </c>
      <c r="J2486" s="34">
        <v>931.76</v>
      </c>
      <c r="K2486" s="34"/>
      <c r="L2486" s="34">
        <v>931.76</v>
      </c>
    </row>
    <row r="2487" spans="2:12" x14ac:dyDescent="0.3">
      <c r="B2487" s="25">
        <v>2497</v>
      </c>
      <c r="C2487" s="33">
        <v>4784</v>
      </c>
      <c r="D2487" s="33" t="s">
        <v>1323</v>
      </c>
      <c r="E2487" s="35">
        <v>44873</v>
      </c>
      <c r="F2487" s="33">
        <v>4</v>
      </c>
      <c r="G2487" s="33" t="s">
        <v>122</v>
      </c>
      <c r="H2487" s="33" t="s">
        <v>71</v>
      </c>
      <c r="I2487" s="33" t="s">
        <v>196</v>
      </c>
      <c r="J2487" s="34">
        <v>636.30999999999995</v>
      </c>
      <c r="K2487" s="34"/>
      <c r="L2487" s="34">
        <v>636.30999999999995</v>
      </c>
    </row>
    <row r="2488" spans="2:12" x14ac:dyDescent="0.3">
      <c r="B2488" s="25">
        <v>2498</v>
      </c>
      <c r="C2488" s="33">
        <v>34663</v>
      </c>
      <c r="D2488" s="33" t="s">
        <v>1324</v>
      </c>
      <c r="E2488" s="35">
        <v>44874</v>
      </c>
      <c r="F2488" s="33">
        <v>4</v>
      </c>
      <c r="G2488" s="33" t="s">
        <v>124</v>
      </c>
      <c r="H2488" s="33" t="s">
        <v>72</v>
      </c>
      <c r="I2488" s="33" t="s">
        <v>197</v>
      </c>
      <c r="J2488" s="34">
        <v>1427</v>
      </c>
      <c r="K2488" s="34"/>
      <c r="L2488" s="34">
        <v>1427</v>
      </c>
    </row>
    <row r="2489" spans="2:12" x14ac:dyDescent="0.3">
      <c r="B2489" s="25">
        <v>2499</v>
      </c>
      <c r="C2489" s="33">
        <v>34698</v>
      </c>
      <c r="D2489" s="33" t="s">
        <v>687</v>
      </c>
      <c r="E2489" s="35">
        <v>44881</v>
      </c>
      <c r="F2489" s="33">
        <v>4</v>
      </c>
      <c r="G2489" s="33" t="s">
        <v>122</v>
      </c>
      <c r="H2489" s="33" t="s">
        <v>72</v>
      </c>
      <c r="I2489" s="33" t="s">
        <v>196</v>
      </c>
      <c r="J2489" s="34">
        <v>6136.9</v>
      </c>
      <c r="K2489" s="34"/>
      <c r="L2489" s="34">
        <v>6136.9</v>
      </c>
    </row>
    <row r="2490" spans="2:12" x14ac:dyDescent="0.3">
      <c r="B2490" s="25">
        <v>2500</v>
      </c>
      <c r="C2490" s="33">
        <v>34701</v>
      </c>
      <c r="D2490" s="33" t="s">
        <v>371</v>
      </c>
      <c r="E2490" s="35">
        <v>44881</v>
      </c>
      <c r="F2490" s="33">
        <v>4</v>
      </c>
      <c r="G2490" s="33" t="s">
        <v>124</v>
      </c>
      <c r="H2490" s="33" t="s">
        <v>72</v>
      </c>
      <c r="I2490" s="33" t="s">
        <v>197</v>
      </c>
      <c r="J2490" s="34">
        <v>411.4</v>
      </c>
      <c r="K2490" s="34"/>
      <c r="L2490" s="34">
        <v>411.4</v>
      </c>
    </row>
    <row r="2491" spans="2:12" x14ac:dyDescent="0.3">
      <c r="B2491" s="25">
        <v>2501</v>
      </c>
      <c r="C2491" s="33">
        <v>7018</v>
      </c>
      <c r="D2491" s="33" t="s">
        <v>463</v>
      </c>
      <c r="E2491" s="35">
        <v>44868</v>
      </c>
      <c r="F2491" s="33">
        <v>4</v>
      </c>
      <c r="G2491" s="33" t="s">
        <v>122</v>
      </c>
      <c r="H2491" s="33" t="s">
        <v>201</v>
      </c>
      <c r="I2491" s="33" t="s">
        <v>196</v>
      </c>
      <c r="J2491" s="34">
        <v>1762.8</v>
      </c>
      <c r="K2491" s="34"/>
      <c r="L2491" s="34">
        <v>1762.8</v>
      </c>
    </row>
    <row r="2492" spans="2:12" x14ac:dyDescent="0.3">
      <c r="B2492" s="25">
        <v>2502</v>
      </c>
      <c r="C2492" s="33" t="s">
        <v>1325</v>
      </c>
      <c r="D2492" s="33" t="s">
        <v>1326</v>
      </c>
      <c r="E2492" s="35">
        <v>44868</v>
      </c>
      <c r="F2492" s="33">
        <v>4</v>
      </c>
      <c r="G2492" s="33" t="s">
        <v>628</v>
      </c>
      <c r="H2492" s="33" t="s">
        <v>201</v>
      </c>
      <c r="I2492" s="33" t="s">
        <v>75</v>
      </c>
      <c r="J2492" s="34">
        <v>8280.2199999999993</v>
      </c>
      <c r="K2492" s="34"/>
      <c r="L2492" s="34">
        <v>8280.2199999999993</v>
      </c>
    </row>
    <row r="2493" spans="2:12" x14ac:dyDescent="0.3">
      <c r="B2493" s="25">
        <v>2503</v>
      </c>
      <c r="C2493" s="33">
        <v>7020</v>
      </c>
      <c r="D2493" s="33" t="s">
        <v>580</v>
      </c>
      <c r="E2493" s="35">
        <v>44868</v>
      </c>
      <c r="F2493" s="33">
        <v>4</v>
      </c>
      <c r="G2493" s="33" t="s">
        <v>124</v>
      </c>
      <c r="H2493" s="33" t="s">
        <v>201</v>
      </c>
      <c r="I2493" s="33" t="s">
        <v>197</v>
      </c>
      <c r="J2493" s="34">
        <v>2283.6</v>
      </c>
      <c r="K2493" s="34"/>
      <c r="L2493" s="34">
        <v>2283.6</v>
      </c>
    </row>
    <row r="2494" spans="2:12" x14ac:dyDescent="0.3">
      <c r="B2494" s="25">
        <v>2504</v>
      </c>
      <c r="C2494" s="33">
        <v>7021</v>
      </c>
      <c r="D2494" s="33" t="s">
        <v>473</v>
      </c>
      <c r="E2494" s="35">
        <v>44868</v>
      </c>
      <c r="F2494" s="33">
        <v>4</v>
      </c>
      <c r="G2494" s="33" t="s">
        <v>122</v>
      </c>
      <c r="H2494" s="33" t="s">
        <v>201</v>
      </c>
      <c r="I2494" s="33" t="s">
        <v>196</v>
      </c>
      <c r="J2494" s="34">
        <v>3456.33</v>
      </c>
      <c r="K2494" s="34"/>
      <c r="L2494" s="34">
        <v>3456.33</v>
      </c>
    </row>
    <row r="2495" spans="2:12" x14ac:dyDescent="0.3">
      <c r="B2495" s="25">
        <v>2505</v>
      </c>
      <c r="C2495" s="33">
        <v>7023</v>
      </c>
      <c r="D2495" s="33" t="s">
        <v>411</v>
      </c>
      <c r="E2495" s="35">
        <v>44868</v>
      </c>
      <c r="F2495" s="33">
        <v>4</v>
      </c>
      <c r="G2495" s="33" t="s">
        <v>122</v>
      </c>
      <c r="H2495" s="33" t="s">
        <v>201</v>
      </c>
      <c r="I2495" s="33" t="s">
        <v>196</v>
      </c>
      <c r="J2495" s="34">
        <v>2232.6999999999998</v>
      </c>
      <c r="K2495" s="34"/>
      <c r="L2495" s="34">
        <v>2232.6999999999998</v>
      </c>
    </row>
    <row r="2496" spans="2:12" x14ac:dyDescent="0.3">
      <c r="B2496" s="25">
        <v>2506</v>
      </c>
      <c r="C2496" s="33">
        <v>5083</v>
      </c>
      <c r="D2496" s="33" t="s">
        <v>1327</v>
      </c>
      <c r="E2496" s="35">
        <v>44886</v>
      </c>
      <c r="F2496" s="33">
        <v>4</v>
      </c>
      <c r="G2496" s="33" t="s">
        <v>122</v>
      </c>
      <c r="H2496" s="33" t="s">
        <v>630</v>
      </c>
      <c r="I2496" s="33" t="s">
        <v>196</v>
      </c>
      <c r="J2496" s="34">
        <v>1599.2</v>
      </c>
      <c r="K2496" s="34"/>
      <c r="L2496" s="34">
        <v>1599.2</v>
      </c>
    </row>
    <row r="2497" spans="2:12" x14ac:dyDescent="0.3">
      <c r="B2497" s="25">
        <v>2507</v>
      </c>
      <c r="C2497" s="33" t="s">
        <v>1328</v>
      </c>
      <c r="D2497" s="33" t="s">
        <v>405</v>
      </c>
      <c r="E2497" s="35">
        <v>44840</v>
      </c>
      <c r="F2497" s="33">
        <v>4</v>
      </c>
      <c r="G2497" s="33" t="s">
        <v>122</v>
      </c>
      <c r="H2497" s="33" t="s">
        <v>69</v>
      </c>
      <c r="I2497" s="33" t="s">
        <v>196</v>
      </c>
      <c r="J2497" s="34">
        <v>1138.5</v>
      </c>
      <c r="K2497" s="34"/>
      <c r="L2497" s="34">
        <v>1138.5</v>
      </c>
    </row>
    <row r="2498" spans="2:12" x14ac:dyDescent="0.3">
      <c r="B2498" s="25">
        <v>2508</v>
      </c>
      <c r="C2498" s="33">
        <v>54510</v>
      </c>
      <c r="D2498" s="33" t="s">
        <v>412</v>
      </c>
      <c r="E2498" s="35">
        <v>44840</v>
      </c>
      <c r="F2498" s="33">
        <v>4</v>
      </c>
      <c r="G2498" s="33" t="s">
        <v>231</v>
      </c>
      <c r="H2498" s="33" t="s">
        <v>69</v>
      </c>
      <c r="I2498" s="33" t="s">
        <v>198</v>
      </c>
      <c r="J2498" s="34">
        <v>641</v>
      </c>
      <c r="K2498" s="34"/>
      <c r="L2498" s="34">
        <v>641</v>
      </c>
    </row>
    <row r="2499" spans="2:12" x14ac:dyDescent="0.3">
      <c r="B2499" s="25">
        <v>2509</v>
      </c>
      <c r="C2499" s="33">
        <v>54512</v>
      </c>
      <c r="D2499" s="33" t="s">
        <v>493</v>
      </c>
      <c r="E2499" s="35">
        <v>44840</v>
      </c>
      <c r="F2499" s="33">
        <v>4</v>
      </c>
      <c r="G2499" s="33" t="s">
        <v>122</v>
      </c>
      <c r="H2499" s="33" t="s">
        <v>69</v>
      </c>
      <c r="I2499" s="33" t="s">
        <v>196</v>
      </c>
      <c r="J2499" s="34">
        <v>355.5</v>
      </c>
      <c r="K2499" s="34"/>
      <c r="L2499" s="34">
        <v>355.5</v>
      </c>
    </row>
    <row r="2500" spans="2:12" x14ac:dyDescent="0.3">
      <c r="B2500" s="25">
        <v>2510</v>
      </c>
      <c r="C2500" s="33">
        <v>54566</v>
      </c>
      <c r="D2500" s="33" t="s">
        <v>416</v>
      </c>
      <c r="E2500" s="35">
        <v>44841</v>
      </c>
      <c r="F2500" s="33">
        <v>4</v>
      </c>
      <c r="G2500" s="33" t="s">
        <v>231</v>
      </c>
      <c r="H2500" s="33" t="s">
        <v>69</v>
      </c>
      <c r="I2500" s="33" t="s">
        <v>198</v>
      </c>
      <c r="J2500" s="34">
        <v>1244</v>
      </c>
      <c r="K2500" s="34"/>
      <c r="L2500" s="34">
        <v>1244</v>
      </c>
    </row>
    <row r="2501" spans="2:12" x14ac:dyDescent="0.3">
      <c r="B2501" s="25">
        <v>2511</v>
      </c>
      <c r="C2501" s="33">
        <v>54646</v>
      </c>
      <c r="D2501" s="33" t="s">
        <v>411</v>
      </c>
      <c r="E2501" s="35">
        <v>44847</v>
      </c>
      <c r="F2501" s="33">
        <v>4</v>
      </c>
      <c r="G2501" s="33" t="s">
        <v>122</v>
      </c>
      <c r="H2501" s="33" t="s">
        <v>69</v>
      </c>
      <c r="I2501" s="33" t="s">
        <v>196</v>
      </c>
      <c r="J2501" s="34">
        <v>4576.04</v>
      </c>
      <c r="K2501" s="34"/>
      <c r="L2501" s="34">
        <v>4576.04</v>
      </c>
    </row>
    <row r="2502" spans="2:12" x14ac:dyDescent="0.3">
      <c r="B2502" s="25">
        <v>2512</v>
      </c>
      <c r="C2502" s="33">
        <v>54648</v>
      </c>
      <c r="D2502" s="33" t="s">
        <v>415</v>
      </c>
      <c r="E2502" s="35">
        <v>44847</v>
      </c>
      <c r="F2502" s="33">
        <v>4</v>
      </c>
      <c r="G2502" s="33" t="s">
        <v>122</v>
      </c>
      <c r="H2502" s="33" t="s">
        <v>69</v>
      </c>
      <c r="I2502" s="33" t="s">
        <v>196</v>
      </c>
      <c r="J2502" s="34">
        <v>4093.51</v>
      </c>
      <c r="K2502" s="34"/>
      <c r="L2502" s="34">
        <v>4093.51</v>
      </c>
    </row>
    <row r="2503" spans="2:12" x14ac:dyDescent="0.3">
      <c r="B2503" s="25">
        <v>2513</v>
      </c>
      <c r="C2503" s="33">
        <v>54649</v>
      </c>
      <c r="D2503" s="33" t="s">
        <v>1329</v>
      </c>
      <c r="E2503" s="35">
        <v>44847</v>
      </c>
      <c r="F2503" s="33">
        <v>4</v>
      </c>
      <c r="G2503" s="33" t="s">
        <v>124</v>
      </c>
      <c r="H2503" s="33" t="s">
        <v>69</v>
      </c>
      <c r="I2503" s="33" t="s">
        <v>197</v>
      </c>
      <c r="J2503" s="34">
        <v>1230</v>
      </c>
      <c r="K2503" s="34"/>
      <c r="L2503" s="34">
        <v>1230</v>
      </c>
    </row>
    <row r="2504" spans="2:12" x14ac:dyDescent="0.3">
      <c r="B2504" s="25">
        <v>2514</v>
      </c>
      <c r="C2504" s="33">
        <v>54651</v>
      </c>
      <c r="D2504" s="33" t="s">
        <v>281</v>
      </c>
      <c r="E2504" s="35">
        <v>44847</v>
      </c>
      <c r="F2504" s="33">
        <v>4</v>
      </c>
      <c r="G2504" s="33" t="s">
        <v>124</v>
      </c>
      <c r="H2504" s="33" t="s">
        <v>69</v>
      </c>
      <c r="I2504" s="33" t="s">
        <v>197</v>
      </c>
      <c r="J2504" s="34">
        <v>3273.5</v>
      </c>
      <c r="K2504" s="34"/>
      <c r="L2504" s="34">
        <v>3273.5</v>
      </c>
    </row>
    <row r="2505" spans="2:12" x14ac:dyDescent="0.3">
      <c r="B2505" s="25">
        <v>2515</v>
      </c>
      <c r="C2505" s="33" t="s">
        <v>1330</v>
      </c>
      <c r="D2505" s="33" t="s">
        <v>482</v>
      </c>
      <c r="E2505" s="35">
        <v>44854</v>
      </c>
      <c r="F2505" s="33">
        <v>4</v>
      </c>
      <c r="G2505" s="33" t="s">
        <v>122</v>
      </c>
      <c r="H2505" s="33" t="s">
        <v>69</v>
      </c>
      <c r="I2505" s="33" t="s">
        <v>196</v>
      </c>
      <c r="J2505" s="34">
        <v>1823.61</v>
      </c>
      <c r="K2505" s="34"/>
      <c r="L2505" s="34">
        <v>1823.61</v>
      </c>
    </row>
    <row r="2506" spans="2:12" x14ac:dyDescent="0.3">
      <c r="B2506" s="25">
        <v>2516</v>
      </c>
      <c r="C2506" s="33" t="s">
        <v>1331</v>
      </c>
      <c r="D2506" s="33" t="s">
        <v>482</v>
      </c>
      <c r="E2506" s="35">
        <v>44854</v>
      </c>
      <c r="F2506" s="33">
        <v>4</v>
      </c>
      <c r="G2506" s="33" t="s">
        <v>122</v>
      </c>
      <c r="H2506" s="33" t="s">
        <v>69</v>
      </c>
      <c r="I2506" s="33" t="s">
        <v>196</v>
      </c>
      <c r="J2506" s="34">
        <v>2898</v>
      </c>
      <c r="K2506" s="34"/>
      <c r="L2506" s="34">
        <v>2898</v>
      </c>
    </row>
    <row r="2507" spans="2:12" x14ac:dyDescent="0.3">
      <c r="B2507" s="25">
        <v>2517</v>
      </c>
      <c r="C2507" s="33" t="s">
        <v>1332</v>
      </c>
      <c r="D2507" s="33" t="s">
        <v>482</v>
      </c>
      <c r="E2507" s="35">
        <v>44854</v>
      </c>
      <c r="F2507" s="33">
        <v>4</v>
      </c>
      <c r="G2507" s="33" t="s">
        <v>122</v>
      </c>
      <c r="H2507" s="33" t="s">
        <v>69</v>
      </c>
      <c r="I2507" s="33" t="s">
        <v>196</v>
      </c>
      <c r="J2507" s="34">
        <v>94</v>
      </c>
      <c r="K2507" s="34"/>
      <c r="L2507" s="34">
        <v>94</v>
      </c>
    </row>
    <row r="2508" spans="2:12" x14ac:dyDescent="0.3">
      <c r="B2508" s="25">
        <v>2518</v>
      </c>
      <c r="C2508" s="33">
        <v>54813</v>
      </c>
      <c r="D2508" s="33" t="s">
        <v>593</v>
      </c>
      <c r="E2508" s="35">
        <v>44854</v>
      </c>
      <c r="F2508" s="33">
        <v>4</v>
      </c>
      <c r="G2508" s="33" t="s">
        <v>122</v>
      </c>
      <c r="H2508" s="33" t="s">
        <v>69</v>
      </c>
      <c r="I2508" s="33" t="s">
        <v>196</v>
      </c>
      <c r="J2508" s="34">
        <v>429</v>
      </c>
      <c r="K2508" s="34"/>
      <c r="L2508" s="34">
        <v>429</v>
      </c>
    </row>
    <row r="2509" spans="2:12" x14ac:dyDescent="0.3">
      <c r="B2509" s="25">
        <v>2519</v>
      </c>
      <c r="C2509" s="33">
        <v>54815</v>
      </c>
      <c r="D2509" s="33" t="s">
        <v>438</v>
      </c>
      <c r="E2509" s="35">
        <v>44854</v>
      </c>
      <c r="F2509" s="33">
        <v>4</v>
      </c>
      <c r="G2509" s="33" t="s">
        <v>122</v>
      </c>
      <c r="H2509" s="33" t="s">
        <v>69</v>
      </c>
      <c r="I2509" s="33" t="s">
        <v>196</v>
      </c>
      <c r="J2509" s="34">
        <v>2970.5</v>
      </c>
      <c r="K2509" s="34"/>
      <c r="L2509" s="34">
        <v>2970.5</v>
      </c>
    </row>
    <row r="2510" spans="2:12" x14ac:dyDescent="0.3">
      <c r="B2510" s="25">
        <v>2520</v>
      </c>
      <c r="C2510" s="33">
        <v>54816</v>
      </c>
      <c r="D2510" s="33" t="s">
        <v>411</v>
      </c>
      <c r="E2510" s="35">
        <v>44854</v>
      </c>
      <c r="F2510" s="33">
        <v>4</v>
      </c>
      <c r="G2510" s="33" t="s">
        <v>122</v>
      </c>
      <c r="H2510" s="33" t="s">
        <v>69</v>
      </c>
      <c r="I2510" s="33" t="s">
        <v>196</v>
      </c>
      <c r="J2510" s="34">
        <v>786.14</v>
      </c>
      <c r="K2510" s="34"/>
      <c r="L2510" s="34">
        <v>786.14</v>
      </c>
    </row>
    <row r="2511" spans="2:12" x14ac:dyDescent="0.3">
      <c r="B2511" s="25">
        <v>2521</v>
      </c>
      <c r="C2511" s="33">
        <v>54818</v>
      </c>
      <c r="D2511" s="33" t="s">
        <v>275</v>
      </c>
      <c r="E2511" s="35">
        <v>44854</v>
      </c>
      <c r="F2511" s="33">
        <v>4</v>
      </c>
      <c r="G2511" s="33" t="s">
        <v>124</v>
      </c>
      <c r="H2511" s="33" t="s">
        <v>69</v>
      </c>
      <c r="I2511" s="33" t="s">
        <v>197</v>
      </c>
      <c r="J2511" s="34">
        <v>1726.5</v>
      </c>
      <c r="K2511" s="34"/>
      <c r="L2511" s="34">
        <v>1726.5</v>
      </c>
    </row>
    <row r="2512" spans="2:12" x14ac:dyDescent="0.3">
      <c r="B2512" s="25">
        <v>2522</v>
      </c>
      <c r="C2512" s="33">
        <v>54819</v>
      </c>
      <c r="D2512" s="33" t="s">
        <v>1300</v>
      </c>
      <c r="E2512" s="35">
        <v>44854</v>
      </c>
      <c r="F2512" s="33">
        <v>4</v>
      </c>
      <c r="G2512" s="33" t="s">
        <v>124</v>
      </c>
      <c r="H2512" s="33" t="s">
        <v>69</v>
      </c>
      <c r="I2512" s="33" t="s">
        <v>197</v>
      </c>
      <c r="J2512" s="34">
        <v>3918.6</v>
      </c>
      <c r="K2512" s="34"/>
      <c r="L2512" s="34">
        <v>3918.6</v>
      </c>
    </row>
    <row r="2513" spans="2:12" x14ac:dyDescent="0.3">
      <c r="B2513" s="25">
        <v>2523</v>
      </c>
      <c r="C2513" s="33">
        <v>54821</v>
      </c>
      <c r="D2513" s="33" t="s">
        <v>1048</v>
      </c>
      <c r="E2513" s="35">
        <v>44854</v>
      </c>
      <c r="F2513" s="33">
        <v>4</v>
      </c>
      <c r="G2513" s="33" t="s">
        <v>122</v>
      </c>
      <c r="H2513" s="33" t="s">
        <v>69</v>
      </c>
      <c r="I2513" s="33" t="s">
        <v>196</v>
      </c>
      <c r="J2513" s="34">
        <v>1066</v>
      </c>
      <c r="K2513" s="34"/>
      <c r="L2513" s="34">
        <v>1066</v>
      </c>
    </row>
    <row r="2514" spans="2:12" x14ac:dyDescent="0.3">
      <c r="B2514" s="25">
        <v>2524</v>
      </c>
      <c r="C2514" s="33">
        <v>54830</v>
      </c>
      <c r="D2514" s="33" t="s">
        <v>400</v>
      </c>
      <c r="E2514" s="35">
        <v>44854</v>
      </c>
      <c r="F2514" s="33">
        <v>4</v>
      </c>
      <c r="G2514" s="33" t="s">
        <v>231</v>
      </c>
      <c r="H2514" s="33" t="s">
        <v>69</v>
      </c>
      <c r="I2514" s="33" t="s">
        <v>198</v>
      </c>
      <c r="J2514" s="34">
        <v>1589.79</v>
      </c>
      <c r="K2514" s="34"/>
      <c r="L2514" s="34">
        <v>1589.79</v>
      </c>
    </row>
    <row r="2515" spans="2:12" x14ac:dyDescent="0.3">
      <c r="B2515" s="25">
        <v>2525</v>
      </c>
      <c r="C2515" s="33">
        <v>54831</v>
      </c>
      <c r="D2515" s="33" t="s">
        <v>400</v>
      </c>
      <c r="E2515" s="35">
        <v>44854</v>
      </c>
      <c r="F2515" s="33">
        <v>4</v>
      </c>
      <c r="G2515" s="33" t="s">
        <v>231</v>
      </c>
      <c r="H2515" s="33" t="s">
        <v>69</v>
      </c>
      <c r="I2515" s="33" t="s">
        <v>198</v>
      </c>
      <c r="J2515" s="34">
        <v>1581.06</v>
      </c>
      <c r="K2515" s="34"/>
      <c r="L2515" s="34">
        <v>1581.06</v>
      </c>
    </row>
    <row r="2516" spans="2:12" x14ac:dyDescent="0.3">
      <c r="B2516" s="25">
        <v>2526</v>
      </c>
      <c r="C2516" s="33">
        <v>54832</v>
      </c>
      <c r="D2516" s="33" t="s">
        <v>400</v>
      </c>
      <c r="E2516" s="35">
        <v>44854</v>
      </c>
      <c r="F2516" s="33">
        <v>4</v>
      </c>
      <c r="G2516" s="33" t="s">
        <v>231</v>
      </c>
      <c r="H2516" s="33" t="s">
        <v>69</v>
      </c>
      <c r="I2516" s="33" t="s">
        <v>198</v>
      </c>
      <c r="J2516" s="34">
        <v>1956.46</v>
      </c>
      <c r="K2516" s="34"/>
      <c r="L2516" s="34">
        <v>1956.46</v>
      </c>
    </row>
    <row r="2517" spans="2:12" x14ac:dyDescent="0.3">
      <c r="B2517" s="25">
        <v>2527</v>
      </c>
      <c r="C2517" s="33">
        <v>54833</v>
      </c>
      <c r="D2517" s="33" t="s">
        <v>400</v>
      </c>
      <c r="E2517" s="35">
        <v>44854</v>
      </c>
      <c r="F2517" s="33">
        <v>4</v>
      </c>
      <c r="G2517" s="33" t="s">
        <v>231</v>
      </c>
      <c r="H2517" s="33" t="s">
        <v>69</v>
      </c>
      <c r="I2517" s="33" t="s">
        <v>198</v>
      </c>
      <c r="J2517" s="34">
        <v>1388.05</v>
      </c>
      <c r="K2517" s="34"/>
      <c r="L2517" s="34">
        <v>1388.05</v>
      </c>
    </row>
    <row r="2518" spans="2:12" x14ac:dyDescent="0.3">
      <c r="B2518" s="25">
        <v>2528</v>
      </c>
      <c r="C2518" s="33">
        <v>54834</v>
      </c>
      <c r="D2518" s="33" t="s">
        <v>400</v>
      </c>
      <c r="E2518" s="35">
        <v>44854</v>
      </c>
      <c r="F2518" s="33">
        <v>4</v>
      </c>
      <c r="G2518" s="33" t="s">
        <v>231</v>
      </c>
      <c r="H2518" s="33" t="s">
        <v>69</v>
      </c>
      <c r="I2518" s="33" t="s">
        <v>198</v>
      </c>
      <c r="J2518" s="34">
        <v>561.62</v>
      </c>
      <c r="K2518" s="34"/>
      <c r="L2518" s="34">
        <v>561.62</v>
      </c>
    </row>
    <row r="2519" spans="2:12" x14ac:dyDescent="0.3">
      <c r="B2519" s="25">
        <v>2529</v>
      </c>
      <c r="C2519" s="33">
        <v>54835</v>
      </c>
      <c r="D2519" s="33" t="s">
        <v>400</v>
      </c>
      <c r="E2519" s="35">
        <v>44854</v>
      </c>
      <c r="F2519" s="33">
        <v>4</v>
      </c>
      <c r="G2519" s="33" t="s">
        <v>231</v>
      </c>
      <c r="H2519" s="33" t="s">
        <v>69</v>
      </c>
      <c r="I2519" s="33" t="s">
        <v>198</v>
      </c>
      <c r="J2519" s="34">
        <v>722.63</v>
      </c>
      <c r="K2519" s="34"/>
      <c r="L2519" s="34">
        <v>722.63</v>
      </c>
    </row>
    <row r="2520" spans="2:12" x14ac:dyDescent="0.3">
      <c r="B2520" s="25">
        <v>2530</v>
      </c>
      <c r="C2520" s="33">
        <v>54836</v>
      </c>
      <c r="D2520" s="33" t="s">
        <v>400</v>
      </c>
      <c r="E2520" s="35">
        <v>44854</v>
      </c>
      <c r="F2520" s="33">
        <v>4</v>
      </c>
      <c r="G2520" s="33" t="s">
        <v>231</v>
      </c>
      <c r="H2520" s="33" t="s">
        <v>69</v>
      </c>
      <c r="I2520" s="33" t="s">
        <v>198</v>
      </c>
      <c r="J2520" s="34">
        <v>290.02</v>
      </c>
      <c r="K2520" s="34"/>
      <c r="L2520" s="34">
        <v>290.02</v>
      </c>
    </row>
    <row r="2521" spans="2:12" x14ac:dyDescent="0.3">
      <c r="B2521" s="25">
        <v>2531</v>
      </c>
      <c r="C2521" s="33">
        <v>54837</v>
      </c>
      <c r="D2521" s="33" t="s">
        <v>400</v>
      </c>
      <c r="E2521" s="35">
        <v>44854</v>
      </c>
      <c r="F2521" s="33">
        <v>4</v>
      </c>
      <c r="G2521" s="33" t="s">
        <v>231</v>
      </c>
      <c r="H2521" s="33" t="s">
        <v>69</v>
      </c>
      <c r="I2521" s="33" t="s">
        <v>198</v>
      </c>
      <c r="J2521" s="34">
        <v>1781.81</v>
      </c>
      <c r="K2521" s="34"/>
      <c r="L2521" s="34">
        <v>1781.81</v>
      </c>
    </row>
    <row r="2522" spans="2:12" x14ac:dyDescent="0.3">
      <c r="B2522" s="25">
        <v>2532</v>
      </c>
      <c r="C2522" s="33">
        <v>14644</v>
      </c>
      <c r="D2522" s="33" t="s">
        <v>410</v>
      </c>
      <c r="E2522" s="35">
        <v>44859</v>
      </c>
      <c r="F2522" s="33">
        <v>4</v>
      </c>
      <c r="G2522" s="33" t="s">
        <v>231</v>
      </c>
      <c r="H2522" s="33" t="s">
        <v>69</v>
      </c>
      <c r="I2522" s="33" t="s">
        <v>198</v>
      </c>
      <c r="J2522" s="34">
        <v>1593</v>
      </c>
      <c r="K2522" s="34"/>
      <c r="L2522" s="34">
        <v>1593</v>
      </c>
    </row>
    <row r="2523" spans="2:12" x14ac:dyDescent="0.3">
      <c r="B2523" s="25">
        <v>2533</v>
      </c>
      <c r="C2523" s="33">
        <v>14720</v>
      </c>
      <c r="D2523" s="33" t="s">
        <v>410</v>
      </c>
      <c r="E2523" s="35">
        <v>44860</v>
      </c>
      <c r="F2523" s="33">
        <v>4</v>
      </c>
      <c r="G2523" s="33" t="s">
        <v>231</v>
      </c>
      <c r="H2523" s="33" t="s">
        <v>69</v>
      </c>
      <c r="I2523" s="33" t="s">
        <v>198</v>
      </c>
      <c r="J2523" s="34">
        <v>364.48</v>
      </c>
      <c r="K2523" s="34"/>
      <c r="L2523" s="34">
        <v>364.48</v>
      </c>
    </row>
    <row r="2524" spans="2:12" x14ac:dyDescent="0.3">
      <c r="B2524" s="25">
        <v>2534</v>
      </c>
      <c r="C2524" s="33">
        <v>54968</v>
      </c>
      <c r="D2524" s="33" t="s">
        <v>401</v>
      </c>
      <c r="E2524" s="35">
        <v>44861</v>
      </c>
      <c r="F2524" s="33">
        <v>4</v>
      </c>
      <c r="G2524" s="33" t="s">
        <v>231</v>
      </c>
      <c r="H2524" s="33" t="s">
        <v>69</v>
      </c>
      <c r="I2524" s="33" t="s">
        <v>198</v>
      </c>
      <c r="J2524" s="34">
        <v>317</v>
      </c>
      <c r="K2524" s="34"/>
      <c r="L2524" s="34">
        <v>317</v>
      </c>
    </row>
    <row r="2525" spans="2:12" x14ac:dyDescent="0.3">
      <c r="B2525" s="25">
        <v>2535</v>
      </c>
      <c r="C2525" s="33">
        <v>54970</v>
      </c>
      <c r="D2525" s="33" t="s">
        <v>438</v>
      </c>
      <c r="E2525" s="35">
        <v>44861</v>
      </c>
      <c r="F2525" s="33">
        <v>4</v>
      </c>
      <c r="G2525" s="33" t="s">
        <v>122</v>
      </c>
      <c r="H2525" s="33" t="s">
        <v>69</v>
      </c>
      <c r="I2525" s="33" t="s">
        <v>196</v>
      </c>
      <c r="J2525" s="34">
        <v>4656</v>
      </c>
      <c r="K2525" s="34"/>
      <c r="L2525" s="34">
        <v>4656</v>
      </c>
    </row>
    <row r="2526" spans="2:12" x14ac:dyDescent="0.3">
      <c r="B2526" s="25">
        <v>2536</v>
      </c>
      <c r="C2526" s="33">
        <v>54971</v>
      </c>
      <c r="D2526" s="33" t="s">
        <v>281</v>
      </c>
      <c r="E2526" s="35">
        <v>44861</v>
      </c>
      <c r="F2526" s="33">
        <v>4</v>
      </c>
      <c r="G2526" s="33" t="s">
        <v>124</v>
      </c>
      <c r="H2526" s="33" t="s">
        <v>69</v>
      </c>
      <c r="I2526" s="33" t="s">
        <v>197</v>
      </c>
      <c r="J2526" s="34">
        <v>7133.5</v>
      </c>
      <c r="K2526" s="34"/>
      <c r="L2526" s="34">
        <v>7133.5</v>
      </c>
    </row>
    <row r="2527" spans="2:12" x14ac:dyDescent="0.3">
      <c r="B2527" s="25">
        <v>2537</v>
      </c>
      <c r="C2527" s="33">
        <v>55135</v>
      </c>
      <c r="D2527" s="33" t="s">
        <v>416</v>
      </c>
      <c r="E2527" s="35">
        <v>44868</v>
      </c>
      <c r="F2527" s="33">
        <v>4</v>
      </c>
      <c r="G2527" s="33" t="s">
        <v>231</v>
      </c>
      <c r="H2527" s="33" t="s">
        <v>69</v>
      </c>
      <c r="I2527" s="33" t="s">
        <v>198</v>
      </c>
      <c r="J2527" s="34">
        <v>399.51</v>
      </c>
      <c r="K2527" s="34"/>
      <c r="L2527" s="34">
        <v>399.51</v>
      </c>
    </row>
    <row r="2528" spans="2:12" x14ac:dyDescent="0.3">
      <c r="B2528" s="25">
        <v>2538</v>
      </c>
      <c r="C2528" s="33">
        <v>55138</v>
      </c>
      <c r="D2528" s="33" t="s">
        <v>404</v>
      </c>
      <c r="E2528" s="35">
        <v>44868</v>
      </c>
      <c r="F2528" s="33">
        <v>4</v>
      </c>
      <c r="G2528" s="33" t="s">
        <v>122</v>
      </c>
      <c r="H2528" s="33" t="s">
        <v>69</v>
      </c>
      <c r="I2528" s="33" t="s">
        <v>196</v>
      </c>
      <c r="J2528" s="34">
        <v>1200</v>
      </c>
      <c r="K2528" s="34"/>
      <c r="L2528" s="34">
        <v>1200</v>
      </c>
    </row>
    <row r="2529" spans="2:12" x14ac:dyDescent="0.3">
      <c r="B2529" s="25">
        <v>2539</v>
      </c>
      <c r="C2529" s="33">
        <v>55143</v>
      </c>
      <c r="D2529" s="33" t="s">
        <v>412</v>
      </c>
      <c r="E2529" s="35">
        <v>44868</v>
      </c>
      <c r="F2529" s="33">
        <v>4</v>
      </c>
      <c r="G2529" s="33" t="s">
        <v>231</v>
      </c>
      <c r="H2529" s="33" t="s">
        <v>69</v>
      </c>
      <c r="I2529" s="33" t="s">
        <v>198</v>
      </c>
      <c r="J2529" s="34">
        <v>537</v>
      </c>
      <c r="K2529" s="34"/>
      <c r="L2529" s="34">
        <v>537</v>
      </c>
    </row>
    <row r="2530" spans="2:12" x14ac:dyDescent="0.3">
      <c r="B2530" s="25">
        <v>2540</v>
      </c>
      <c r="C2530" s="33">
        <v>55144</v>
      </c>
      <c r="D2530" s="33" t="s">
        <v>281</v>
      </c>
      <c r="E2530" s="35">
        <v>44868</v>
      </c>
      <c r="F2530" s="33">
        <v>4</v>
      </c>
      <c r="G2530" s="33" t="s">
        <v>124</v>
      </c>
      <c r="H2530" s="33" t="s">
        <v>69</v>
      </c>
      <c r="I2530" s="33" t="s">
        <v>197</v>
      </c>
      <c r="J2530" s="34">
        <v>1594.51</v>
      </c>
      <c r="K2530" s="34"/>
      <c r="L2530" s="34">
        <v>1594.51</v>
      </c>
    </row>
    <row r="2531" spans="2:12" x14ac:dyDescent="0.3">
      <c r="B2531" s="25">
        <v>2541</v>
      </c>
      <c r="C2531" s="33">
        <v>55145</v>
      </c>
      <c r="D2531" s="33" t="s">
        <v>275</v>
      </c>
      <c r="E2531" s="35">
        <v>44868</v>
      </c>
      <c r="F2531" s="33">
        <v>4</v>
      </c>
      <c r="G2531" s="33" t="s">
        <v>124</v>
      </c>
      <c r="H2531" s="33" t="s">
        <v>69</v>
      </c>
      <c r="I2531" s="33" t="s">
        <v>197</v>
      </c>
      <c r="J2531" s="34">
        <v>5449.5</v>
      </c>
      <c r="K2531" s="34"/>
      <c r="L2531" s="34">
        <v>5449.5</v>
      </c>
    </row>
    <row r="2532" spans="2:12" x14ac:dyDescent="0.3">
      <c r="B2532" s="25">
        <v>2542</v>
      </c>
      <c r="C2532" s="33">
        <v>15518</v>
      </c>
      <c r="D2532" s="33" t="s">
        <v>410</v>
      </c>
      <c r="E2532" s="35">
        <v>44873</v>
      </c>
      <c r="F2532" s="33">
        <v>4</v>
      </c>
      <c r="G2532" s="33" t="s">
        <v>231</v>
      </c>
      <c r="H2532" s="33" t="s">
        <v>69</v>
      </c>
      <c r="I2532" s="33" t="s">
        <v>198</v>
      </c>
      <c r="J2532" s="34">
        <v>1613.5</v>
      </c>
      <c r="K2532" s="34"/>
      <c r="L2532" s="34">
        <v>1613.5</v>
      </c>
    </row>
    <row r="2533" spans="2:12" x14ac:dyDescent="0.3">
      <c r="B2533" s="25">
        <v>2543</v>
      </c>
      <c r="C2533" s="33">
        <v>55369</v>
      </c>
      <c r="D2533" s="33" t="s">
        <v>752</v>
      </c>
      <c r="E2533" s="35">
        <v>44875</v>
      </c>
      <c r="F2533" s="33">
        <v>4</v>
      </c>
      <c r="G2533" s="33" t="s">
        <v>122</v>
      </c>
      <c r="H2533" s="33" t="s">
        <v>69</v>
      </c>
      <c r="I2533" s="33" t="s">
        <v>196</v>
      </c>
      <c r="J2533" s="34">
        <v>1825.99</v>
      </c>
      <c r="K2533" s="34"/>
      <c r="L2533" s="34">
        <v>1825.99</v>
      </c>
    </row>
    <row r="2534" spans="2:12" x14ac:dyDescent="0.3">
      <c r="B2534" s="25">
        <v>2544</v>
      </c>
      <c r="C2534" s="33" t="s">
        <v>1333</v>
      </c>
      <c r="D2534" s="33" t="s">
        <v>805</v>
      </c>
      <c r="E2534" s="35">
        <v>44876</v>
      </c>
      <c r="F2534" s="33">
        <v>4</v>
      </c>
      <c r="G2534" s="33" t="s">
        <v>231</v>
      </c>
      <c r="H2534" s="33" t="s">
        <v>69</v>
      </c>
      <c r="I2534" s="33" t="s">
        <v>198</v>
      </c>
      <c r="J2534" s="34">
        <v>995.11</v>
      </c>
      <c r="K2534" s="34"/>
      <c r="L2534" s="34">
        <v>995.11</v>
      </c>
    </row>
    <row r="2535" spans="2:12" x14ac:dyDescent="0.3">
      <c r="B2535" s="25">
        <v>2545</v>
      </c>
      <c r="C2535" s="33">
        <v>34723</v>
      </c>
      <c r="D2535" s="33" t="s">
        <v>513</v>
      </c>
      <c r="E2535" s="35">
        <v>44887</v>
      </c>
      <c r="F2535" s="33">
        <v>4</v>
      </c>
      <c r="G2535" s="33" t="s">
        <v>122</v>
      </c>
      <c r="H2535" s="33" t="s">
        <v>72</v>
      </c>
      <c r="I2535" s="33" t="s">
        <v>196</v>
      </c>
      <c r="J2535" s="34">
        <v>414.8</v>
      </c>
      <c r="K2535" s="34"/>
      <c r="L2535" s="34">
        <v>414.8</v>
      </c>
    </row>
    <row r="2536" spans="2:12" x14ac:dyDescent="0.3">
      <c r="B2536" s="25">
        <v>2546</v>
      </c>
      <c r="C2536" s="33">
        <v>34725</v>
      </c>
      <c r="D2536" s="33" t="s">
        <v>695</v>
      </c>
      <c r="E2536" s="35">
        <v>44888</v>
      </c>
      <c r="F2536" s="33">
        <v>4</v>
      </c>
      <c r="G2536" s="33" t="s">
        <v>122</v>
      </c>
      <c r="H2536" s="33" t="s">
        <v>72</v>
      </c>
      <c r="I2536" s="33" t="s">
        <v>196</v>
      </c>
      <c r="J2536" s="34">
        <v>871</v>
      </c>
      <c r="K2536" s="34"/>
      <c r="L2536" s="34">
        <v>871</v>
      </c>
    </row>
    <row r="2537" spans="2:12" x14ac:dyDescent="0.3">
      <c r="B2537" s="25">
        <v>2547</v>
      </c>
      <c r="C2537" s="33">
        <v>7234</v>
      </c>
      <c r="D2537" s="33" t="s">
        <v>473</v>
      </c>
      <c r="E2537" s="35">
        <v>44875</v>
      </c>
      <c r="F2537" s="33">
        <v>4</v>
      </c>
      <c r="G2537" s="33" t="s">
        <v>122</v>
      </c>
      <c r="H2537" s="33" t="s">
        <v>201</v>
      </c>
      <c r="I2537" s="33" t="s">
        <v>196</v>
      </c>
      <c r="J2537" s="34">
        <v>2928.93</v>
      </c>
      <c r="K2537" s="34"/>
      <c r="L2537" s="34">
        <v>2928.93</v>
      </c>
    </row>
    <row r="2538" spans="2:12" x14ac:dyDescent="0.3">
      <c r="B2538" s="25">
        <v>2548</v>
      </c>
      <c r="C2538" s="33">
        <v>7237</v>
      </c>
      <c r="D2538" s="33" t="s">
        <v>824</v>
      </c>
      <c r="E2538" s="35">
        <v>44875</v>
      </c>
      <c r="F2538" s="33">
        <v>4</v>
      </c>
      <c r="G2538" s="33" t="s">
        <v>231</v>
      </c>
      <c r="H2538" s="33" t="s">
        <v>201</v>
      </c>
      <c r="I2538" s="33" t="s">
        <v>198</v>
      </c>
      <c r="J2538" s="34">
        <v>8186.2</v>
      </c>
      <c r="K2538" s="34"/>
      <c r="L2538" s="34">
        <v>8186.2</v>
      </c>
    </row>
    <row r="2539" spans="2:12" x14ac:dyDescent="0.3">
      <c r="B2539" s="25">
        <v>2549</v>
      </c>
      <c r="C2539" s="33">
        <v>7238</v>
      </c>
      <c r="D2539" s="33" t="s">
        <v>566</v>
      </c>
      <c r="E2539" s="35">
        <v>44875</v>
      </c>
      <c r="F2539" s="33">
        <v>4</v>
      </c>
      <c r="G2539" s="33" t="s">
        <v>122</v>
      </c>
      <c r="H2539" s="33" t="s">
        <v>201</v>
      </c>
      <c r="I2539" s="33" t="s">
        <v>196</v>
      </c>
      <c r="J2539" s="34">
        <v>2534.38</v>
      </c>
      <c r="K2539" s="34"/>
      <c r="L2539" s="34">
        <v>2534.38</v>
      </c>
    </row>
    <row r="2540" spans="2:12" x14ac:dyDescent="0.3">
      <c r="B2540" s="25">
        <v>2550</v>
      </c>
      <c r="C2540" s="33">
        <v>7239</v>
      </c>
      <c r="D2540" s="33" t="s">
        <v>584</v>
      </c>
      <c r="E2540" s="35">
        <v>44875</v>
      </c>
      <c r="F2540" s="33">
        <v>4</v>
      </c>
      <c r="G2540" s="33" t="s">
        <v>122</v>
      </c>
      <c r="H2540" s="33" t="s">
        <v>201</v>
      </c>
      <c r="I2540" s="33" t="s">
        <v>196</v>
      </c>
      <c r="J2540" s="34">
        <v>3042.38</v>
      </c>
      <c r="K2540" s="34"/>
      <c r="L2540" s="34">
        <v>3042.38</v>
      </c>
    </row>
    <row r="2541" spans="2:12" x14ac:dyDescent="0.3">
      <c r="B2541" s="25">
        <v>2551</v>
      </c>
      <c r="C2541" s="33">
        <v>7242</v>
      </c>
      <c r="D2541" s="33" t="s">
        <v>601</v>
      </c>
      <c r="E2541" s="35">
        <v>44875</v>
      </c>
      <c r="F2541" s="33">
        <v>4</v>
      </c>
      <c r="G2541" s="33" t="s">
        <v>628</v>
      </c>
      <c r="H2541" s="33" t="s">
        <v>201</v>
      </c>
      <c r="I2541" s="33" t="s">
        <v>75</v>
      </c>
      <c r="J2541" s="34">
        <v>1377.6</v>
      </c>
      <c r="K2541" s="34"/>
      <c r="L2541" s="34">
        <v>1377.6</v>
      </c>
    </row>
    <row r="2542" spans="2:12" x14ac:dyDescent="0.3">
      <c r="B2542" s="25">
        <v>2552</v>
      </c>
      <c r="C2542" s="33">
        <v>7247</v>
      </c>
      <c r="D2542" s="33" t="s">
        <v>401</v>
      </c>
      <c r="E2542" s="35">
        <v>44875</v>
      </c>
      <c r="F2542" s="33">
        <v>4</v>
      </c>
      <c r="G2542" s="33" t="s">
        <v>231</v>
      </c>
      <c r="H2542" s="33" t="s">
        <v>201</v>
      </c>
      <c r="I2542" s="33" t="s">
        <v>198</v>
      </c>
      <c r="J2542" s="34">
        <v>2459.6</v>
      </c>
      <c r="K2542" s="34"/>
      <c r="L2542" s="34">
        <v>2459.6</v>
      </c>
    </row>
    <row r="2543" spans="2:12" x14ac:dyDescent="0.3">
      <c r="B2543" s="25">
        <v>2553</v>
      </c>
      <c r="C2543" s="33">
        <v>7248</v>
      </c>
      <c r="D2543" s="33" t="s">
        <v>411</v>
      </c>
      <c r="E2543" s="35">
        <v>44875</v>
      </c>
      <c r="F2543" s="33">
        <v>4</v>
      </c>
      <c r="G2543" s="33" t="s">
        <v>122</v>
      </c>
      <c r="H2543" s="33" t="s">
        <v>201</v>
      </c>
      <c r="I2543" s="33" t="s">
        <v>196</v>
      </c>
      <c r="J2543" s="34">
        <v>3010.59</v>
      </c>
      <c r="K2543" s="34"/>
      <c r="L2543" s="34">
        <v>3010.59</v>
      </c>
    </row>
    <row r="2544" spans="2:12" x14ac:dyDescent="0.3">
      <c r="B2544" s="25">
        <v>2554</v>
      </c>
      <c r="C2544" s="33">
        <v>7251</v>
      </c>
      <c r="D2544" s="33" t="s">
        <v>1334</v>
      </c>
      <c r="E2544" s="35">
        <v>44875</v>
      </c>
      <c r="F2544" s="33">
        <v>4</v>
      </c>
      <c r="G2544" s="33" t="s">
        <v>124</v>
      </c>
      <c r="H2544" s="33" t="s">
        <v>201</v>
      </c>
      <c r="I2544" s="33" t="s">
        <v>197</v>
      </c>
      <c r="J2544" s="34">
        <v>3570.8</v>
      </c>
      <c r="K2544" s="34"/>
      <c r="L2544" s="34">
        <v>3570.8</v>
      </c>
    </row>
    <row r="2545" spans="2:12" x14ac:dyDescent="0.3">
      <c r="B2545" s="25">
        <v>2555</v>
      </c>
      <c r="C2545" s="33">
        <v>7431</v>
      </c>
      <c r="D2545" s="33" t="s">
        <v>394</v>
      </c>
      <c r="E2545" s="35">
        <v>44882</v>
      </c>
      <c r="F2545" s="33">
        <v>4</v>
      </c>
      <c r="G2545" s="33" t="s">
        <v>122</v>
      </c>
      <c r="H2545" s="33" t="s">
        <v>201</v>
      </c>
      <c r="I2545" s="33" t="s">
        <v>196</v>
      </c>
      <c r="J2545" s="34">
        <v>2568.5</v>
      </c>
      <c r="K2545" s="34"/>
      <c r="L2545" s="34">
        <v>2568.5</v>
      </c>
    </row>
    <row r="2546" spans="2:12" x14ac:dyDescent="0.3">
      <c r="B2546" s="25">
        <v>2556</v>
      </c>
      <c r="C2546" s="33">
        <v>7436</v>
      </c>
      <c r="D2546" s="33" t="s">
        <v>473</v>
      </c>
      <c r="E2546" s="35">
        <v>44882</v>
      </c>
      <c r="F2546" s="33">
        <v>4</v>
      </c>
      <c r="G2546" s="33" t="s">
        <v>122</v>
      </c>
      <c r="H2546" s="33" t="s">
        <v>201</v>
      </c>
      <c r="I2546" s="33" t="s">
        <v>196</v>
      </c>
      <c r="J2546" s="34">
        <v>2491.63</v>
      </c>
      <c r="K2546" s="34"/>
      <c r="L2546" s="34">
        <v>2491.63</v>
      </c>
    </row>
    <row r="2547" spans="2:12" x14ac:dyDescent="0.3">
      <c r="B2547" s="25">
        <v>2557</v>
      </c>
      <c r="C2547" s="33">
        <v>7437</v>
      </c>
      <c r="D2547" s="33" t="s">
        <v>531</v>
      </c>
      <c r="E2547" s="35">
        <v>44882</v>
      </c>
      <c r="F2547" s="33">
        <v>4</v>
      </c>
      <c r="G2547" s="33" t="s">
        <v>122</v>
      </c>
      <c r="H2547" s="33" t="s">
        <v>201</v>
      </c>
      <c r="I2547" s="33" t="s">
        <v>196</v>
      </c>
      <c r="J2547" s="34">
        <v>1593.6</v>
      </c>
      <c r="K2547" s="34"/>
      <c r="L2547" s="34">
        <v>1593.6</v>
      </c>
    </row>
    <row r="2548" spans="2:12" x14ac:dyDescent="0.3">
      <c r="B2548" s="25">
        <v>2558</v>
      </c>
      <c r="C2548" s="33">
        <v>7439</v>
      </c>
      <c r="D2548" s="33" t="s">
        <v>596</v>
      </c>
      <c r="E2548" s="35">
        <v>44882</v>
      </c>
      <c r="F2548" s="33">
        <v>4</v>
      </c>
      <c r="G2548" s="33" t="s">
        <v>122</v>
      </c>
      <c r="H2548" s="33" t="s">
        <v>201</v>
      </c>
      <c r="I2548" s="33" t="s">
        <v>196</v>
      </c>
      <c r="J2548" s="34">
        <v>3756.5</v>
      </c>
      <c r="K2548" s="34"/>
      <c r="L2548" s="34">
        <v>3756.5</v>
      </c>
    </row>
    <row r="2549" spans="2:12" x14ac:dyDescent="0.3">
      <c r="B2549" s="25">
        <v>2559</v>
      </c>
      <c r="C2549" s="33">
        <v>7440</v>
      </c>
      <c r="D2549" s="33" t="s">
        <v>584</v>
      </c>
      <c r="E2549" s="35">
        <v>44882</v>
      </c>
      <c r="F2549" s="33">
        <v>4</v>
      </c>
      <c r="G2549" s="33" t="s">
        <v>122</v>
      </c>
      <c r="H2549" s="33" t="s">
        <v>201</v>
      </c>
      <c r="I2549" s="33" t="s">
        <v>196</v>
      </c>
      <c r="J2549" s="34">
        <v>1813.68</v>
      </c>
      <c r="K2549" s="34"/>
      <c r="L2549" s="34">
        <v>1813.68</v>
      </c>
    </row>
    <row r="2550" spans="2:12" x14ac:dyDescent="0.3">
      <c r="B2550" s="25">
        <v>2560</v>
      </c>
      <c r="C2550" s="33">
        <v>7447</v>
      </c>
      <c r="D2550" s="33" t="s">
        <v>401</v>
      </c>
      <c r="E2550" s="35">
        <v>44882</v>
      </c>
      <c r="F2550" s="33">
        <v>4</v>
      </c>
      <c r="G2550" s="33" t="s">
        <v>231</v>
      </c>
      <c r="H2550" s="33" t="s">
        <v>201</v>
      </c>
      <c r="I2550" s="33" t="s">
        <v>198</v>
      </c>
      <c r="J2550" s="34">
        <v>11133.1</v>
      </c>
      <c r="K2550" s="34"/>
      <c r="L2550" s="34">
        <v>11133.1</v>
      </c>
    </row>
    <row r="2551" spans="2:12" x14ac:dyDescent="0.3">
      <c r="B2551" s="25">
        <v>2561</v>
      </c>
      <c r="C2551" s="33">
        <v>7448</v>
      </c>
      <c r="D2551" s="33" t="s">
        <v>637</v>
      </c>
      <c r="E2551" s="35">
        <v>44882</v>
      </c>
      <c r="F2551" s="33">
        <v>4</v>
      </c>
      <c r="G2551" s="33" t="s">
        <v>124</v>
      </c>
      <c r="H2551" s="33" t="s">
        <v>201</v>
      </c>
      <c r="I2551" s="33" t="s">
        <v>197</v>
      </c>
      <c r="J2551" s="34">
        <v>5554.42</v>
      </c>
      <c r="K2551" s="34"/>
      <c r="L2551" s="34">
        <v>5554.42</v>
      </c>
    </row>
    <row r="2552" spans="2:12" x14ac:dyDescent="0.3">
      <c r="B2552" s="25">
        <v>2562</v>
      </c>
      <c r="C2552" s="33">
        <v>53228</v>
      </c>
      <c r="D2552" s="33" t="s">
        <v>281</v>
      </c>
      <c r="E2552" s="35">
        <v>44847</v>
      </c>
      <c r="F2552" s="33">
        <v>4</v>
      </c>
      <c r="G2552" s="33" t="s">
        <v>124</v>
      </c>
      <c r="H2552" s="33">
        <v>53</v>
      </c>
      <c r="I2552" s="33" t="s">
        <v>197</v>
      </c>
      <c r="J2552" s="34">
        <v>2654.5</v>
      </c>
      <c r="K2552" s="34"/>
      <c r="L2552" s="34">
        <v>2654.5</v>
      </c>
    </row>
    <row r="2553" spans="2:12" x14ac:dyDescent="0.3">
      <c r="B2553" s="25">
        <v>2563</v>
      </c>
      <c r="C2553" s="33">
        <v>53262</v>
      </c>
      <c r="D2553" s="33" t="s">
        <v>400</v>
      </c>
      <c r="E2553" s="35">
        <v>44848</v>
      </c>
      <c r="F2553" s="33">
        <v>4</v>
      </c>
      <c r="G2553" s="33" t="s">
        <v>231</v>
      </c>
      <c r="H2553" s="33">
        <v>53</v>
      </c>
      <c r="I2553" s="33" t="s">
        <v>198</v>
      </c>
      <c r="J2553" s="34">
        <v>629</v>
      </c>
      <c r="K2553" s="34"/>
      <c r="L2553" s="34">
        <v>629</v>
      </c>
    </row>
    <row r="2554" spans="2:12" x14ac:dyDescent="0.3">
      <c r="B2554" s="25">
        <v>2564</v>
      </c>
      <c r="C2554" s="33">
        <v>53263</v>
      </c>
      <c r="D2554" s="33" t="s">
        <v>401</v>
      </c>
      <c r="E2554" s="35">
        <v>44848</v>
      </c>
      <c r="F2554" s="33">
        <v>4</v>
      </c>
      <c r="G2554" s="33" t="s">
        <v>231</v>
      </c>
      <c r="H2554" s="33">
        <v>53</v>
      </c>
      <c r="I2554" s="33" t="s">
        <v>198</v>
      </c>
      <c r="J2554" s="34">
        <v>1818.5</v>
      </c>
      <c r="K2554" s="34"/>
      <c r="L2554" s="34">
        <v>1818.5</v>
      </c>
    </row>
    <row r="2555" spans="2:12" x14ac:dyDescent="0.3">
      <c r="B2555" s="25">
        <v>2565</v>
      </c>
      <c r="C2555" s="33">
        <v>53317</v>
      </c>
      <c r="D2555" s="33" t="s">
        <v>400</v>
      </c>
      <c r="E2555" s="35">
        <v>44854</v>
      </c>
      <c r="F2555" s="33">
        <v>4</v>
      </c>
      <c r="G2555" s="33" t="s">
        <v>231</v>
      </c>
      <c r="H2555" s="33">
        <v>53</v>
      </c>
      <c r="I2555" s="33" t="s">
        <v>198</v>
      </c>
      <c r="J2555" s="34">
        <v>1913.2</v>
      </c>
      <c r="K2555" s="34"/>
      <c r="L2555" s="34">
        <v>1913.2</v>
      </c>
    </row>
    <row r="2556" spans="2:12" x14ac:dyDescent="0.3">
      <c r="B2556" s="25">
        <v>2566</v>
      </c>
      <c r="C2556" s="33">
        <v>53318</v>
      </c>
      <c r="D2556" s="33" t="s">
        <v>400</v>
      </c>
      <c r="E2556" s="35">
        <v>44854</v>
      </c>
      <c r="F2556" s="33">
        <v>4</v>
      </c>
      <c r="G2556" s="33" t="s">
        <v>231</v>
      </c>
      <c r="H2556" s="33">
        <v>53</v>
      </c>
      <c r="I2556" s="33" t="s">
        <v>198</v>
      </c>
      <c r="J2556" s="34">
        <v>32.49</v>
      </c>
      <c r="K2556" s="34"/>
      <c r="L2556" s="34">
        <v>32.49</v>
      </c>
    </row>
    <row r="2557" spans="2:12" x14ac:dyDescent="0.3">
      <c r="B2557" s="25">
        <v>2567</v>
      </c>
      <c r="C2557" s="33">
        <v>53319</v>
      </c>
      <c r="D2557" s="33" t="s">
        <v>400</v>
      </c>
      <c r="E2557" s="35">
        <v>44854</v>
      </c>
      <c r="F2557" s="33">
        <v>4</v>
      </c>
      <c r="G2557" s="33" t="s">
        <v>231</v>
      </c>
      <c r="H2557" s="33">
        <v>53</v>
      </c>
      <c r="I2557" s="33" t="s">
        <v>198</v>
      </c>
      <c r="J2557" s="34">
        <v>2367.34</v>
      </c>
      <c r="K2557" s="34"/>
      <c r="L2557" s="34">
        <v>2367.34</v>
      </c>
    </row>
    <row r="2558" spans="2:12" x14ac:dyDescent="0.3">
      <c r="B2558" s="25">
        <v>2568</v>
      </c>
      <c r="C2558" s="33">
        <v>53321</v>
      </c>
      <c r="D2558" s="33" t="s">
        <v>803</v>
      </c>
      <c r="E2558" s="35">
        <v>44854</v>
      </c>
      <c r="F2558" s="33">
        <v>4</v>
      </c>
      <c r="G2558" s="33" t="s">
        <v>122</v>
      </c>
      <c r="H2558" s="33" t="s">
        <v>73</v>
      </c>
      <c r="I2558" s="33" t="s">
        <v>196</v>
      </c>
      <c r="J2558" s="34">
        <v>1009.77</v>
      </c>
      <c r="K2558" s="34"/>
      <c r="L2558" s="34">
        <v>1009.77</v>
      </c>
    </row>
    <row r="2559" spans="2:12" x14ac:dyDescent="0.3">
      <c r="B2559" s="25">
        <v>2569</v>
      </c>
      <c r="C2559" s="33">
        <v>53322</v>
      </c>
      <c r="D2559" s="33" t="s">
        <v>412</v>
      </c>
      <c r="E2559" s="35">
        <v>44854</v>
      </c>
      <c r="F2559" s="33">
        <v>4</v>
      </c>
      <c r="G2559" s="33" t="s">
        <v>231</v>
      </c>
      <c r="H2559" s="33" t="s">
        <v>73</v>
      </c>
      <c r="I2559" s="33" t="s">
        <v>198</v>
      </c>
      <c r="J2559" s="34">
        <v>674.97</v>
      </c>
      <c r="K2559" s="34"/>
      <c r="L2559" s="34">
        <v>674.97</v>
      </c>
    </row>
    <row r="2560" spans="2:12" x14ac:dyDescent="0.3">
      <c r="B2560" s="25">
        <v>2570</v>
      </c>
      <c r="C2560" s="33">
        <v>53323</v>
      </c>
      <c r="D2560" s="33" t="s">
        <v>413</v>
      </c>
      <c r="E2560" s="35">
        <v>44854</v>
      </c>
      <c r="F2560" s="33">
        <v>4</v>
      </c>
      <c r="G2560" s="33" t="s">
        <v>122</v>
      </c>
      <c r="H2560" s="33" t="s">
        <v>73</v>
      </c>
      <c r="I2560" s="33" t="s">
        <v>196</v>
      </c>
      <c r="J2560" s="34">
        <v>312.5</v>
      </c>
      <c r="K2560" s="34"/>
      <c r="L2560" s="34">
        <v>312.5</v>
      </c>
    </row>
    <row r="2561" spans="2:12" x14ac:dyDescent="0.3">
      <c r="B2561" s="25">
        <v>2571</v>
      </c>
      <c r="C2561" s="33">
        <v>53426</v>
      </c>
      <c r="D2561" s="33" t="s">
        <v>414</v>
      </c>
      <c r="E2561" s="35">
        <v>44861</v>
      </c>
      <c r="F2561" s="33">
        <v>4</v>
      </c>
      <c r="G2561" s="33" t="s">
        <v>122</v>
      </c>
      <c r="H2561" s="33">
        <v>53</v>
      </c>
      <c r="I2561" s="33" t="s">
        <v>196</v>
      </c>
      <c r="J2561" s="34">
        <v>4219.97</v>
      </c>
      <c r="K2561" s="34"/>
      <c r="L2561" s="34">
        <v>4219.97</v>
      </c>
    </row>
    <row r="2562" spans="2:12" x14ac:dyDescent="0.3">
      <c r="B2562" s="25">
        <v>2572</v>
      </c>
      <c r="C2562" s="33">
        <v>53432</v>
      </c>
      <c r="D2562" s="33" t="s">
        <v>400</v>
      </c>
      <c r="E2562" s="35">
        <v>44861</v>
      </c>
      <c r="F2562" s="33">
        <v>4</v>
      </c>
      <c r="G2562" s="33" t="s">
        <v>231</v>
      </c>
      <c r="H2562" s="33">
        <v>53</v>
      </c>
      <c r="I2562" s="33" t="s">
        <v>198</v>
      </c>
      <c r="J2562" s="34">
        <v>1959.34</v>
      </c>
      <c r="K2562" s="34"/>
      <c r="L2562" s="34">
        <v>1959.34</v>
      </c>
    </row>
    <row r="2563" spans="2:12" x14ac:dyDescent="0.3">
      <c r="B2563" s="25">
        <v>2573</v>
      </c>
      <c r="C2563" s="33">
        <v>53519</v>
      </c>
      <c r="D2563" s="33" t="s">
        <v>400</v>
      </c>
      <c r="E2563" s="35">
        <v>44868</v>
      </c>
      <c r="F2563" s="33">
        <v>4</v>
      </c>
      <c r="G2563" s="33" t="s">
        <v>231</v>
      </c>
      <c r="H2563" s="33">
        <v>53</v>
      </c>
      <c r="I2563" s="33" t="s">
        <v>198</v>
      </c>
      <c r="J2563" s="34">
        <v>1503</v>
      </c>
      <c r="K2563" s="34"/>
      <c r="L2563" s="34">
        <v>1503</v>
      </c>
    </row>
    <row r="2564" spans="2:12" x14ac:dyDescent="0.3">
      <c r="B2564" s="25">
        <v>2574</v>
      </c>
      <c r="C2564" s="33">
        <v>53523</v>
      </c>
      <c r="D2564" s="33" t="s">
        <v>411</v>
      </c>
      <c r="E2564" s="35">
        <v>44868</v>
      </c>
      <c r="F2564" s="33">
        <v>4</v>
      </c>
      <c r="G2564" s="33" t="s">
        <v>122</v>
      </c>
      <c r="H2564" s="33">
        <v>53</v>
      </c>
      <c r="I2564" s="33" t="s">
        <v>196</v>
      </c>
      <c r="J2564" s="34">
        <v>1537</v>
      </c>
      <c r="K2564" s="34"/>
      <c r="L2564" s="34">
        <v>1537</v>
      </c>
    </row>
    <row r="2565" spans="2:12" x14ac:dyDescent="0.3">
      <c r="B2565" s="25">
        <v>2575</v>
      </c>
      <c r="C2565" s="33">
        <v>53524</v>
      </c>
      <c r="D2565" s="33" t="s">
        <v>413</v>
      </c>
      <c r="E2565" s="35">
        <v>44868</v>
      </c>
      <c r="F2565" s="33">
        <v>4</v>
      </c>
      <c r="G2565" s="33" t="s">
        <v>122</v>
      </c>
      <c r="H2565" s="33" t="s">
        <v>73</v>
      </c>
      <c r="I2565" s="33" t="s">
        <v>196</v>
      </c>
      <c r="J2565" s="34">
        <v>367</v>
      </c>
      <c r="K2565" s="34"/>
      <c r="L2565" s="34">
        <v>367</v>
      </c>
    </row>
    <row r="2566" spans="2:12" x14ac:dyDescent="0.3">
      <c r="B2566" s="25">
        <v>2576</v>
      </c>
      <c r="C2566" s="33">
        <v>53525</v>
      </c>
      <c r="D2566" s="33" t="s">
        <v>665</v>
      </c>
      <c r="E2566" s="35">
        <v>44868</v>
      </c>
      <c r="F2566" s="33">
        <v>4</v>
      </c>
      <c r="G2566" s="33" t="s">
        <v>122</v>
      </c>
      <c r="H2566" s="33">
        <v>53</v>
      </c>
      <c r="I2566" s="33" t="s">
        <v>196</v>
      </c>
      <c r="J2566" s="34">
        <v>691.5</v>
      </c>
      <c r="K2566" s="34"/>
      <c r="L2566" s="34">
        <v>691.5</v>
      </c>
    </row>
    <row r="2567" spans="2:12" x14ac:dyDescent="0.3">
      <c r="B2567" s="25">
        <v>2577</v>
      </c>
      <c r="C2567" s="33">
        <v>34763</v>
      </c>
      <c r="D2567" s="33" t="s">
        <v>611</v>
      </c>
      <c r="E2567" s="35">
        <v>44889</v>
      </c>
      <c r="F2567" s="33">
        <v>4</v>
      </c>
      <c r="G2567" s="33" t="s">
        <v>628</v>
      </c>
      <c r="H2567" s="33" t="s">
        <v>72</v>
      </c>
      <c r="I2567" s="33" t="s">
        <v>75</v>
      </c>
      <c r="J2567" s="34">
        <v>1933</v>
      </c>
      <c r="K2567" s="34"/>
      <c r="L2567" s="34">
        <v>1933</v>
      </c>
    </row>
    <row r="2568" spans="2:12" x14ac:dyDescent="0.3">
      <c r="B2568" s="25">
        <v>2578</v>
      </c>
      <c r="C2568" s="33">
        <v>5104</v>
      </c>
      <c r="D2568" s="33" t="s">
        <v>781</v>
      </c>
      <c r="E2568" s="35">
        <v>44889</v>
      </c>
      <c r="F2568" s="33">
        <v>4</v>
      </c>
      <c r="G2568" s="33" t="s">
        <v>628</v>
      </c>
      <c r="H2568" s="33" t="s">
        <v>630</v>
      </c>
      <c r="I2568" s="33" t="s">
        <v>75</v>
      </c>
      <c r="J2568" s="34">
        <v>803.2</v>
      </c>
      <c r="K2568" s="34">
        <v>40</v>
      </c>
      <c r="L2568" s="34">
        <v>763.2</v>
      </c>
    </row>
    <row r="2569" spans="2:12" x14ac:dyDescent="0.3">
      <c r="B2569" s="25">
        <v>2579</v>
      </c>
      <c r="C2569" s="33">
        <v>53224</v>
      </c>
      <c r="D2569" s="33" t="s">
        <v>369</v>
      </c>
      <c r="E2569" s="35">
        <v>44847</v>
      </c>
      <c r="F2569" s="33">
        <v>4</v>
      </c>
      <c r="G2569" s="33" t="s">
        <v>124</v>
      </c>
      <c r="H2569" s="33" t="s">
        <v>73</v>
      </c>
      <c r="I2569" s="33" t="s">
        <v>197</v>
      </c>
      <c r="J2569" s="34">
        <v>129.96</v>
      </c>
      <c r="K2569" s="34"/>
      <c r="L2569" s="34">
        <v>129.96</v>
      </c>
    </row>
    <row r="2570" spans="2:12" x14ac:dyDescent="0.3">
      <c r="B2570" s="25">
        <v>2580</v>
      </c>
      <c r="C2570" s="33" t="s">
        <v>1335</v>
      </c>
      <c r="D2570" s="33" t="s">
        <v>1336</v>
      </c>
      <c r="E2570" s="35">
        <v>44896</v>
      </c>
      <c r="F2570" s="33">
        <v>4</v>
      </c>
      <c r="G2570" s="33" t="s">
        <v>124</v>
      </c>
      <c r="H2570" s="33" t="s">
        <v>630</v>
      </c>
      <c r="I2570" s="33" t="s">
        <v>197</v>
      </c>
      <c r="J2570" s="34">
        <v>12155.72</v>
      </c>
      <c r="K2570" s="34"/>
      <c r="L2570" s="34">
        <v>12155.72</v>
      </c>
    </row>
    <row r="2571" spans="2:12" x14ac:dyDescent="0.3">
      <c r="B2571" s="25">
        <v>2581</v>
      </c>
      <c r="C2571" s="33" t="s">
        <v>1337</v>
      </c>
      <c r="D2571" s="33" t="s">
        <v>1338</v>
      </c>
      <c r="E2571" s="35">
        <v>44895</v>
      </c>
      <c r="F2571" s="33">
        <v>4</v>
      </c>
      <c r="G2571" s="33" t="s">
        <v>122</v>
      </c>
      <c r="H2571" s="33" t="s">
        <v>70</v>
      </c>
      <c r="I2571" s="33" t="s">
        <v>196</v>
      </c>
      <c r="J2571" s="34">
        <v>1061.1199999999999</v>
      </c>
      <c r="K2571" s="34"/>
      <c r="L2571" s="34">
        <v>1061.1199999999999</v>
      </c>
    </row>
    <row r="2572" spans="2:12" x14ac:dyDescent="0.3">
      <c r="B2572" s="25">
        <v>2583</v>
      </c>
      <c r="C2572" s="33" t="s">
        <v>1339</v>
      </c>
      <c r="D2572" s="33" t="s">
        <v>1340</v>
      </c>
      <c r="E2572" s="35">
        <v>44872</v>
      </c>
      <c r="F2572" s="33">
        <v>4</v>
      </c>
      <c r="G2572" s="33" t="s">
        <v>231</v>
      </c>
      <c r="H2572" s="33" t="s">
        <v>629</v>
      </c>
      <c r="I2572" s="33" t="s">
        <v>198</v>
      </c>
      <c r="J2572" s="34">
        <v>5914</v>
      </c>
      <c r="K2572" s="34"/>
      <c r="L2572" s="34">
        <v>5914</v>
      </c>
    </row>
    <row r="2573" spans="2:12" x14ac:dyDescent="0.3">
      <c r="B2573" s="25">
        <v>2584</v>
      </c>
      <c r="C2573" s="33" t="s">
        <v>1341</v>
      </c>
      <c r="D2573" s="33" t="s">
        <v>413</v>
      </c>
      <c r="E2573" s="35">
        <v>44890</v>
      </c>
      <c r="F2573" s="33">
        <v>4</v>
      </c>
      <c r="G2573" s="33" t="s">
        <v>122</v>
      </c>
      <c r="H2573" s="33" t="s">
        <v>629</v>
      </c>
      <c r="I2573" s="33" t="s">
        <v>196</v>
      </c>
      <c r="J2573" s="34">
        <v>4297</v>
      </c>
      <c r="K2573" s="34"/>
      <c r="L2573" s="34">
        <v>4297</v>
      </c>
    </row>
    <row r="2574" spans="2:12" x14ac:dyDescent="0.3">
      <c r="B2574" s="25">
        <v>2585</v>
      </c>
      <c r="C2574" s="33" t="s">
        <v>1342</v>
      </c>
      <c r="D2574" s="33" t="s">
        <v>1343</v>
      </c>
      <c r="E2574" s="35">
        <v>44861</v>
      </c>
      <c r="F2574" s="33">
        <v>4</v>
      </c>
      <c r="G2574" s="33" t="s">
        <v>124</v>
      </c>
      <c r="H2574" s="33" t="s">
        <v>201</v>
      </c>
      <c r="I2574" s="33" t="s">
        <v>197</v>
      </c>
      <c r="J2574" s="34">
        <v>16766.400000000001</v>
      </c>
      <c r="K2574" s="34"/>
      <c r="L2574" s="34">
        <v>16766.400000000001</v>
      </c>
    </row>
    <row r="2575" spans="2:12" x14ac:dyDescent="0.3">
      <c r="B2575" s="25">
        <v>2586</v>
      </c>
      <c r="C2575" s="33">
        <v>8128</v>
      </c>
      <c r="D2575" s="33" t="s">
        <v>1343</v>
      </c>
      <c r="E2575" s="35">
        <v>44904</v>
      </c>
      <c r="F2575" s="33">
        <v>4</v>
      </c>
      <c r="G2575" s="33" t="s">
        <v>122</v>
      </c>
      <c r="H2575" s="33" t="s">
        <v>201</v>
      </c>
      <c r="I2575" s="33" t="s">
        <v>196</v>
      </c>
      <c r="J2575" s="34">
        <v>11619.1</v>
      </c>
      <c r="K2575" s="34"/>
      <c r="L2575" s="34">
        <v>11619.1</v>
      </c>
    </row>
    <row r="2576" spans="2:12" x14ac:dyDescent="0.3">
      <c r="B2576" s="25">
        <v>2587</v>
      </c>
      <c r="C2576" s="33">
        <v>5279</v>
      </c>
      <c r="D2576" s="33" t="s">
        <v>1344</v>
      </c>
      <c r="E2576" s="35">
        <v>44902</v>
      </c>
      <c r="F2576" s="33">
        <v>4</v>
      </c>
      <c r="G2576" s="33" t="s">
        <v>122</v>
      </c>
      <c r="H2576" s="33" t="s">
        <v>71</v>
      </c>
      <c r="I2576" s="33" t="s">
        <v>196</v>
      </c>
      <c r="J2576" s="34">
        <v>2662.66</v>
      </c>
      <c r="K2576" s="34"/>
      <c r="L2576" s="34">
        <v>2662.66</v>
      </c>
    </row>
    <row r="2577" spans="2:12" x14ac:dyDescent="0.3">
      <c r="B2577" s="25">
        <v>2588</v>
      </c>
      <c r="C2577" s="33">
        <v>4763</v>
      </c>
      <c r="D2577" s="33" t="s">
        <v>384</v>
      </c>
      <c r="E2577" s="35">
        <v>44872</v>
      </c>
      <c r="F2577" s="33">
        <v>4</v>
      </c>
      <c r="G2577" s="33" t="s">
        <v>124</v>
      </c>
      <c r="H2577" s="33" t="s">
        <v>71</v>
      </c>
      <c r="I2577" s="33" t="s">
        <v>197</v>
      </c>
      <c r="J2577" s="34">
        <v>3205.38</v>
      </c>
      <c r="K2577" s="34"/>
      <c r="L2577" s="34">
        <v>3205.38</v>
      </c>
    </row>
    <row r="2578" spans="2:12" x14ac:dyDescent="0.3">
      <c r="B2578" s="25">
        <v>2589</v>
      </c>
      <c r="C2578" s="33">
        <v>4764</v>
      </c>
      <c r="D2578" s="33" t="s">
        <v>1071</v>
      </c>
      <c r="E2578" s="35">
        <v>44872</v>
      </c>
      <c r="F2578" s="33">
        <v>4</v>
      </c>
      <c r="G2578" s="33" t="s">
        <v>628</v>
      </c>
      <c r="H2578" s="33" t="s">
        <v>71</v>
      </c>
      <c r="I2578" s="33" t="s">
        <v>75</v>
      </c>
      <c r="J2578" s="34">
        <v>715</v>
      </c>
      <c r="K2578" s="34">
        <v>80</v>
      </c>
      <c r="L2578" s="34">
        <v>635</v>
      </c>
    </row>
    <row r="2579" spans="2:12" x14ac:dyDescent="0.3">
      <c r="B2579" s="25">
        <v>2590</v>
      </c>
      <c r="C2579" s="33">
        <v>4786</v>
      </c>
      <c r="D2579" s="33" t="s">
        <v>748</v>
      </c>
      <c r="E2579" s="35">
        <v>44873</v>
      </c>
      <c r="F2579" s="33">
        <v>4</v>
      </c>
      <c r="G2579" s="33" t="s">
        <v>122</v>
      </c>
      <c r="H2579" s="33" t="s">
        <v>71</v>
      </c>
      <c r="I2579" s="33" t="s">
        <v>196</v>
      </c>
      <c r="J2579" s="34">
        <v>2899.26</v>
      </c>
      <c r="K2579" s="34"/>
      <c r="L2579" s="34">
        <v>2899.26</v>
      </c>
    </row>
    <row r="2580" spans="2:12" x14ac:dyDescent="0.3">
      <c r="B2580" s="25">
        <v>2591</v>
      </c>
      <c r="C2580" s="33">
        <v>2085</v>
      </c>
      <c r="D2580" s="33" t="s">
        <v>996</v>
      </c>
      <c r="E2580" s="35">
        <v>44873</v>
      </c>
      <c r="F2580" s="33">
        <v>4</v>
      </c>
      <c r="G2580" s="33" t="s">
        <v>231</v>
      </c>
      <c r="H2580" s="33" t="s">
        <v>71</v>
      </c>
      <c r="I2580" s="33" t="s">
        <v>198</v>
      </c>
      <c r="J2580" s="34">
        <v>27254.62</v>
      </c>
      <c r="K2580" s="34"/>
      <c r="L2580" s="34">
        <v>27254.62</v>
      </c>
    </row>
    <row r="2581" spans="2:12" x14ac:dyDescent="0.3">
      <c r="B2581" s="25">
        <v>2592</v>
      </c>
      <c r="C2581" s="33">
        <v>2084</v>
      </c>
      <c r="D2581" s="33" t="s">
        <v>996</v>
      </c>
      <c r="E2581" s="35">
        <v>44873</v>
      </c>
      <c r="F2581" s="33">
        <v>4</v>
      </c>
      <c r="G2581" s="33" t="s">
        <v>231</v>
      </c>
      <c r="H2581" s="33" t="s">
        <v>71</v>
      </c>
      <c r="I2581" s="33" t="s">
        <v>198</v>
      </c>
      <c r="J2581" s="34">
        <v>18607.25</v>
      </c>
      <c r="K2581" s="34"/>
      <c r="L2581" s="34">
        <v>18607.25</v>
      </c>
    </row>
    <row r="2582" spans="2:12" x14ac:dyDescent="0.3">
      <c r="B2582" s="25">
        <v>2593</v>
      </c>
      <c r="C2582" s="33">
        <v>4815</v>
      </c>
      <c r="D2582" s="33" t="s">
        <v>539</v>
      </c>
      <c r="E2582" s="35">
        <v>44875</v>
      </c>
      <c r="F2582" s="33">
        <v>4</v>
      </c>
      <c r="G2582" s="33" t="s">
        <v>628</v>
      </c>
      <c r="H2582" s="33" t="s">
        <v>71</v>
      </c>
      <c r="I2582" s="33" t="s">
        <v>75</v>
      </c>
      <c r="J2582" s="34">
        <v>3543.54</v>
      </c>
      <c r="K2582" s="34"/>
      <c r="L2582" s="34">
        <v>3543.54</v>
      </c>
    </row>
    <row r="2583" spans="2:12" x14ac:dyDescent="0.3">
      <c r="B2583" s="25">
        <v>2594</v>
      </c>
      <c r="C2583" s="33">
        <v>4830</v>
      </c>
      <c r="D2583" s="33" t="s">
        <v>894</v>
      </c>
      <c r="E2583" s="35">
        <v>44876</v>
      </c>
      <c r="F2583" s="33">
        <v>4</v>
      </c>
      <c r="G2583" s="33" t="s">
        <v>122</v>
      </c>
      <c r="H2583" s="33" t="s">
        <v>71</v>
      </c>
      <c r="I2583" s="33" t="s">
        <v>196</v>
      </c>
      <c r="J2583" s="34">
        <v>4954.95</v>
      </c>
      <c r="K2583" s="34"/>
      <c r="L2583" s="34">
        <v>4954.95</v>
      </c>
    </row>
    <row r="2584" spans="2:12" x14ac:dyDescent="0.3">
      <c r="B2584" s="25">
        <v>2595</v>
      </c>
      <c r="C2584" s="33" t="s">
        <v>1345</v>
      </c>
      <c r="D2584" s="33" t="s">
        <v>363</v>
      </c>
      <c r="E2584" s="35">
        <v>44879</v>
      </c>
      <c r="F2584" s="33">
        <v>4</v>
      </c>
      <c r="G2584" s="33" t="s">
        <v>124</v>
      </c>
      <c r="H2584" s="33" t="s">
        <v>71</v>
      </c>
      <c r="I2584" s="33" t="s">
        <v>197</v>
      </c>
      <c r="J2584" s="34">
        <v>4299.12</v>
      </c>
      <c r="K2584" s="34"/>
      <c r="L2584" s="34">
        <v>4299.12</v>
      </c>
    </row>
    <row r="2585" spans="2:12" x14ac:dyDescent="0.3">
      <c r="B2585" s="25">
        <v>2596</v>
      </c>
      <c r="C2585" s="33" t="s">
        <v>1346</v>
      </c>
      <c r="D2585" s="33" t="s">
        <v>651</v>
      </c>
      <c r="E2585" s="35">
        <v>44881</v>
      </c>
      <c r="F2585" s="33">
        <v>4</v>
      </c>
      <c r="G2585" s="33" t="s">
        <v>231</v>
      </c>
      <c r="H2585" s="33" t="s">
        <v>71</v>
      </c>
      <c r="I2585" s="33" t="s">
        <v>198</v>
      </c>
      <c r="J2585" s="34">
        <v>1458.27</v>
      </c>
      <c r="K2585" s="34"/>
      <c r="L2585" s="34">
        <v>1458.27</v>
      </c>
    </row>
    <row r="2586" spans="2:12" x14ac:dyDescent="0.3">
      <c r="B2586" s="25">
        <v>2597</v>
      </c>
      <c r="C2586" s="33" t="s">
        <v>1347</v>
      </c>
      <c r="D2586" s="33" t="s">
        <v>393</v>
      </c>
      <c r="E2586" s="35">
        <v>44886</v>
      </c>
      <c r="F2586" s="33">
        <v>4</v>
      </c>
      <c r="G2586" s="33" t="s">
        <v>122</v>
      </c>
      <c r="H2586" s="33" t="s">
        <v>71</v>
      </c>
      <c r="I2586" s="33" t="s">
        <v>196</v>
      </c>
      <c r="J2586" s="34">
        <v>1696.19</v>
      </c>
      <c r="K2586" s="34"/>
      <c r="L2586" s="34">
        <v>1696.19</v>
      </c>
    </row>
    <row r="2587" spans="2:12" x14ac:dyDescent="0.3">
      <c r="B2587" s="25">
        <v>2598</v>
      </c>
      <c r="C2587" s="33">
        <v>4921</v>
      </c>
      <c r="D2587" s="33" t="s">
        <v>285</v>
      </c>
      <c r="E2587" s="35">
        <v>44886</v>
      </c>
      <c r="F2587" s="33">
        <v>4</v>
      </c>
      <c r="G2587" s="33" t="s">
        <v>124</v>
      </c>
      <c r="H2587" s="33" t="s">
        <v>71</v>
      </c>
      <c r="I2587" s="33" t="s">
        <v>197</v>
      </c>
      <c r="J2587" s="34">
        <v>899.82</v>
      </c>
      <c r="K2587" s="34">
        <v>80</v>
      </c>
      <c r="L2587" s="34">
        <v>819.82</v>
      </c>
    </row>
    <row r="2588" spans="2:12" x14ac:dyDescent="0.3">
      <c r="B2588" s="25">
        <v>2599</v>
      </c>
      <c r="C2588" s="33" t="s">
        <v>1348</v>
      </c>
      <c r="D2588" s="33" t="s">
        <v>651</v>
      </c>
      <c r="E2588" s="35">
        <v>44886</v>
      </c>
      <c r="F2588" s="33">
        <v>4</v>
      </c>
      <c r="G2588" s="33" t="s">
        <v>231</v>
      </c>
      <c r="H2588" s="33" t="s">
        <v>71</v>
      </c>
      <c r="I2588" s="33" t="s">
        <v>198</v>
      </c>
      <c r="J2588" s="34">
        <v>811.14</v>
      </c>
      <c r="K2588" s="34"/>
      <c r="L2588" s="34">
        <v>811.14</v>
      </c>
    </row>
    <row r="2589" spans="2:12" x14ac:dyDescent="0.3">
      <c r="B2589" s="25">
        <v>2600</v>
      </c>
      <c r="C2589" s="33">
        <v>4927</v>
      </c>
      <c r="D2589" s="33" t="s">
        <v>654</v>
      </c>
      <c r="E2589" s="35">
        <v>44887</v>
      </c>
      <c r="F2589" s="33">
        <v>4</v>
      </c>
      <c r="G2589" s="33" t="s">
        <v>628</v>
      </c>
      <c r="H2589" s="33" t="s">
        <v>71</v>
      </c>
      <c r="I2589" s="33" t="s">
        <v>75</v>
      </c>
      <c r="J2589" s="34">
        <v>837.21</v>
      </c>
      <c r="K2589" s="34">
        <v>130</v>
      </c>
      <c r="L2589" s="34">
        <v>707.21</v>
      </c>
    </row>
    <row r="2590" spans="2:12" x14ac:dyDescent="0.3">
      <c r="B2590" s="25">
        <v>2601</v>
      </c>
      <c r="C2590" s="33">
        <v>4963</v>
      </c>
      <c r="D2590" s="33" t="s">
        <v>426</v>
      </c>
      <c r="E2590" s="35">
        <v>44888</v>
      </c>
      <c r="F2590" s="33">
        <v>4</v>
      </c>
      <c r="G2590" s="33" t="s">
        <v>628</v>
      </c>
      <c r="H2590" s="33" t="s">
        <v>71</v>
      </c>
      <c r="I2590" s="33" t="s">
        <v>75</v>
      </c>
      <c r="J2590" s="34">
        <v>1477.47</v>
      </c>
      <c r="K2590" s="34"/>
      <c r="L2590" s="34">
        <v>1477.47</v>
      </c>
    </row>
    <row r="2591" spans="2:12" x14ac:dyDescent="0.3">
      <c r="B2591" s="25">
        <v>2602</v>
      </c>
      <c r="C2591" s="33">
        <v>4965</v>
      </c>
      <c r="D2591" s="33" t="s">
        <v>362</v>
      </c>
      <c r="E2591" s="35">
        <v>44888</v>
      </c>
      <c r="F2591" s="33">
        <v>4</v>
      </c>
      <c r="G2591" s="33" t="s">
        <v>124</v>
      </c>
      <c r="H2591" s="33" t="s">
        <v>71</v>
      </c>
      <c r="I2591" s="33" t="s">
        <v>197</v>
      </c>
      <c r="J2591" s="34">
        <v>936.93</v>
      </c>
      <c r="K2591" s="34"/>
      <c r="L2591" s="34">
        <v>936.93</v>
      </c>
    </row>
    <row r="2592" spans="2:12" x14ac:dyDescent="0.3">
      <c r="B2592" s="25">
        <v>2603</v>
      </c>
      <c r="C2592" s="33">
        <v>4966</v>
      </c>
      <c r="D2592" s="33" t="s">
        <v>362</v>
      </c>
      <c r="E2592" s="35">
        <v>44888</v>
      </c>
      <c r="F2592" s="33">
        <v>4</v>
      </c>
      <c r="G2592" s="33" t="s">
        <v>124</v>
      </c>
      <c r="H2592" s="33" t="s">
        <v>71</v>
      </c>
      <c r="I2592" s="33" t="s">
        <v>197</v>
      </c>
      <c r="J2592" s="34">
        <v>1387.39</v>
      </c>
      <c r="K2592" s="34"/>
      <c r="L2592" s="34">
        <v>1387.39</v>
      </c>
    </row>
    <row r="2593" spans="2:12" x14ac:dyDescent="0.3">
      <c r="B2593" s="25">
        <v>2604</v>
      </c>
      <c r="C2593" s="33">
        <v>5057</v>
      </c>
      <c r="D2593" s="33" t="s">
        <v>412</v>
      </c>
      <c r="E2593" s="35">
        <v>44889</v>
      </c>
      <c r="F2593" s="33">
        <v>4</v>
      </c>
      <c r="G2593" s="33" t="s">
        <v>231</v>
      </c>
      <c r="H2593" s="33" t="s">
        <v>71</v>
      </c>
      <c r="I2593" s="33" t="s">
        <v>198</v>
      </c>
      <c r="J2593" s="34">
        <v>1576.58</v>
      </c>
      <c r="K2593" s="34"/>
      <c r="L2593" s="34">
        <v>1576.58</v>
      </c>
    </row>
    <row r="2594" spans="2:12" x14ac:dyDescent="0.3">
      <c r="B2594" s="25">
        <v>2605</v>
      </c>
      <c r="C2594" s="33">
        <v>5082</v>
      </c>
      <c r="D2594" s="33" t="s">
        <v>362</v>
      </c>
      <c r="E2594" s="35">
        <v>44890</v>
      </c>
      <c r="F2594" s="33">
        <v>4</v>
      </c>
      <c r="G2594" s="33" t="s">
        <v>124</v>
      </c>
      <c r="H2594" s="33" t="s">
        <v>71</v>
      </c>
      <c r="I2594" s="33" t="s">
        <v>197</v>
      </c>
      <c r="J2594" s="34">
        <v>303.8</v>
      </c>
      <c r="K2594" s="34"/>
      <c r="L2594" s="34">
        <v>303.8</v>
      </c>
    </row>
    <row r="2595" spans="2:12" x14ac:dyDescent="0.3">
      <c r="B2595" s="25">
        <v>2606</v>
      </c>
      <c r="C2595" s="33">
        <v>6423</v>
      </c>
      <c r="D2595" s="33" t="s">
        <v>769</v>
      </c>
      <c r="E2595" s="35">
        <v>44889</v>
      </c>
      <c r="F2595" s="33">
        <v>4</v>
      </c>
      <c r="G2595" s="33" t="s">
        <v>628</v>
      </c>
      <c r="H2595" s="33" t="s">
        <v>71</v>
      </c>
      <c r="I2595" s="33" t="s">
        <v>75</v>
      </c>
      <c r="J2595" s="34">
        <v>762</v>
      </c>
      <c r="K2595" s="34">
        <v>80</v>
      </c>
      <c r="L2595" s="34">
        <v>682</v>
      </c>
    </row>
    <row r="2596" spans="2:12" x14ac:dyDescent="0.3">
      <c r="B2596" s="25">
        <v>2607</v>
      </c>
      <c r="C2596" s="33">
        <v>5167</v>
      </c>
      <c r="D2596" s="33" t="s">
        <v>654</v>
      </c>
      <c r="E2596" s="35">
        <v>44894</v>
      </c>
      <c r="F2596" s="33">
        <v>4</v>
      </c>
      <c r="G2596" s="33" t="s">
        <v>628</v>
      </c>
      <c r="H2596" s="33" t="s">
        <v>71</v>
      </c>
      <c r="I2596" s="33" t="s">
        <v>75</v>
      </c>
      <c r="J2596" s="34">
        <v>765.85</v>
      </c>
      <c r="K2596" s="34"/>
      <c r="L2596" s="34">
        <v>765.85</v>
      </c>
    </row>
    <row r="2597" spans="2:12" x14ac:dyDescent="0.3">
      <c r="B2597" s="25">
        <v>2608</v>
      </c>
      <c r="C2597" s="33" t="s">
        <v>1349</v>
      </c>
      <c r="D2597" s="33" t="s">
        <v>909</v>
      </c>
      <c r="E2597" s="35">
        <v>44902</v>
      </c>
      <c r="F2597" s="33">
        <v>4</v>
      </c>
      <c r="G2597" s="33" t="s">
        <v>122</v>
      </c>
      <c r="H2597" s="33" t="s">
        <v>630</v>
      </c>
      <c r="I2597" s="33" t="s">
        <v>196</v>
      </c>
      <c r="J2597" s="34">
        <v>6679.8</v>
      </c>
      <c r="K2597" s="34"/>
      <c r="L2597" s="34">
        <v>6679.8</v>
      </c>
    </row>
    <row r="2598" spans="2:12" x14ac:dyDescent="0.3">
      <c r="B2598" s="25">
        <v>2609</v>
      </c>
      <c r="C2598" s="33">
        <v>5208</v>
      </c>
      <c r="D2598" s="33" t="s">
        <v>1350</v>
      </c>
      <c r="E2598" s="35">
        <v>44928</v>
      </c>
      <c r="F2598" s="33">
        <v>1</v>
      </c>
      <c r="G2598" s="33" t="s">
        <v>122</v>
      </c>
      <c r="H2598" s="33" t="s">
        <v>630</v>
      </c>
      <c r="I2598" s="33" t="s">
        <v>196</v>
      </c>
      <c r="J2598" s="34">
        <v>2107.1999999999998</v>
      </c>
      <c r="K2598" s="34"/>
      <c r="L2598" s="34">
        <v>2107.1999999999998</v>
      </c>
    </row>
    <row r="2599" spans="2:12" x14ac:dyDescent="0.3">
      <c r="B2599" s="25">
        <v>2610</v>
      </c>
      <c r="C2599" s="33" t="s">
        <v>1351</v>
      </c>
      <c r="D2599" s="33" t="s">
        <v>1350</v>
      </c>
      <c r="E2599" s="35">
        <v>44928</v>
      </c>
      <c r="F2599" s="33">
        <v>1</v>
      </c>
      <c r="G2599" s="33" t="s">
        <v>231</v>
      </c>
      <c r="H2599" s="33" t="s">
        <v>630</v>
      </c>
      <c r="I2599" s="33" t="s">
        <v>198</v>
      </c>
      <c r="J2599" s="34">
        <v>4241.6000000000004</v>
      </c>
      <c r="K2599" s="34"/>
      <c r="L2599" s="34">
        <v>4241.6000000000004</v>
      </c>
    </row>
    <row r="2600" spans="2:12" x14ac:dyDescent="0.3">
      <c r="B2600" s="25">
        <v>2611</v>
      </c>
      <c r="C2600" s="33">
        <v>56</v>
      </c>
      <c r="D2600" s="33" t="s">
        <v>1352</v>
      </c>
      <c r="E2600" s="35">
        <v>44936</v>
      </c>
      <c r="F2600" s="33">
        <v>1</v>
      </c>
      <c r="G2600" s="33" t="s">
        <v>122</v>
      </c>
      <c r="H2600" s="33" t="s">
        <v>71</v>
      </c>
      <c r="I2600" s="33" t="s">
        <v>196</v>
      </c>
      <c r="J2600" s="34">
        <v>1199.05</v>
      </c>
      <c r="K2600" s="34"/>
      <c r="L2600" s="34">
        <v>1199.05</v>
      </c>
    </row>
    <row r="2601" spans="2:12" x14ac:dyDescent="0.3">
      <c r="B2601" s="25">
        <v>2612</v>
      </c>
      <c r="C2601" s="33">
        <v>34991</v>
      </c>
      <c r="D2601" s="33" t="s">
        <v>1264</v>
      </c>
      <c r="E2601" s="35">
        <v>44916</v>
      </c>
      <c r="F2601" s="33">
        <v>4</v>
      </c>
      <c r="G2601" s="33" t="s">
        <v>122</v>
      </c>
      <c r="H2601" s="33" t="s">
        <v>72</v>
      </c>
      <c r="I2601" s="33" t="s">
        <v>196</v>
      </c>
      <c r="J2601" s="34">
        <v>27906.799999999999</v>
      </c>
      <c r="K2601" s="34"/>
      <c r="L2601" s="34">
        <v>27906.799999999999</v>
      </c>
    </row>
    <row r="2602" spans="2:12" x14ac:dyDescent="0.3">
      <c r="B2602" s="25">
        <v>2613</v>
      </c>
      <c r="C2602" s="33" t="s">
        <v>1353</v>
      </c>
      <c r="D2602" s="33" t="s">
        <v>1264</v>
      </c>
      <c r="E2602" s="35">
        <v>44903</v>
      </c>
      <c r="F2602" s="33">
        <v>4</v>
      </c>
      <c r="G2602" s="33" t="s">
        <v>124</v>
      </c>
      <c r="H2602" s="33" t="s">
        <v>72</v>
      </c>
      <c r="I2602" s="33" t="s">
        <v>197</v>
      </c>
      <c r="J2602" s="34">
        <v>42284</v>
      </c>
      <c r="K2602" s="34"/>
      <c r="L2602" s="34">
        <v>42284</v>
      </c>
    </row>
    <row r="2603" spans="2:12" x14ac:dyDescent="0.3">
      <c r="B2603" s="25">
        <v>2614</v>
      </c>
      <c r="C2603" s="33" t="s">
        <v>1354</v>
      </c>
      <c r="D2603" s="33" t="s">
        <v>1355</v>
      </c>
      <c r="E2603" s="35">
        <v>44837</v>
      </c>
      <c r="F2603" s="33">
        <v>4</v>
      </c>
      <c r="G2603" s="33" t="s">
        <v>122</v>
      </c>
      <c r="H2603" s="33" t="s">
        <v>70</v>
      </c>
      <c r="I2603" s="33" t="s">
        <v>196</v>
      </c>
      <c r="J2603" s="34">
        <v>138</v>
      </c>
      <c r="K2603" s="34">
        <v>58</v>
      </c>
      <c r="L2603" s="34">
        <v>80</v>
      </c>
    </row>
    <row r="2604" spans="2:12" x14ac:dyDescent="0.3">
      <c r="B2604" s="25">
        <v>2615</v>
      </c>
      <c r="C2604" s="33" t="s">
        <v>1356</v>
      </c>
      <c r="D2604" s="33" t="s">
        <v>477</v>
      </c>
      <c r="E2604" s="35">
        <v>44865</v>
      </c>
      <c r="F2604" s="33">
        <v>4</v>
      </c>
      <c r="G2604" s="33" t="s">
        <v>628</v>
      </c>
      <c r="H2604" s="33" t="s">
        <v>70</v>
      </c>
      <c r="I2604" s="33" t="s">
        <v>75</v>
      </c>
      <c r="J2604" s="34">
        <v>1093.8399999999999</v>
      </c>
      <c r="K2604" s="34">
        <v>70</v>
      </c>
      <c r="L2604" s="34">
        <v>1023.84</v>
      </c>
    </row>
    <row r="2605" spans="2:12" x14ac:dyDescent="0.3">
      <c r="B2605" s="25">
        <v>2616</v>
      </c>
      <c r="C2605" s="33" t="s">
        <v>1357</v>
      </c>
      <c r="D2605" s="33" t="s">
        <v>489</v>
      </c>
      <c r="E2605" s="35">
        <v>44865</v>
      </c>
      <c r="F2605" s="33">
        <v>4</v>
      </c>
      <c r="G2605" s="33" t="s">
        <v>628</v>
      </c>
      <c r="H2605" s="33" t="s">
        <v>70</v>
      </c>
      <c r="I2605" s="33" t="s">
        <v>75</v>
      </c>
      <c r="J2605" s="34">
        <v>4201.8100000000004</v>
      </c>
      <c r="K2605" s="34"/>
      <c r="L2605" s="34">
        <v>4201.8100000000004</v>
      </c>
    </row>
    <row r="2606" spans="2:12" x14ac:dyDescent="0.3">
      <c r="B2606" s="25">
        <v>2617</v>
      </c>
      <c r="C2606" s="33" t="s">
        <v>1358</v>
      </c>
      <c r="D2606" s="33" t="s">
        <v>477</v>
      </c>
      <c r="E2606" s="35">
        <v>44895</v>
      </c>
      <c r="F2606" s="33">
        <v>4</v>
      </c>
      <c r="G2606" s="33" t="s">
        <v>628</v>
      </c>
      <c r="H2606" s="33" t="s">
        <v>70</v>
      </c>
      <c r="I2606" s="33" t="s">
        <v>75</v>
      </c>
      <c r="J2606" s="34">
        <v>272.36</v>
      </c>
      <c r="K2606" s="34">
        <v>65</v>
      </c>
      <c r="L2606" s="34">
        <v>207.36</v>
      </c>
    </row>
    <row r="2607" spans="2:12" x14ac:dyDescent="0.3">
      <c r="B2607" s="25">
        <v>2618</v>
      </c>
      <c r="C2607" s="33">
        <v>5213</v>
      </c>
      <c r="D2607" s="33" t="s">
        <v>1071</v>
      </c>
      <c r="E2607" s="35">
        <v>44896</v>
      </c>
      <c r="F2607" s="33">
        <v>4</v>
      </c>
      <c r="G2607" s="33" t="s">
        <v>628</v>
      </c>
      <c r="H2607" s="33" t="s">
        <v>71</v>
      </c>
      <c r="I2607" s="33" t="s">
        <v>75</v>
      </c>
      <c r="J2607" s="34">
        <v>482.95</v>
      </c>
      <c r="K2607" s="34">
        <v>80</v>
      </c>
      <c r="L2607" s="34">
        <v>402.95</v>
      </c>
    </row>
    <row r="2608" spans="2:12" x14ac:dyDescent="0.3">
      <c r="B2608" s="25">
        <v>2619</v>
      </c>
      <c r="C2608" s="33">
        <v>5234</v>
      </c>
      <c r="D2608" s="33" t="s">
        <v>544</v>
      </c>
      <c r="E2608" s="35">
        <v>44897</v>
      </c>
      <c r="F2608" s="33">
        <v>4</v>
      </c>
      <c r="G2608" s="33" t="s">
        <v>122</v>
      </c>
      <c r="H2608" s="33" t="s">
        <v>71</v>
      </c>
      <c r="I2608" s="33" t="s">
        <v>196</v>
      </c>
      <c r="J2608" s="34">
        <v>1281.28</v>
      </c>
      <c r="K2608" s="34"/>
      <c r="L2608" s="34">
        <v>1281.28</v>
      </c>
    </row>
    <row r="2609" spans="2:12" x14ac:dyDescent="0.3">
      <c r="B2609" s="25">
        <v>2620</v>
      </c>
      <c r="C2609" s="33">
        <v>5286</v>
      </c>
      <c r="D2609" s="33" t="s">
        <v>519</v>
      </c>
      <c r="E2609" s="35">
        <v>44907</v>
      </c>
      <c r="F2609" s="33">
        <v>4</v>
      </c>
      <c r="G2609" s="33" t="s">
        <v>628</v>
      </c>
      <c r="H2609" s="33" t="s">
        <v>71</v>
      </c>
      <c r="I2609" s="33" t="s">
        <v>75</v>
      </c>
      <c r="J2609" s="34">
        <v>618.54</v>
      </c>
      <c r="K2609" s="34">
        <v>80</v>
      </c>
      <c r="L2609" s="34">
        <v>538.54</v>
      </c>
    </row>
    <row r="2610" spans="2:12" x14ac:dyDescent="0.3">
      <c r="B2610" s="25">
        <v>2621</v>
      </c>
      <c r="C2610" s="33" t="s">
        <v>1359</v>
      </c>
      <c r="D2610" s="33" t="s">
        <v>1360</v>
      </c>
      <c r="E2610" s="35">
        <v>44907</v>
      </c>
      <c r="F2610" s="33">
        <v>4</v>
      </c>
      <c r="G2610" s="33" t="s">
        <v>628</v>
      </c>
      <c r="H2610" s="33" t="s">
        <v>71</v>
      </c>
      <c r="I2610" s="33" t="s">
        <v>75</v>
      </c>
      <c r="J2610" s="34">
        <v>722.14</v>
      </c>
      <c r="K2610" s="34">
        <v>80</v>
      </c>
      <c r="L2610" s="34">
        <v>642.14</v>
      </c>
    </row>
    <row r="2611" spans="2:12" x14ac:dyDescent="0.3">
      <c r="B2611" s="25">
        <v>2622</v>
      </c>
      <c r="C2611" s="33">
        <v>5292</v>
      </c>
      <c r="D2611" s="33" t="s">
        <v>1361</v>
      </c>
      <c r="E2611" s="35">
        <v>44907</v>
      </c>
      <c r="F2611" s="33">
        <v>4</v>
      </c>
      <c r="G2611" s="33" t="s">
        <v>124</v>
      </c>
      <c r="H2611" s="33" t="s">
        <v>71</v>
      </c>
      <c r="I2611" s="33" t="s">
        <v>197</v>
      </c>
      <c r="J2611" s="34">
        <v>1302.8399999999999</v>
      </c>
      <c r="K2611" s="34"/>
      <c r="L2611" s="34">
        <v>1302.8399999999999</v>
      </c>
    </row>
    <row r="2612" spans="2:12" x14ac:dyDescent="0.3">
      <c r="B2612" s="25">
        <v>2623</v>
      </c>
      <c r="C2612" s="33">
        <v>5531</v>
      </c>
      <c r="D2612" s="33" t="s">
        <v>362</v>
      </c>
      <c r="E2612" s="35">
        <v>44923</v>
      </c>
      <c r="F2612" s="33">
        <v>4</v>
      </c>
      <c r="G2612" s="33" t="s">
        <v>124</v>
      </c>
      <c r="H2612" s="33" t="s">
        <v>71</v>
      </c>
      <c r="I2612" s="33" t="s">
        <v>197</v>
      </c>
      <c r="J2612" s="34">
        <v>2167.4299999999998</v>
      </c>
      <c r="K2612" s="34"/>
      <c r="L2612" s="34">
        <v>2167.4299999999998</v>
      </c>
    </row>
    <row r="2613" spans="2:12" x14ac:dyDescent="0.3">
      <c r="B2613" s="25">
        <v>2624</v>
      </c>
      <c r="C2613" s="33">
        <v>5333</v>
      </c>
      <c r="D2613" s="33" t="s">
        <v>384</v>
      </c>
      <c r="E2613" s="35">
        <v>44909</v>
      </c>
      <c r="F2613" s="33">
        <v>4</v>
      </c>
      <c r="G2613" s="33" t="s">
        <v>124</v>
      </c>
      <c r="H2613" s="33" t="s">
        <v>71</v>
      </c>
      <c r="I2613" s="33" t="s">
        <v>197</v>
      </c>
      <c r="J2613" s="34">
        <v>1026.48</v>
      </c>
      <c r="K2613" s="34"/>
      <c r="L2613" s="34">
        <v>1026.48</v>
      </c>
    </row>
    <row r="2614" spans="2:12" x14ac:dyDescent="0.3">
      <c r="B2614" s="25">
        <v>2625</v>
      </c>
      <c r="C2614" s="33">
        <v>5407</v>
      </c>
      <c r="D2614" s="33" t="s">
        <v>278</v>
      </c>
      <c r="E2614" s="35">
        <v>44911</v>
      </c>
      <c r="F2614" s="33">
        <v>4</v>
      </c>
      <c r="G2614" s="33" t="s">
        <v>124</v>
      </c>
      <c r="H2614" s="33" t="s">
        <v>71</v>
      </c>
      <c r="I2614" s="33" t="s">
        <v>197</v>
      </c>
      <c r="J2614" s="34">
        <v>1053.05</v>
      </c>
      <c r="K2614" s="34"/>
      <c r="L2614" s="34">
        <v>1053.05</v>
      </c>
    </row>
    <row r="2615" spans="2:12" x14ac:dyDescent="0.3">
      <c r="B2615" s="25">
        <v>2626</v>
      </c>
      <c r="C2615" s="33">
        <v>5520</v>
      </c>
      <c r="D2615" s="33" t="s">
        <v>285</v>
      </c>
      <c r="E2615" s="35">
        <v>44918</v>
      </c>
      <c r="F2615" s="33">
        <v>4</v>
      </c>
      <c r="G2615" s="33" t="s">
        <v>124</v>
      </c>
      <c r="H2615" s="33" t="s">
        <v>71</v>
      </c>
      <c r="I2615" s="33" t="s">
        <v>197</v>
      </c>
      <c r="J2615" s="34">
        <v>296.72000000000003</v>
      </c>
      <c r="K2615" s="34">
        <v>80</v>
      </c>
      <c r="L2615" s="34">
        <v>216.72</v>
      </c>
    </row>
    <row r="2616" spans="2:12" x14ac:dyDescent="0.3">
      <c r="B2616" s="25">
        <v>2627</v>
      </c>
      <c r="C2616" s="33">
        <v>5521</v>
      </c>
      <c r="D2616" s="33" t="s">
        <v>285</v>
      </c>
      <c r="E2616" s="35">
        <v>44918</v>
      </c>
      <c r="F2616" s="33">
        <v>4</v>
      </c>
      <c r="G2616" s="33" t="s">
        <v>124</v>
      </c>
      <c r="H2616" s="33" t="s">
        <v>71</v>
      </c>
      <c r="I2616" s="33" t="s">
        <v>197</v>
      </c>
      <c r="J2616" s="34">
        <v>663.58</v>
      </c>
      <c r="K2616" s="34">
        <v>80</v>
      </c>
      <c r="L2616" s="34">
        <v>583.58000000000004</v>
      </c>
    </row>
    <row r="2617" spans="2:12" x14ac:dyDescent="0.3">
      <c r="B2617" s="25">
        <v>2628</v>
      </c>
      <c r="C2617" s="33">
        <v>383022</v>
      </c>
      <c r="D2617" s="33" t="s">
        <v>395</v>
      </c>
      <c r="E2617" s="35">
        <v>44845</v>
      </c>
      <c r="F2617" s="33">
        <v>4</v>
      </c>
      <c r="G2617" s="33" t="s">
        <v>122</v>
      </c>
      <c r="H2617" s="33" t="s">
        <v>200</v>
      </c>
      <c r="I2617" s="33" t="s">
        <v>196</v>
      </c>
      <c r="J2617" s="34">
        <v>1837.67</v>
      </c>
      <c r="K2617" s="34"/>
      <c r="L2617" s="34">
        <v>1837.67</v>
      </c>
    </row>
    <row r="2618" spans="2:12" x14ac:dyDescent="0.3">
      <c r="B2618" s="25">
        <v>2629</v>
      </c>
      <c r="C2618" s="33">
        <v>383023</v>
      </c>
      <c r="D2618" s="33" t="s">
        <v>395</v>
      </c>
      <c r="E2618" s="35">
        <v>44845</v>
      </c>
      <c r="F2618" s="33">
        <v>4</v>
      </c>
      <c r="G2618" s="33" t="s">
        <v>122</v>
      </c>
      <c r="H2618" s="33" t="s">
        <v>200</v>
      </c>
      <c r="I2618" s="33" t="s">
        <v>196</v>
      </c>
      <c r="J2618" s="34">
        <v>9523.5400000000009</v>
      </c>
      <c r="K2618" s="34"/>
      <c r="L2618" s="34">
        <v>9523.5400000000009</v>
      </c>
    </row>
    <row r="2619" spans="2:12" x14ac:dyDescent="0.3">
      <c r="B2619" s="25">
        <v>2630</v>
      </c>
      <c r="C2619" s="33">
        <v>383024</v>
      </c>
      <c r="D2619" s="33" t="s">
        <v>395</v>
      </c>
      <c r="E2619" s="35">
        <v>44845</v>
      </c>
      <c r="F2619" s="33">
        <v>4</v>
      </c>
      <c r="G2619" s="33" t="s">
        <v>122</v>
      </c>
      <c r="H2619" s="33" t="s">
        <v>200</v>
      </c>
      <c r="I2619" s="33" t="s">
        <v>196</v>
      </c>
      <c r="J2619" s="34">
        <v>671.23</v>
      </c>
      <c r="K2619" s="34">
        <v>50</v>
      </c>
      <c r="L2619" s="34">
        <v>621.23</v>
      </c>
    </row>
    <row r="2620" spans="2:12" x14ac:dyDescent="0.3">
      <c r="B2620" s="25">
        <v>2631</v>
      </c>
      <c r="C2620" s="33">
        <v>383025</v>
      </c>
      <c r="D2620" s="33" t="s">
        <v>395</v>
      </c>
      <c r="E2620" s="35">
        <v>44845</v>
      </c>
      <c r="F2620" s="33">
        <v>4</v>
      </c>
      <c r="G2620" s="33" t="s">
        <v>122</v>
      </c>
      <c r="H2620" s="33" t="s">
        <v>200</v>
      </c>
      <c r="I2620" s="33" t="s">
        <v>196</v>
      </c>
      <c r="J2620" s="34">
        <v>257.08</v>
      </c>
      <c r="K2620" s="34">
        <v>50</v>
      </c>
      <c r="L2620" s="34">
        <v>207.08</v>
      </c>
    </row>
    <row r="2621" spans="2:12" x14ac:dyDescent="0.3">
      <c r="B2621" s="25">
        <v>2632</v>
      </c>
      <c r="C2621" s="33">
        <v>383028</v>
      </c>
      <c r="D2621" s="33" t="s">
        <v>1061</v>
      </c>
      <c r="E2621" s="35">
        <v>44845</v>
      </c>
      <c r="F2621" s="33">
        <v>4</v>
      </c>
      <c r="G2621" s="33" t="s">
        <v>122</v>
      </c>
      <c r="H2621" s="33" t="s">
        <v>200</v>
      </c>
      <c r="I2621" s="33" t="s">
        <v>196</v>
      </c>
      <c r="J2621" s="34">
        <v>2541.41</v>
      </c>
      <c r="K2621" s="34"/>
      <c r="L2621" s="34">
        <v>2541.41</v>
      </c>
    </row>
    <row r="2622" spans="2:12" x14ac:dyDescent="0.3">
      <c r="B2622" s="25">
        <v>2633</v>
      </c>
      <c r="C2622" s="33">
        <v>383081</v>
      </c>
      <c r="D2622" s="33" t="s">
        <v>463</v>
      </c>
      <c r="E2622" s="35">
        <v>44851</v>
      </c>
      <c r="F2622" s="33">
        <v>4</v>
      </c>
      <c r="G2622" s="33" t="s">
        <v>122</v>
      </c>
      <c r="H2622" s="33" t="s">
        <v>200</v>
      </c>
      <c r="I2622" s="33" t="s">
        <v>196</v>
      </c>
      <c r="J2622" s="34">
        <v>2926.63</v>
      </c>
      <c r="K2622" s="34"/>
      <c r="L2622" s="34">
        <v>2926.63</v>
      </c>
    </row>
    <row r="2623" spans="2:12" x14ac:dyDescent="0.3">
      <c r="B2623" s="25">
        <v>2634</v>
      </c>
      <c r="C2623" s="33">
        <v>383209</v>
      </c>
      <c r="D2623" s="33" t="s">
        <v>1362</v>
      </c>
      <c r="E2623" s="35">
        <v>44868</v>
      </c>
      <c r="F2623" s="33">
        <v>4</v>
      </c>
      <c r="G2623" s="33" t="s">
        <v>231</v>
      </c>
      <c r="H2623" s="33" t="s">
        <v>200</v>
      </c>
      <c r="I2623" s="33" t="s">
        <v>198</v>
      </c>
      <c r="J2623" s="34">
        <v>1394.03</v>
      </c>
      <c r="K2623" s="34"/>
      <c r="L2623" s="34">
        <v>1394.03</v>
      </c>
    </row>
    <row r="2624" spans="2:12" x14ac:dyDescent="0.3">
      <c r="B2624" s="25">
        <v>2635</v>
      </c>
      <c r="C2624" s="33">
        <v>383227</v>
      </c>
      <c r="D2624" s="33" t="s">
        <v>562</v>
      </c>
      <c r="E2624" s="35">
        <v>44872</v>
      </c>
      <c r="F2624" s="33">
        <v>4</v>
      </c>
      <c r="G2624" s="33" t="s">
        <v>231</v>
      </c>
      <c r="H2624" s="33" t="s">
        <v>200</v>
      </c>
      <c r="I2624" s="33" t="s">
        <v>198</v>
      </c>
      <c r="J2624" s="34">
        <v>2456.31</v>
      </c>
      <c r="K2624" s="34"/>
      <c r="L2624" s="34">
        <v>2456.31</v>
      </c>
    </row>
    <row r="2625" spans="2:12" x14ac:dyDescent="0.3">
      <c r="B2625" s="25">
        <v>2636</v>
      </c>
      <c r="C2625" s="33">
        <v>383242</v>
      </c>
      <c r="D2625" s="33" t="s">
        <v>395</v>
      </c>
      <c r="E2625" s="35">
        <v>44873</v>
      </c>
      <c r="F2625" s="33">
        <v>4</v>
      </c>
      <c r="G2625" s="33" t="s">
        <v>122</v>
      </c>
      <c r="H2625" s="33" t="s">
        <v>200</v>
      </c>
      <c r="I2625" s="33" t="s">
        <v>196</v>
      </c>
      <c r="J2625" s="34">
        <v>671.23</v>
      </c>
      <c r="K2625" s="34">
        <v>50</v>
      </c>
      <c r="L2625" s="34">
        <v>621.23</v>
      </c>
    </row>
    <row r="2626" spans="2:12" x14ac:dyDescent="0.3">
      <c r="B2626" s="25">
        <v>2637</v>
      </c>
      <c r="C2626" s="33">
        <v>383245</v>
      </c>
      <c r="D2626" s="33" t="s">
        <v>939</v>
      </c>
      <c r="E2626" s="35">
        <v>44873</v>
      </c>
      <c r="F2626" s="33">
        <v>4</v>
      </c>
      <c r="G2626" s="33" t="s">
        <v>124</v>
      </c>
      <c r="H2626" s="33" t="s">
        <v>200</v>
      </c>
      <c r="I2626" s="33" t="s">
        <v>197</v>
      </c>
      <c r="J2626" s="34">
        <v>537.02</v>
      </c>
      <c r="K2626" s="34">
        <v>50</v>
      </c>
      <c r="L2626" s="34">
        <v>487.02</v>
      </c>
    </row>
    <row r="2627" spans="2:12" x14ac:dyDescent="0.3">
      <c r="B2627" s="25">
        <v>2638</v>
      </c>
      <c r="C2627" s="33">
        <v>383286</v>
      </c>
      <c r="D2627" s="33" t="s">
        <v>1066</v>
      </c>
      <c r="E2627" s="35">
        <v>44879</v>
      </c>
      <c r="F2627" s="33">
        <v>4</v>
      </c>
      <c r="G2627" s="33" t="s">
        <v>124</v>
      </c>
      <c r="H2627" s="33" t="s">
        <v>200</v>
      </c>
      <c r="I2627" s="33" t="s">
        <v>197</v>
      </c>
      <c r="J2627" s="34">
        <v>803.14</v>
      </c>
      <c r="K2627" s="34"/>
      <c r="L2627" s="34">
        <v>803.14</v>
      </c>
    </row>
    <row r="2628" spans="2:12" x14ac:dyDescent="0.3">
      <c r="B2628" s="25">
        <v>2639</v>
      </c>
      <c r="C2628" s="33">
        <v>383324</v>
      </c>
      <c r="D2628" s="33" t="s">
        <v>1363</v>
      </c>
      <c r="E2628" s="35">
        <v>44882</v>
      </c>
      <c r="F2628" s="33">
        <v>4</v>
      </c>
      <c r="G2628" s="33" t="s">
        <v>124</v>
      </c>
      <c r="H2628" s="33" t="s">
        <v>200</v>
      </c>
      <c r="I2628" s="33" t="s">
        <v>197</v>
      </c>
      <c r="J2628" s="34">
        <v>5899.32</v>
      </c>
      <c r="K2628" s="34"/>
      <c r="L2628" s="34">
        <v>5899.32</v>
      </c>
    </row>
    <row r="2629" spans="2:12" x14ac:dyDescent="0.3">
      <c r="B2629" s="25">
        <v>2640</v>
      </c>
      <c r="C2629" s="33">
        <v>383367</v>
      </c>
      <c r="D2629" s="33" t="s">
        <v>939</v>
      </c>
      <c r="E2629" s="35">
        <v>44889</v>
      </c>
      <c r="F2629" s="33">
        <v>4</v>
      </c>
      <c r="G2629" s="33" t="s">
        <v>124</v>
      </c>
      <c r="H2629" s="33" t="s">
        <v>200</v>
      </c>
      <c r="I2629" s="33" t="s">
        <v>197</v>
      </c>
      <c r="J2629" s="34">
        <v>2273.5</v>
      </c>
      <c r="K2629" s="34"/>
      <c r="L2629" s="34">
        <v>2273.5</v>
      </c>
    </row>
    <row r="2630" spans="2:12" x14ac:dyDescent="0.3">
      <c r="B2630" s="25">
        <v>2641</v>
      </c>
      <c r="C2630" s="33">
        <v>383414</v>
      </c>
      <c r="D2630" s="33" t="s">
        <v>1293</v>
      </c>
      <c r="E2630" s="35">
        <v>44894</v>
      </c>
      <c r="F2630" s="33">
        <v>4</v>
      </c>
      <c r="G2630" s="33" t="s">
        <v>124</v>
      </c>
      <c r="H2630" s="33" t="s">
        <v>200</v>
      </c>
      <c r="I2630" s="33" t="s">
        <v>197</v>
      </c>
      <c r="J2630" s="34">
        <v>603.75</v>
      </c>
      <c r="K2630" s="34">
        <v>50</v>
      </c>
      <c r="L2630" s="34">
        <v>553.75</v>
      </c>
    </row>
    <row r="2631" spans="2:12" x14ac:dyDescent="0.3">
      <c r="B2631" s="25">
        <v>2642</v>
      </c>
      <c r="C2631" s="33">
        <v>383467</v>
      </c>
      <c r="D2631" s="33" t="s">
        <v>1364</v>
      </c>
      <c r="E2631" s="35">
        <v>44901</v>
      </c>
      <c r="F2631" s="33">
        <v>4</v>
      </c>
      <c r="G2631" s="33" t="s">
        <v>122</v>
      </c>
      <c r="H2631" s="33" t="s">
        <v>200</v>
      </c>
      <c r="I2631" s="33" t="s">
        <v>196</v>
      </c>
      <c r="J2631" s="34">
        <v>974.42</v>
      </c>
      <c r="K2631" s="34"/>
      <c r="L2631" s="34">
        <v>974.42</v>
      </c>
    </row>
    <row r="2632" spans="2:12" x14ac:dyDescent="0.3">
      <c r="B2632" s="25">
        <v>2643</v>
      </c>
      <c r="C2632" s="33">
        <v>383495</v>
      </c>
      <c r="D2632" s="33" t="s">
        <v>1365</v>
      </c>
      <c r="E2632" s="35">
        <v>44903</v>
      </c>
      <c r="F2632" s="33">
        <v>4</v>
      </c>
      <c r="G2632" s="33" t="s">
        <v>231</v>
      </c>
      <c r="H2632" s="33" t="s">
        <v>200</v>
      </c>
      <c r="I2632" s="33" t="s">
        <v>198</v>
      </c>
      <c r="J2632" s="34">
        <v>4968.53</v>
      </c>
      <c r="K2632" s="34"/>
      <c r="L2632" s="34">
        <v>4968.53</v>
      </c>
    </row>
    <row r="2633" spans="2:12" x14ac:dyDescent="0.3">
      <c r="B2633" s="25">
        <v>2644</v>
      </c>
      <c r="C2633" s="33">
        <v>383524</v>
      </c>
      <c r="D2633" s="33" t="s">
        <v>1366</v>
      </c>
      <c r="E2633" s="35">
        <v>44918</v>
      </c>
      <c r="F2633" s="33">
        <v>4</v>
      </c>
      <c r="G2633" s="33" t="s">
        <v>628</v>
      </c>
      <c r="H2633" s="33" t="s">
        <v>200</v>
      </c>
      <c r="I2633" s="33" t="s">
        <v>75</v>
      </c>
      <c r="J2633" s="34">
        <v>6921.87</v>
      </c>
      <c r="K2633" s="34"/>
      <c r="L2633" s="34">
        <v>6921.87</v>
      </c>
    </row>
    <row r="2634" spans="2:12" x14ac:dyDescent="0.3">
      <c r="B2634" s="25">
        <v>2645</v>
      </c>
      <c r="C2634" s="33">
        <v>383591</v>
      </c>
      <c r="D2634" s="33" t="s">
        <v>1367</v>
      </c>
      <c r="E2634" s="35">
        <v>44916</v>
      </c>
      <c r="F2634" s="33">
        <v>4</v>
      </c>
      <c r="G2634" s="33" t="s">
        <v>231</v>
      </c>
      <c r="H2634" s="33" t="s">
        <v>200</v>
      </c>
      <c r="I2634" s="33" t="s">
        <v>198</v>
      </c>
      <c r="J2634" s="34">
        <v>3572.81</v>
      </c>
      <c r="K2634" s="34"/>
      <c r="L2634" s="34">
        <v>3572.81</v>
      </c>
    </row>
    <row r="2635" spans="2:12" x14ac:dyDescent="0.3">
      <c r="B2635" s="25">
        <v>2646</v>
      </c>
      <c r="C2635" s="33">
        <v>26395</v>
      </c>
      <c r="D2635" s="33" t="s">
        <v>1368</v>
      </c>
      <c r="E2635" s="35">
        <v>44888</v>
      </c>
      <c r="F2635" s="33">
        <v>4</v>
      </c>
      <c r="G2635" s="33" t="s">
        <v>122</v>
      </c>
      <c r="H2635" s="33" t="s">
        <v>73</v>
      </c>
      <c r="I2635" s="33" t="s">
        <v>196</v>
      </c>
      <c r="J2635" s="34">
        <v>881.11</v>
      </c>
      <c r="K2635" s="34"/>
      <c r="L2635" s="34">
        <v>881.11</v>
      </c>
    </row>
    <row r="2636" spans="2:12" x14ac:dyDescent="0.3">
      <c r="B2636" s="25">
        <v>2647</v>
      </c>
      <c r="C2636" s="33">
        <v>17235</v>
      </c>
      <c r="D2636" s="33" t="s">
        <v>788</v>
      </c>
      <c r="E2636" s="35">
        <v>44901</v>
      </c>
      <c r="F2636" s="33">
        <v>4</v>
      </c>
      <c r="G2636" s="33" t="s">
        <v>122</v>
      </c>
      <c r="H2636" s="33" t="s">
        <v>69</v>
      </c>
      <c r="I2636" s="33" t="s">
        <v>196</v>
      </c>
      <c r="J2636" s="34">
        <v>4725.76</v>
      </c>
      <c r="K2636" s="34"/>
      <c r="L2636" s="34">
        <v>4725.76</v>
      </c>
    </row>
    <row r="2637" spans="2:12" x14ac:dyDescent="0.3">
      <c r="B2637" s="25">
        <v>2648</v>
      </c>
      <c r="C2637" s="33" t="s">
        <v>1369</v>
      </c>
      <c r="D2637" s="33" t="s">
        <v>788</v>
      </c>
      <c r="E2637" s="35">
        <v>44896</v>
      </c>
      <c r="F2637" s="33">
        <v>4</v>
      </c>
      <c r="G2637" s="33" t="s">
        <v>231</v>
      </c>
      <c r="H2637" s="33" t="s">
        <v>69</v>
      </c>
      <c r="I2637" s="33" t="s">
        <v>198</v>
      </c>
      <c r="J2637" s="34">
        <v>7046.9</v>
      </c>
      <c r="K2637" s="34"/>
      <c r="L2637" s="34">
        <v>7046.9</v>
      </c>
    </row>
    <row r="2638" spans="2:12" x14ac:dyDescent="0.3">
      <c r="B2638" s="25">
        <v>2649</v>
      </c>
      <c r="C2638" s="33" t="s">
        <v>1370</v>
      </c>
      <c r="D2638" s="33" t="s">
        <v>1371</v>
      </c>
      <c r="E2638" s="35">
        <v>44901</v>
      </c>
      <c r="F2638" s="33">
        <v>4</v>
      </c>
      <c r="G2638" s="33" t="s">
        <v>122</v>
      </c>
      <c r="H2638" s="33" t="s">
        <v>69</v>
      </c>
      <c r="I2638" s="33" t="s">
        <v>196</v>
      </c>
      <c r="J2638" s="34">
        <v>6903.09</v>
      </c>
      <c r="K2638" s="34"/>
      <c r="L2638" s="34">
        <v>6903.09</v>
      </c>
    </row>
    <row r="2639" spans="2:12" x14ac:dyDescent="0.3">
      <c r="B2639" s="25">
        <v>2650</v>
      </c>
      <c r="C2639" s="33">
        <v>53722</v>
      </c>
      <c r="D2639" s="33" t="s">
        <v>1372</v>
      </c>
      <c r="E2639" s="35">
        <v>44882</v>
      </c>
      <c r="F2639" s="33">
        <v>4</v>
      </c>
      <c r="G2639" s="33" t="s">
        <v>124</v>
      </c>
      <c r="H2639" s="33">
        <v>53</v>
      </c>
      <c r="I2639" s="33" t="s">
        <v>197</v>
      </c>
      <c r="J2639" s="34">
        <v>3571.2</v>
      </c>
      <c r="K2639" s="34"/>
      <c r="L2639" s="34">
        <v>3571.2</v>
      </c>
    </row>
    <row r="2640" spans="2:12" x14ac:dyDescent="0.3">
      <c r="B2640" s="25">
        <v>2651</v>
      </c>
      <c r="C2640" s="33">
        <v>53805</v>
      </c>
      <c r="D2640" s="33" t="s">
        <v>369</v>
      </c>
      <c r="E2640" s="35">
        <v>44889</v>
      </c>
      <c r="F2640" s="33">
        <v>4</v>
      </c>
      <c r="G2640" s="33" t="s">
        <v>124</v>
      </c>
      <c r="H2640" s="33" t="s">
        <v>73</v>
      </c>
      <c r="I2640" s="33" t="s">
        <v>197</v>
      </c>
      <c r="J2640" s="34">
        <v>1732.36</v>
      </c>
      <c r="K2640" s="34"/>
      <c r="L2640" s="34">
        <v>1732.36</v>
      </c>
    </row>
    <row r="2641" spans="2:12" x14ac:dyDescent="0.3">
      <c r="B2641" s="25">
        <v>2652</v>
      </c>
      <c r="C2641" s="33">
        <v>54827</v>
      </c>
      <c r="D2641" s="33" t="s">
        <v>400</v>
      </c>
      <c r="E2641" s="35">
        <v>44854</v>
      </c>
      <c r="F2641" s="33">
        <v>4</v>
      </c>
      <c r="G2641" s="33" t="s">
        <v>231</v>
      </c>
      <c r="H2641" s="33" t="s">
        <v>69</v>
      </c>
      <c r="I2641" s="33" t="s">
        <v>198</v>
      </c>
      <c r="J2641" s="34">
        <v>1741.13</v>
      </c>
      <c r="K2641" s="34"/>
      <c r="L2641" s="34">
        <v>1741.13</v>
      </c>
    </row>
    <row r="2642" spans="2:12" x14ac:dyDescent="0.3">
      <c r="B2642" s="25">
        <v>2653</v>
      </c>
      <c r="C2642" s="33">
        <v>54828</v>
      </c>
      <c r="D2642" s="33" t="s">
        <v>400</v>
      </c>
      <c r="E2642" s="35">
        <v>44854</v>
      </c>
      <c r="F2642" s="33">
        <v>4</v>
      </c>
      <c r="G2642" s="33" t="s">
        <v>231</v>
      </c>
      <c r="H2642" s="33" t="s">
        <v>69</v>
      </c>
      <c r="I2642" s="33" t="s">
        <v>198</v>
      </c>
      <c r="J2642" s="34">
        <v>489.84</v>
      </c>
      <c r="K2642" s="34"/>
      <c r="L2642" s="34">
        <v>489.84</v>
      </c>
    </row>
    <row r="2643" spans="2:12" x14ac:dyDescent="0.3">
      <c r="B2643" s="25">
        <v>2654</v>
      </c>
      <c r="C2643" s="33">
        <v>54829</v>
      </c>
      <c r="D2643" s="33" t="s">
        <v>400</v>
      </c>
      <c r="E2643" s="35">
        <v>44854</v>
      </c>
      <c r="F2643" s="33">
        <v>4</v>
      </c>
      <c r="G2643" s="33" t="s">
        <v>231</v>
      </c>
      <c r="H2643" s="33" t="s">
        <v>69</v>
      </c>
      <c r="I2643" s="33" t="s">
        <v>198</v>
      </c>
      <c r="J2643" s="34">
        <v>1933.6</v>
      </c>
      <c r="K2643" s="34"/>
      <c r="L2643" s="34">
        <v>1933.6</v>
      </c>
    </row>
    <row r="2644" spans="2:12" x14ac:dyDescent="0.3">
      <c r="B2644" s="25">
        <v>2655</v>
      </c>
      <c r="C2644" s="33">
        <v>55021</v>
      </c>
      <c r="D2644" s="33" t="s">
        <v>400</v>
      </c>
      <c r="E2644" s="35">
        <v>44862</v>
      </c>
      <c r="F2644" s="33">
        <v>4</v>
      </c>
      <c r="G2644" s="33" t="s">
        <v>231</v>
      </c>
      <c r="H2644" s="33" t="s">
        <v>69</v>
      </c>
      <c r="I2644" s="33" t="s">
        <v>198</v>
      </c>
      <c r="J2644" s="34">
        <v>653.29</v>
      </c>
      <c r="K2644" s="34"/>
      <c r="L2644" s="34">
        <v>653.29</v>
      </c>
    </row>
    <row r="2645" spans="2:12" x14ac:dyDescent="0.3">
      <c r="B2645" s="25">
        <v>2656</v>
      </c>
      <c r="C2645" s="33">
        <v>55130</v>
      </c>
      <c r="D2645" s="33" t="s">
        <v>400</v>
      </c>
      <c r="E2645" s="35">
        <v>44868</v>
      </c>
      <c r="F2645" s="33">
        <v>4</v>
      </c>
      <c r="G2645" s="33" t="s">
        <v>231</v>
      </c>
      <c r="H2645" s="33" t="s">
        <v>69</v>
      </c>
      <c r="I2645" s="33" t="s">
        <v>198</v>
      </c>
      <c r="J2645" s="34">
        <v>181.87</v>
      </c>
      <c r="K2645" s="34"/>
      <c r="L2645" s="34">
        <v>181.87</v>
      </c>
    </row>
    <row r="2646" spans="2:12" x14ac:dyDescent="0.3">
      <c r="B2646" s="25">
        <v>2657</v>
      </c>
      <c r="C2646" s="33">
        <v>55131</v>
      </c>
      <c r="D2646" s="33" t="s">
        <v>400</v>
      </c>
      <c r="E2646" s="35">
        <v>44868</v>
      </c>
      <c r="F2646" s="33">
        <v>4</v>
      </c>
      <c r="G2646" s="33" t="s">
        <v>231</v>
      </c>
      <c r="H2646" s="33" t="s">
        <v>69</v>
      </c>
      <c r="I2646" s="33" t="s">
        <v>198</v>
      </c>
      <c r="J2646" s="34">
        <v>4200.01</v>
      </c>
      <c r="K2646" s="34"/>
      <c r="L2646" s="34">
        <v>4200.01</v>
      </c>
    </row>
    <row r="2647" spans="2:12" x14ac:dyDescent="0.3">
      <c r="B2647" s="25">
        <v>2658</v>
      </c>
      <c r="C2647" s="33">
        <v>55132</v>
      </c>
      <c r="D2647" s="33" t="s">
        <v>400</v>
      </c>
      <c r="E2647" s="35">
        <v>44868</v>
      </c>
      <c r="F2647" s="33">
        <v>4</v>
      </c>
      <c r="G2647" s="33" t="s">
        <v>231</v>
      </c>
      <c r="H2647" s="33" t="s">
        <v>69</v>
      </c>
      <c r="I2647" s="33" t="s">
        <v>198</v>
      </c>
      <c r="J2647" s="34">
        <v>1061.1199999999999</v>
      </c>
      <c r="K2647" s="34"/>
      <c r="L2647" s="34">
        <v>1061.1199999999999</v>
      </c>
    </row>
    <row r="2648" spans="2:12" x14ac:dyDescent="0.3">
      <c r="B2648" s="25">
        <v>2659</v>
      </c>
      <c r="C2648" s="33">
        <v>55444</v>
      </c>
      <c r="D2648" s="33" t="s">
        <v>1300</v>
      </c>
      <c r="E2648" s="35">
        <v>44882</v>
      </c>
      <c r="F2648" s="33">
        <v>4</v>
      </c>
      <c r="G2648" s="33" t="s">
        <v>124</v>
      </c>
      <c r="H2648" s="33" t="s">
        <v>69</v>
      </c>
      <c r="I2648" s="33" t="s">
        <v>197</v>
      </c>
      <c r="J2648" s="34">
        <v>1265.4000000000001</v>
      </c>
      <c r="K2648" s="34"/>
      <c r="L2648" s="34">
        <v>1265.4000000000001</v>
      </c>
    </row>
    <row r="2649" spans="2:12" x14ac:dyDescent="0.3">
      <c r="B2649" s="25">
        <v>2660</v>
      </c>
      <c r="C2649" s="33">
        <v>55446</v>
      </c>
      <c r="D2649" s="33" t="s">
        <v>1373</v>
      </c>
      <c r="E2649" s="35">
        <v>44882</v>
      </c>
      <c r="F2649" s="33">
        <v>4</v>
      </c>
      <c r="G2649" s="33" t="s">
        <v>124</v>
      </c>
      <c r="H2649" s="33" t="s">
        <v>69</v>
      </c>
      <c r="I2649" s="33" t="s">
        <v>197</v>
      </c>
      <c r="J2649" s="34">
        <v>3882.58</v>
      </c>
      <c r="K2649" s="34"/>
      <c r="L2649" s="34">
        <v>3882.58</v>
      </c>
    </row>
    <row r="2650" spans="2:12" x14ac:dyDescent="0.3">
      <c r="B2650" s="25">
        <v>2661</v>
      </c>
      <c r="C2650" s="33">
        <v>16330</v>
      </c>
      <c r="D2650" s="33" t="s">
        <v>410</v>
      </c>
      <c r="E2650" s="35">
        <v>44887</v>
      </c>
      <c r="F2650" s="33">
        <v>4</v>
      </c>
      <c r="G2650" s="33" t="s">
        <v>231</v>
      </c>
      <c r="H2650" s="33" t="s">
        <v>69</v>
      </c>
      <c r="I2650" s="33" t="s">
        <v>198</v>
      </c>
      <c r="J2650" s="34">
        <v>161.97999999999999</v>
      </c>
      <c r="K2650" s="34"/>
      <c r="L2650" s="34">
        <v>161.97999999999999</v>
      </c>
    </row>
    <row r="2651" spans="2:12" x14ac:dyDescent="0.3">
      <c r="B2651" s="25">
        <v>2662</v>
      </c>
      <c r="C2651" s="33">
        <v>55622</v>
      </c>
      <c r="D2651" s="33" t="s">
        <v>283</v>
      </c>
      <c r="E2651" s="35">
        <v>44889</v>
      </c>
      <c r="F2651" s="33">
        <v>4</v>
      </c>
      <c r="G2651" s="33" t="s">
        <v>124</v>
      </c>
      <c r="H2651" s="33" t="s">
        <v>69</v>
      </c>
      <c r="I2651" s="33" t="s">
        <v>197</v>
      </c>
      <c r="J2651" s="34">
        <v>5049.63</v>
      </c>
      <c r="K2651" s="34"/>
      <c r="L2651" s="34">
        <v>5049.63</v>
      </c>
    </row>
    <row r="2652" spans="2:12" x14ac:dyDescent="0.3">
      <c r="B2652" s="25">
        <v>2663</v>
      </c>
      <c r="C2652" s="33">
        <v>16702</v>
      </c>
      <c r="D2652" s="33" t="s">
        <v>410</v>
      </c>
      <c r="E2652" s="35">
        <v>44894</v>
      </c>
      <c r="F2652" s="33">
        <v>4</v>
      </c>
      <c r="G2652" s="33" t="s">
        <v>231</v>
      </c>
      <c r="H2652" s="33" t="s">
        <v>69</v>
      </c>
      <c r="I2652" s="33" t="s">
        <v>198</v>
      </c>
      <c r="J2652" s="34">
        <v>3191.49</v>
      </c>
      <c r="K2652" s="34"/>
      <c r="L2652" s="34">
        <v>3191.49</v>
      </c>
    </row>
    <row r="2653" spans="2:12" x14ac:dyDescent="0.3">
      <c r="B2653" s="25">
        <v>2664</v>
      </c>
      <c r="C2653" s="33">
        <v>55399</v>
      </c>
      <c r="D2653" s="33" t="s">
        <v>400</v>
      </c>
      <c r="E2653" s="35">
        <v>44876</v>
      </c>
      <c r="F2653" s="33">
        <v>4</v>
      </c>
      <c r="G2653" s="33" t="s">
        <v>231</v>
      </c>
      <c r="H2653" s="33" t="s">
        <v>69</v>
      </c>
      <c r="I2653" s="33" t="s">
        <v>198</v>
      </c>
      <c r="J2653" s="34">
        <v>2661.13</v>
      </c>
      <c r="K2653" s="34"/>
      <c r="L2653" s="34">
        <v>2661.13</v>
      </c>
    </row>
    <row r="2654" spans="2:12" x14ac:dyDescent="0.3">
      <c r="B2654" s="25">
        <v>2665</v>
      </c>
      <c r="C2654" s="33">
        <v>55400</v>
      </c>
      <c r="D2654" s="33" t="s">
        <v>400</v>
      </c>
      <c r="E2654" s="35">
        <v>44876</v>
      </c>
      <c r="F2654" s="33">
        <v>4</v>
      </c>
      <c r="G2654" s="33" t="s">
        <v>231</v>
      </c>
      <c r="H2654" s="33" t="s">
        <v>69</v>
      </c>
      <c r="I2654" s="33" t="s">
        <v>198</v>
      </c>
      <c r="J2654" s="34">
        <v>529.12</v>
      </c>
      <c r="K2654" s="34"/>
      <c r="L2654" s="34">
        <v>529.12</v>
      </c>
    </row>
    <row r="2655" spans="2:12" x14ac:dyDescent="0.3">
      <c r="B2655" s="25">
        <v>2666</v>
      </c>
      <c r="C2655" s="33">
        <v>55401</v>
      </c>
      <c r="D2655" s="33" t="s">
        <v>400</v>
      </c>
      <c r="E2655" s="35">
        <v>44876</v>
      </c>
      <c r="F2655" s="33">
        <v>4</v>
      </c>
      <c r="G2655" s="33" t="s">
        <v>231</v>
      </c>
      <c r="H2655" s="33" t="s">
        <v>69</v>
      </c>
      <c r="I2655" s="33" t="s">
        <v>198</v>
      </c>
      <c r="J2655" s="34">
        <v>1279.8800000000001</v>
      </c>
      <c r="K2655" s="34"/>
      <c r="L2655" s="34">
        <v>1279.8800000000001</v>
      </c>
    </row>
    <row r="2656" spans="2:12" x14ac:dyDescent="0.3">
      <c r="B2656" s="25">
        <v>2667</v>
      </c>
      <c r="C2656" s="33">
        <v>55421</v>
      </c>
      <c r="D2656" s="33" t="s">
        <v>414</v>
      </c>
      <c r="E2656" s="35">
        <v>44879</v>
      </c>
      <c r="F2656" s="33">
        <v>4</v>
      </c>
      <c r="G2656" s="33" t="s">
        <v>122</v>
      </c>
      <c r="H2656" s="33" t="s">
        <v>69</v>
      </c>
      <c r="I2656" s="33" t="s">
        <v>196</v>
      </c>
      <c r="J2656" s="34">
        <v>23.5</v>
      </c>
      <c r="K2656" s="34"/>
      <c r="L2656" s="34">
        <v>23.5</v>
      </c>
    </row>
    <row r="2657" spans="2:12" x14ac:dyDescent="0.3">
      <c r="B2657" s="25">
        <v>2668</v>
      </c>
      <c r="C2657" s="33">
        <v>55442</v>
      </c>
      <c r="D2657" s="33" t="s">
        <v>281</v>
      </c>
      <c r="E2657" s="35">
        <v>44882</v>
      </c>
      <c r="F2657" s="33">
        <v>4</v>
      </c>
      <c r="G2657" s="33" t="s">
        <v>124</v>
      </c>
      <c r="H2657" s="33" t="s">
        <v>69</v>
      </c>
      <c r="I2657" s="33" t="s">
        <v>197</v>
      </c>
      <c r="J2657" s="34">
        <v>2077.5</v>
      </c>
      <c r="K2657" s="34"/>
      <c r="L2657" s="34">
        <v>2077.5</v>
      </c>
    </row>
    <row r="2658" spans="2:12" x14ac:dyDescent="0.3">
      <c r="B2658" s="25">
        <v>2669</v>
      </c>
      <c r="C2658" s="33">
        <v>55470</v>
      </c>
      <c r="D2658" s="33" t="s">
        <v>512</v>
      </c>
      <c r="E2658" s="35">
        <v>44883</v>
      </c>
      <c r="F2658" s="33">
        <v>4</v>
      </c>
      <c r="G2658" s="33" t="s">
        <v>122</v>
      </c>
      <c r="H2658" s="33" t="s">
        <v>69</v>
      </c>
      <c r="I2658" s="33" t="s">
        <v>196</v>
      </c>
      <c r="J2658" s="34">
        <v>831.7</v>
      </c>
      <c r="K2658" s="34"/>
      <c r="L2658" s="34">
        <v>831.7</v>
      </c>
    </row>
    <row r="2659" spans="2:12" x14ac:dyDescent="0.3">
      <c r="B2659" s="25">
        <v>2670</v>
      </c>
      <c r="C2659" s="33">
        <v>55610</v>
      </c>
      <c r="D2659" s="33" t="s">
        <v>400</v>
      </c>
      <c r="E2659" s="35">
        <v>44889</v>
      </c>
      <c r="F2659" s="33">
        <v>4</v>
      </c>
      <c r="G2659" s="33" t="s">
        <v>231</v>
      </c>
      <c r="H2659" s="33" t="s">
        <v>69</v>
      </c>
      <c r="I2659" s="33" t="s">
        <v>198</v>
      </c>
      <c r="J2659" s="34">
        <v>973.36</v>
      </c>
      <c r="K2659" s="34"/>
      <c r="L2659" s="34">
        <v>973.36</v>
      </c>
    </row>
    <row r="2660" spans="2:12" x14ac:dyDescent="0.3">
      <c r="B2660" s="25">
        <v>2671</v>
      </c>
      <c r="C2660" s="33">
        <v>55621</v>
      </c>
      <c r="D2660" s="33" t="s">
        <v>414</v>
      </c>
      <c r="E2660" s="35">
        <v>44889</v>
      </c>
      <c r="F2660" s="33">
        <v>4</v>
      </c>
      <c r="G2660" s="33" t="s">
        <v>122</v>
      </c>
      <c r="H2660" s="33" t="s">
        <v>69</v>
      </c>
      <c r="I2660" s="33" t="s">
        <v>196</v>
      </c>
      <c r="J2660" s="34">
        <v>1508.09</v>
      </c>
      <c r="K2660" s="34"/>
      <c r="L2660" s="34">
        <v>1508.09</v>
      </c>
    </row>
    <row r="2661" spans="2:12" x14ac:dyDescent="0.3">
      <c r="B2661" s="25">
        <v>2672</v>
      </c>
      <c r="C2661" s="33">
        <v>55623</v>
      </c>
      <c r="D2661" s="33" t="s">
        <v>275</v>
      </c>
      <c r="E2661" s="35">
        <v>44889</v>
      </c>
      <c r="F2661" s="33">
        <v>4</v>
      </c>
      <c r="G2661" s="33" t="s">
        <v>124</v>
      </c>
      <c r="H2661" s="33" t="s">
        <v>69</v>
      </c>
      <c r="I2661" s="33" t="s">
        <v>197</v>
      </c>
      <c r="J2661" s="34">
        <v>4211.01</v>
      </c>
      <c r="K2661" s="34"/>
      <c r="L2661" s="34">
        <v>4211.01</v>
      </c>
    </row>
    <row r="2662" spans="2:12" x14ac:dyDescent="0.3">
      <c r="B2662" s="25">
        <v>2673</v>
      </c>
      <c r="C2662" s="33">
        <v>55624</v>
      </c>
      <c r="D2662" s="33" t="s">
        <v>805</v>
      </c>
      <c r="E2662" s="35">
        <v>44889</v>
      </c>
      <c r="F2662" s="33">
        <v>4</v>
      </c>
      <c r="G2662" s="33" t="s">
        <v>231</v>
      </c>
      <c r="H2662" s="33" t="s">
        <v>69</v>
      </c>
      <c r="I2662" s="33" t="s">
        <v>198</v>
      </c>
      <c r="J2662" s="34">
        <v>1841</v>
      </c>
      <c r="K2662" s="34"/>
      <c r="L2662" s="34">
        <v>1841</v>
      </c>
    </row>
    <row r="2663" spans="2:12" x14ac:dyDescent="0.3">
      <c r="B2663" s="25">
        <v>2674</v>
      </c>
      <c r="C2663" s="33">
        <v>55715</v>
      </c>
      <c r="D2663" s="33" t="s">
        <v>416</v>
      </c>
      <c r="E2663" s="35">
        <v>44896</v>
      </c>
      <c r="F2663" s="33">
        <v>4</v>
      </c>
      <c r="G2663" s="33" t="s">
        <v>231</v>
      </c>
      <c r="H2663" s="33" t="s">
        <v>69</v>
      </c>
      <c r="I2663" s="33" t="s">
        <v>198</v>
      </c>
      <c r="J2663" s="34">
        <v>94</v>
      </c>
      <c r="K2663" s="34"/>
      <c r="L2663" s="34">
        <v>94</v>
      </c>
    </row>
    <row r="2664" spans="2:12" x14ac:dyDescent="0.3">
      <c r="B2664" s="25">
        <v>2675</v>
      </c>
      <c r="C2664" s="33">
        <v>55718</v>
      </c>
      <c r="D2664" s="33" t="s">
        <v>404</v>
      </c>
      <c r="E2664" s="35">
        <v>44896</v>
      </c>
      <c r="F2664" s="33">
        <v>4</v>
      </c>
      <c r="G2664" s="33" t="s">
        <v>122</v>
      </c>
      <c r="H2664" s="33" t="s">
        <v>69</v>
      </c>
      <c r="I2664" s="33" t="s">
        <v>196</v>
      </c>
      <c r="J2664" s="34">
        <v>2479</v>
      </c>
      <c r="K2664" s="34"/>
      <c r="L2664" s="34">
        <v>2479</v>
      </c>
    </row>
    <row r="2665" spans="2:12" x14ac:dyDescent="0.3">
      <c r="B2665" s="25">
        <v>2676</v>
      </c>
      <c r="C2665" s="33">
        <v>55719</v>
      </c>
      <c r="D2665" s="33" t="s">
        <v>414</v>
      </c>
      <c r="E2665" s="35">
        <v>44896</v>
      </c>
      <c r="F2665" s="33">
        <v>4</v>
      </c>
      <c r="G2665" s="33" t="s">
        <v>122</v>
      </c>
      <c r="H2665" s="33" t="s">
        <v>69</v>
      </c>
      <c r="I2665" s="33" t="s">
        <v>196</v>
      </c>
      <c r="J2665" s="34">
        <v>2486.9899999999998</v>
      </c>
      <c r="K2665" s="34"/>
      <c r="L2665" s="34">
        <v>2486.9899999999998</v>
      </c>
    </row>
    <row r="2666" spans="2:12" x14ac:dyDescent="0.3">
      <c r="B2666" s="25">
        <v>2677</v>
      </c>
      <c r="C2666" s="33">
        <v>55722</v>
      </c>
      <c r="D2666" s="33" t="s">
        <v>413</v>
      </c>
      <c r="E2666" s="35">
        <v>44896</v>
      </c>
      <c r="F2666" s="33">
        <v>4</v>
      </c>
      <c r="G2666" s="33" t="s">
        <v>122</v>
      </c>
      <c r="H2666" s="33" t="s">
        <v>69</v>
      </c>
      <c r="I2666" s="33" t="s">
        <v>196</v>
      </c>
      <c r="J2666" s="34">
        <v>838</v>
      </c>
      <c r="K2666" s="34"/>
      <c r="L2666" s="34">
        <v>838</v>
      </c>
    </row>
    <row r="2667" spans="2:12" x14ac:dyDescent="0.3">
      <c r="B2667" s="25">
        <v>2678</v>
      </c>
      <c r="C2667" s="33">
        <v>55725</v>
      </c>
      <c r="D2667" s="33" t="s">
        <v>1355</v>
      </c>
      <c r="E2667" s="35">
        <v>44896</v>
      </c>
      <c r="F2667" s="33">
        <v>4</v>
      </c>
      <c r="G2667" s="33" t="s">
        <v>122</v>
      </c>
      <c r="H2667" s="33" t="s">
        <v>69</v>
      </c>
      <c r="I2667" s="33" t="s">
        <v>196</v>
      </c>
      <c r="J2667" s="34">
        <v>6895.5</v>
      </c>
      <c r="K2667" s="34"/>
      <c r="L2667" s="34">
        <v>6895.5</v>
      </c>
    </row>
    <row r="2668" spans="2:12" x14ac:dyDescent="0.3">
      <c r="B2668" s="25">
        <v>2679</v>
      </c>
      <c r="C2668" s="33">
        <v>55726</v>
      </c>
      <c r="D2668" s="33" t="s">
        <v>1355</v>
      </c>
      <c r="E2668" s="35">
        <v>44896</v>
      </c>
      <c r="F2668" s="33">
        <v>4</v>
      </c>
      <c r="G2668" s="33" t="s">
        <v>122</v>
      </c>
      <c r="H2668" s="33" t="s">
        <v>69</v>
      </c>
      <c r="I2668" s="33" t="s">
        <v>196</v>
      </c>
      <c r="J2668" s="34">
        <v>1834</v>
      </c>
      <c r="K2668" s="34"/>
      <c r="L2668" s="34">
        <v>1834</v>
      </c>
    </row>
    <row r="2669" spans="2:12" x14ac:dyDescent="0.3">
      <c r="B2669" s="25">
        <v>2680</v>
      </c>
      <c r="C2669" s="33">
        <v>55727</v>
      </c>
      <c r="D2669" s="33" t="s">
        <v>1355</v>
      </c>
      <c r="E2669" s="35">
        <v>44896</v>
      </c>
      <c r="F2669" s="33">
        <v>4</v>
      </c>
      <c r="G2669" s="33" t="s">
        <v>122</v>
      </c>
      <c r="H2669" s="33" t="s">
        <v>69</v>
      </c>
      <c r="I2669" s="33" t="s">
        <v>196</v>
      </c>
      <c r="J2669" s="34">
        <v>5064</v>
      </c>
      <c r="K2669" s="34"/>
      <c r="L2669" s="34">
        <v>5064</v>
      </c>
    </row>
    <row r="2670" spans="2:12" x14ac:dyDescent="0.3">
      <c r="B2670" s="25">
        <v>2681</v>
      </c>
      <c r="C2670" s="33">
        <v>55728</v>
      </c>
      <c r="D2670" s="33" t="s">
        <v>1355</v>
      </c>
      <c r="E2670" s="35">
        <v>44896</v>
      </c>
      <c r="F2670" s="33">
        <v>4</v>
      </c>
      <c r="G2670" s="33" t="s">
        <v>122</v>
      </c>
      <c r="H2670" s="33" t="s">
        <v>69</v>
      </c>
      <c r="I2670" s="33" t="s">
        <v>196</v>
      </c>
      <c r="J2670" s="34">
        <v>185.5</v>
      </c>
      <c r="K2670" s="34"/>
      <c r="L2670" s="34">
        <v>185.5</v>
      </c>
    </row>
    <row r="2671" spans="2:12" x14ac:dyDescent="0.3">
      <c r="B2671" s="25">
        <v>2682</v>
      </c>
      <c r="C2671" s="33">
        <v>55786</v>
      </c>
      <c r="D2671" s="33" t="s">
        <v>412</v>
      </c>
      <c r="E2671" s="35">
        <v>44897</v>
      </c>
      <c r="F2671" s="33">
        <v>4</v>
      </c>
      <c r="G2671" s="33" t="s">
        <v>231</v>
      </c>
      <c r="H2671" s="33" t="s">
        <v>69</v>
      </c>
      <c r="I2671" s="33" t="s">
        <v>198</v>
      </c>
      <c r="J2671" s="34">
        <v>3161.5</v>
      </c>
      <c r="K2671" s="34"/>
      <c r="L2671" s="34">
        <v>3161.5</v>
      </c>
    </row>
    <row r="2672" spans="2:12" x14ac:dyDescent="0.3">
      <c r="B2672" s="25">
        <v>2683</v>
      </c>
      <c r="C2672" s="33">
        <v>55806</v>
      </c>
      <c r="D2672" s="33" t="s">
        <v>400</v>
      </c>
      <c r="E2672" s="35">
        <v>44900</v>
      </c>
      <c r="F2672" s="33">
        <v>4</v>
      </c>
      <c r="G2672" s="33" t="s">
        <v>231</v>
      </c>
      <c r="H2672" s="33" t="s">
        <v>69</v>
      </c>
      <c r="I2672" s="33" t="s">
        <v>198</v>
      </c>
      <c r="J2672" s="34">
        <v>3060.7</v>
      </c>
      <c r="K2672" s="34"/>
      <c r="L2672" s="34">
        <v>3060.7</v>
      </c>
    </row>
    <row r="2673" spans="2:12" x14ac:dyDescent="0.3">
      <c r="B2673" s="25">
        <v>2684</v>
      </c>
      <c r="C2673" s="33">
        <v>55807</v>
      </c>
      <c r="D2673" s="33" t="s">
        <v>400</v>
      </c>
      <c r="E2673" s="35">
        <v>44900</v>
      </c>
      <c r="F2673" s="33">
        <v>4</v>
      </c>
      <c r="G2673" s="33" t="s">
        <v>231</v>
      </c>
      <c r="H2673" s="33" t="s">
        <v>69</v>
      </c>
      <c r="I2673" s="33" t="s">
        <v>198</v>
      </c>
      <c r="J2673" s="34">
        <v>2468.09</v>
      </c>
      <c r="K2673" s="34"/>
      <c r="L2673" s="34">
        <v>2468.09</v>
      </c>
    </row>
    <row r="2674" spans="2:12" x14ac:dyDescent="0.3">
      <c r="B2674" s="25">
        <v>2685</v>
      </c>
      <c r="C2674" s="33">
        <v>55808</v>
      </c>
      <c r="D2674" s="33" t="s">
        <v>400</v>
      </c>
      <c r="E2674" s="35">
        <v>44900</v>
      </c>
      <c r="F2674" s="33">
        <v>4</v>
      </c>
      <c r="G2674" s="33" t="s">
        <v>231</v>
      </c>
      <c r="H2674" s="33" t="s">
        <v>69</v>
      </c>
      <c r="I2674" s="33" t="s">
        <v>198</v>
      </c>
      <c r="J2674" s="34">
        <v>2843.49</v>
      </c>
      <c r="K2674" s="34"/>
      <c r="L2674" s="34">
        <v>2843.49</v>
      </c>
    </row>
    <row r="2675" spans="2:12" x14ac:dyDescent="0.3">
      <c r="B2675" s="25">
        <v>2686</v>
      </c>
      <c r="C2675" s="33">
        <v>55809</v>
      </c>
      <c r="D2675" s="33" t="s">
        <v>805</v>
      </c>
      <c r="E2675" s="35">
        <v>44900</v>
      </c>
      <c r="F2675" s="33">
        <v>4</v>
      </c>
      <c r="G2675" s="33" t="s">
        <v>231</v>
      </c>
      <c r="H2675" s="33" t="s">
        <v>69</v>
      </c>
      <c r="I2675" s="33" t="s">
        <v>198</v>
      </c>
      <c r="J2675" s="34">
        <v>6214.99</v>
      </c>
      <c r="K2675" s="34"/>
      <c r="L2675" s="34">
        <v>6214.99</v>
      </c>
    </row>
    <row r="2676" spans="2:12" x14ac:dyDescent="0.3">
      <c r="B2676" s="25">
        <v>2687</v>
      </c>
      <c r="C2676" s="33">
        <v>55873</v>
      </c>
      <c r="D2676" s="33" t="s">
        <v>367</v>
      </c>
      <c r="E2676" s="35">
        <v>44902</v>
      </c>
      <c r="F2676" s="33">
        <v>4</v>
      </c>
      <c r="G2676" s="33" t="s">
        <v>124</v>
      </c>
      <c r="H2676" s="33" t="s">
        <v>69</v>
      </c>
      <c r="I2676" s="33" t="s">
        <v>197</v>
      </c>
      <c r="J2676" s="34">
        <v>5828</v>
      </c>
      <c r="K2676" s="34"/>
      <c r="L2676" s="34">
        <v>5828</v>
      </c>
    </row>
    <row r="2677" spans="2:12" x14ac:dyDescent="0.3">
      <c r="B2677" s="25">
        <v>2688</v>
      </c>
      <c r="C2677" s="33">
        <v>55874</v>
      </c>
      <c r="D2677" s="33" t="s">
        <v>367</v>
      </c>
      <c r="E2677" s="35">
        <v>44902</v>
      </c>
      <c r="F2677" s="33">
        <v>4</v>
      </c>
      <c r="G2677" s="33" t="s">
        <v>124</v>
      </c>
      <c r="H2677" s="33" t="s">
        <v>69</v>
      </c>
      <c r="I2677" s="33" t="s">
        <v>197</v>
      </c>
      <c r="J2677" s="34">
        <v>1712.5</v>
      </c>
      <c r="K2677" s="34"/>
      <c r="L2677" s="34">
        <v>1712.5</v>
      </c>
    </row>
    <row r="2678" spans="2:12" x14ac:dyDescent="0.3">
      <c r="B2678" s="25">
        <v>2689</v>
      </c>
      <c r="C2678" s="33">
        <v>55877</v>
      </c>
      <c r="D2678" s="33" t="s">
        <v>443</v>
      </c>
      <c r="E2678" s="35">
        <v>44902</v>
      </c>
      <c r="F2678" s="33">
        <v>4</v>
      </c>
      <c r="G2678" s="33" t="s">
        <v>122</v>
      </c>
      <c r="H2678" s="33" t="s">
        <v>69</v>
      </c>
      <c r="I2678" s="33" t="s">
        <v>196</v>
      </c>
      <c r="J2678" s="34">
        <v>4551.0200000000004</v>
      </c>
      <c r="K2678" s="34"/>
      <c r="L2678" s="34">
        <v>4551.0200000000004</v>
      </c>
    </row>
    <row r="2679" spans="2:12" x14ac:dyDescent="0.3">
      <c r="B2679" s="25">
        <v>2690</v>
      </c>
      <c r="C2679" s="33">
        <v>55880</v>
      </c>
      <c r="D2679" s="33" t="s">
        <v>281</v>
      </c>
      <c r="E2679" s="35">
        <v>44902</v>
      </c>
      <c r="F2679" s="33">
        <v>4</v>
      </c>
      <c r="G2679" s="33" t="s">
        <v>124</v>
      </c>
      <c r="H2679" s="33" t="s">
        <v>69</v>
      </c>
      <c r="I2679" s="33" t="s">
        <v>197</v>
      </c>
      <c r="J2679" s="34">
        <v>75.5</v>
      </c>
      <c r="K2679" s="34"/>
      <c r="L2679" s="34">
        <v>75.5</v>
      </c>
    </row>
    <row r="2680" spans="2:12" x14ac:dyDescent="0.3">
      <c r="B2680" s="25">
        <v>2691</v>
      </c>
      <c r="C2680" s="33">
        <v>17502</v>
      </c>
      <c r="D2680" s="33" t="s">
        <v>410</v>
      </c>
      <c r="E2680" s="35">
        <v>44908</v>
      </c>
      <c r="F2680" s="33">
        <v>4</v>
      </c>
      <c r="G2680" s="33" t="s">
        <v>231</v>
      </c>
      <c r="H2680" s="33" t="s">
        <v>69</v>
      </c>
      <c r="I2680" s="33" t="s">
        <v>198</v>
      </c>
      <c r="J2680" s="34">
        <v>9920.98</v>
      </c>
      <c r="K2680" s="34"/>
      <c r="L2680" s="34">
        <v>9920.98</v>
      </c>
    </row>
    <row r="2681" spans="2:12" x14ac:dyDescent="0.3">
      <c r="B2681" s="25">
        <v>2692</v>
      </c>
      <c r="C2681" s="33">
        <v>56028</v>
      </c>
      <c r="D2681" s="33" t="s">
        <v>593</v>
      </c>
      <c r="E2681" s="35">
        <v>44914</v>
      </c>
      <c r="F2681" s="33">
        <v>4</v>
      </c>
      <c r="G2681" s="33" t="s">
        <v>122</v>
      </c>
      <c r="H2681" s="33" t="s">
        <v>69</v>
      </c>
      <c r="I2681" s="33" t="s">
        <v>196</v>
      </c>
      <c r="J2681" s="34">
        <v>46.5</v>
      </c>
      <c r="K2681" s="34"/>
      <c r="L2681" s="34">
        <v>46.5</v>
      </c>
    </row>
    <row r="2682" spans="2:12" x14ac:dyDescent="0.3">
      <c r="B2682" s="25">
        <v>2693</v>
      </c>
      <c r="C2682" s="33">
        <v>18578</v>
      </c>
      <c r="D2682" s="33" t="s">
        <v>403</v>
      </c>
      <c r="E2682" s="35">
        <v>44925</v>
      </c>
      <c r="F2682" s="33">
        <v>4</v>
      </c>
      <c r="G2682" s="33" t="s">
        <v>122</v>
      </c>
      <c r="H2682" s="33" t="s">
        <v>69</v>
      </c>
      <c r="I2682" s="33" t="s">
        <v>196</v>
      </c>
      <c r="J2682" s="34">
        <v>17</v>
      </c>
      <c r="K2682" s="34"/>
      <c r="L2682" s="34">
        <v>17</v>
      </c>
    </row>
    <row r="2683" spans="2:12" x14ac:dyDescent="0.3">
      <c r="B2683" s="25">
        <v>2694</v>
      </c>
      <c r="C2683" s="33">
        <v>53714</v>
      </c>
      <c r="D2683" s="33" t="s">
        <v>400</v>
      </c>
      <c r="E2683" s="35">
        <v>44882</v>
      </c>
      <c r="F2683" s="33">
        <v>4</v>
      </c>
      <c r="G2683" s="33" t="s">
        <v>231</v>
      </c>
      <c r="H2683" s="33">
        <v>53</v>
      </c>
      <c r="I2683" s="33" t="s">
        <v>198</v>
      </c>
      <c r="J2683" s="34">
        <v>1291.48</v>
      </c>
      <c r="K2683" s="34"/>
      <c r="L2683" s="34">
        <v>1291.48</v>
      </c>
    </row>
    <row r="2684" spans="2:12" x14ac:dyDescent="0.3">
      <c r="B2684" s="25">
        <v>2695</v>
      </c>
      <c r="C2684" s="33">
        <v>53715</v>
      </c>
      <c r="D2684" s="33" t="s">
        <v>400</v>
      </c>
      <c r="E2684" s="35">
        <v>44882</v>
      </c>
      <c r="F2684" s="33">
        <v>4</v>
      </c>
      <c r="G2684" s="33" t="s">
        <v>231</v>
      </c>
      <c r="H2684" s="33">
        <v>53</v>
      </c>
      <c r="I2684" s="33" t="s">
        <v>198</v>
      </c>
      <c r="J2684" s="34">
        <v>910.78</v>
      </c>
      <c r="K2684" s="34"/>
      <c r="L2684" s="34">
        <v>910.78</v>
      </c>
    </row>
    <row r="2685" spans="2:12" x14ac:dyDescent="0.3">
      <c r="B2685" s="25">
        <v>2696</v>
      </c>
      <c r="C2685" s="33">
        <v>53804</v>
      </c>
      <c r="D2685" s="33" t="s">
        <v>443</v>
      </c>
      <c r="E2685" s="35">
        <v>44889</v>
      </c>
      <c r="F2685" s="33">
        <v>4</v>
      </c>
      <c r="G2685" s="33" t="s">
        <v>122</v>
      </c>
      <c r="H2685" s="33" t="s">
        <v>73</v>
      </c>
      <c r="I2685" s="33" t="s">
        <v>196</v>
      </c>
      <c r="J2685" s="34">
        <v>646</v>
      </c>
      <c r="K2685" s="34"/>
      <c r="L2685" s="34">
        <v>646</v>
      </c>
    </row>
    <row r="2686" spans="2:12" x14ac:dyDescent="0.3">
      <c r="B2686" s="25">
        <v>2697</v>
      </c>
      <c r="C2686" s="33">
        <v>53808</v>
      </c>
      <c r="D2686" s="33" t="s">
        <v>414</v>
      </c>
      <c r="E2686" s="35">
        <v>44889</v>
      </c>
      <c r="F2686" s="33">
        <v>4</v>
      </c>
      <c r="G2686" s="33" t="s">
        <v>122</v>
      </c>
      <c r="H2686" s="33">
        <v>53</v>
      </c>
      <c r="I2686" s="33" t="s">
        <v>196</v>
      </c>
      <c r="J2686" s="34">
        <v>15</v>
      </c>
      <c r="K2686" s="34"/>
      <c r="L2686" s="34">
        <v>15</v>
      </c>
    </row>
    <row r="2687" spans="2:12" x14ac:dyDescent="0.3">
      <c r="B2687" s="25">
        <v>2698</v>
      </c>
      <c r="C2687" s="33" t="s">
        <v>1374</v>
      </c>
      <c r="D2687" s="33" t="s">
        <v>404</v>
      </c>
      <c r="E2687" s="35">
        <v>44889</v>
      </c>
      <c r="F2687" s="33">
        <v>4</v>
      </c>
      <c r="G2687" s="33" t="s">
        <v>122</v>
      </c>
      <c r="H2687" s="33">
        <v>53</v>
      </c>
      <c r="I2687" s="33" t="s">
        <v>196</v>
      </c>
      <c r="J2687" s="34">
        <v>208</v>
      </c>
      <c r="K2687" s="34"/>
      <c r="L2687" s="34">
        <v>208</v>
      </c>
    </row>
    <row r="2688" spans="2:12" x14ac:dyDescent="0.3">
      <c r="B2688" s="25">
        <v>2699</v>
      </c>
      <c r="C2688" s="33">
        <v>53907</v>
      </c>
      <c r="D2688" s="33" t="s">
        <v>401</v>
      </c>
      <c r="E2688" s="35">
        <v>44896</v>
      </c>
      <c r="F2688" s="33">
        <v>4</v>
      </c>
      <c r="G2688" s="33" t="s">
        <v>231</v>
      </c>
      <c r="H2688" s="33" t="s">
        <v>73</v>
      </c>
      <c r="I2688" s="33" t="s">
        <v>198</v>
      </c>
      <c r="J2688" s="34">
        <v>1884</v>
      </c>
      <c r="K2688" s="34"/>
      <c r="L2688" s="34">
        <v>1884</v>
      </c>
    </row>
    <row r="2689" spans="2:12" x14ac:dyDescent="0.3">
      <c r="B2689" s="25">
        <v>2700</v>
      </c>
      <c r="C2689" s="33">
        <v>53990</v>
      </c>
      <c r="D2689" s="33" t="s">
        <v>443</v>
      </c>
      <c r="E2689" s="35">
        <v>44902</v>
      </c>
      <c r="F2689" s="33">
        <v>4</v>
      </c>
      <c r="G2689" s="33" t="s">
        <v>122</v>
      </c>
      <c r="H2689" s="33" t="s">
        <v>73</v>
      </c>
      <c r="I2689" s="33" t="s">
        <v>196</v>
      </c>
      <c r="J2689" s="34">
        <v>83</v>
      </c>
      <c r="K2689" s="34"/>
      <c r="L2689" s="34">
        <v>83</v>
      </c>
    </row>
    <row r="2690" spans="2:12" x14ac:dyDescent="0.3">
      <c r="B2690" s="25">
        <v>2701</v>
      </c>
      <c r="C2690" s="33" t="s">
        <v>1375</v>
      </c>
      <c r="D2690" s="33" t="s">
        <v>401</v>
      </c>
      <c r="E2690" s="35">
        <v>44902</v>
      </c>
      <c r="F2690" s="33">
        <v>4</v>
      </c>
      <c r="G2690" s="33" t="s">
        <v>231</v>
      </c>
      <c r="H2690" s="33">
        <v>53</v>
      </c>
      <c r="I2690" s="33" t="s">
        <v>198</v>
      </c>
      <c r="J2690" s="34">
        <v>765.5</v>
      </c>
      <c r="K2690" s="34"/>
      <c r="L2690" s="34">
        <v>765.5</v>
      </c>
    </row>
    <row r="2691" spans="2:12" x14ac:dyDescent="0.3">
      <c r="B2691" s="25">
        <v>2702</v>
      </c>
      <c r="C2691" s="33" t="s">
        <v>1376</v>
      </c>
      <c r="D2691" s="33" t="s">
        <v>1377</v>
      </c>
      <c r="E2691" s="35">
        <v>44902</v>
      </c>
      <c r="F2691" s="33">
        <v>4</v>
      </c>
      <c r="G2691" s="33" t="s">
        <v>124</v>
      </c>
      <c r="H2691" s="33" t="s">
        <v>73</v>
      </c>
      <c r="I2691" s="33" t="s">
        <v>197</v>
      </c>
      <c r="J2691" s="34">
        <v>1431.5</v>
      </c>
      <c r="K2691" s="34"/>
      <c r="L2691" s="34">
        <v>1431.5</v>
      </c>
    </row>
    <row r="2692" spans="2:12" x14ac:dyDescent="0.3">
      <c r="B2692" s="25">
        <v>2703</v>
      </c>
      <c r="C2692" s="33" t="s">
        <v>1378</v>
      </c>
      <c r="D2692" s="33" t="s">
        <v>281</v>
      </c>
      <c r="E2692" s="35">
        <v>44902</v>
      </c>
      <c r="F2692" s="33">
        <v>4</v>
      </c>
      <c r="G2692" s="33" t="s">
        <v>124</v>
      </c>
      <c r="H2692" s="33">
        <v>53</v>
      </c>
      <c r="I2692" s="33" t="s">
        <v>197</v>
      </c>
      <c r="J2692" s="34">
        <v>161.97999999999999</v>
      </c>
      <c r="K2692" s="34"/>
      <c r="L2692" s="34">
        <v>161.97999999999999</v>
      </c>
    </row>
    <row r="2693" spans="2:12" x14ac:dyDescent="0.3">
      <c r="B2693" s="25">
        <v>2704</v>
      </c>
      <c r="C2693" s="33">
        <v>54077</v>
      </c>
      <c r="D2693" s="33" t="s">
        <v>400</v>
      </c>
      <c r="E2693" s="35">
        <v>44910</v>
      </c>
      <c r="F2693" s="33">
        <v>4</v>
      </c>
      <c r="G2693" s="33" t="s">
        <v>231</v>
      </c>
      <c r="H2693" s="33">
        <v>53</v>
      </c>
      <c r="I2693" s="33" t="s">
        <v>198</v>
      </c>
      <c r="J2693" s="34">
        <v>1871.55</v>
      </c>
      <c r="K2693" s="34"/>
      <c r="L2693" s="34">
        <v>1871.55</v>
      </c>
    </row>
    <row r="2694" spans="2:12" x14ac:dyDescent="0.3">
      <c r="B2694" s="25">
        <v>2705</v>
      </c>
      <c r="C2694" s="33">
        <v>54078</v>
      </c>
      <c r="D2694" s="33" t="s">
        <v>400</v>
      </c>
      <c r="E2694" s="35">
        <v>44910</v>
      </c>
      <c r="F2694" s="33">
        <v>4</v>
      </c>
      <c r="G2694" s="33" t="s">
        <v>231</v>
      </c>
      <c r="H2694" s="33">
        <v>53</v>
      </c>
      <c r="I2694" s="33" t="s">
        <v>198</v>
      </c>
      <c r="J2694" s="34">
        <v>1297.55</v>
      </c>
      <c r="K2694" s="34"/>
      <c r="L2694" s="34">
        <v>1297.55</v>
      </c>
    </row>
    <row r="2695" spans="2:12" x14ac:dyDescent="0.3">
      <c r="B2695" s="25">
        <v>2706</v>
      </c>
      <c r="C2695" s="33">
        <v>54079</v>
      </c>
      <c r="D2695" s="33" t="s">
        <v>400</v>
      </c>
      <c r="E2695" s="35">
        <v>44910</v>
      </c>
      <c r="F2695" s="33">
        <v>4</v>
      </c>
      <c r="G2695" s="33" t="s">
        <v>231</v>
      </c>
      <c r="H2695" s="33">
        <v>53</v>
      </c>
      <c r="I2695" s="33" t="s">
        <v>198</v>
      </c>
      <c r="J2695" s="34">
        <v>122.22</v>
      </c>
      <c r="K2695" s="34"/>
      <c r="L2695" s="34">
        <v>122.22</v>
      </c>
    </row>
    <row r="2696" spans="2:12" x14ac:dyDescent="0.3">
      <c r="B2696" s="25">
        <v>2707</v>
      </c>
      <c r="C2696" s="33" t="s">
        <v>1379</v>
      </c>
      <c r="D2696" s="33" t="s">
        <v>369</v>
      </c>
      <c r="E2696" s="35">
        <v>44914</v>
      </c>
      <c r="F2696" s="33">
        <v>4</v>
      </c>
      <c r="G2696" s="33" t="s">
        <v>124</v>
      </c>
      <c r="H2696" s="33" t="s">
        <v>73</v>
      </c>
      <c r="I2696" s="33" t="s">
        <v>197</v>
      </c>
      <c r="J2696" s="34">
        <v>62.08</v>
      </c>
      <c r="K2696" s="34"/>
      <c r="L2696" s="34">
        <v>62.08</v>
      </c>
    </row>
    <row r="2697" spans="2:12" x14ac:dyDescent="0.3">
      <c r="B2697" s="25">
        <v>2708</v>
      </c>
      <c r="C2697" s="33">
        <v>34822</v>
      </c>
      <c r="D2697" s="33" t="s">
        <v>449</v>
      </c>
      <c r="E2697" s="35">
        <v>44895</v>
      </c>
      <c r="F2697" s="33">
        <v>4</v>
      </c>
      <c r="G2697" s="33" t="s">
        <v>628</v>
      </c>
      <c r="H2697" s="33" t="s">
        <v>72</v>
      </c>
      <c r="I2697" s="33" t="s">
        <v>75</v>
      </c>
      <c r="J2697" s="34">
        <v>4860</v>
      </c>
      <c r="K2697" s="34"/>
      <c r="L2697" s="34">
        <v>4860</v>
      </c>
    </row>
    <row r="2698" spans="2:12" x14ac:dyDescent="0.3">
      <c r="B2698" s="25">
        <v>2709</v>
      </c>
      <c r="C2698" s="33">
        <v>34846</v>
      </c>
      <c r="D2698" s="33" t="s">
        <v>1046</v>
      </c>
      <c r="E2698" s="35">
        <v>44904</v>
      </c>
      <c r="F2698" s="33">
        <v>4</v>
      </c>
      <c r="G2698" s="33" t="s">
        <v>122</v>
      </c>
      <c r="H2698" s="33" t="s">
        <v>72</v>
      </c>
      <c r="I2698" s="33" t="s">
        <v>196</v>
      </c>
      <c r="J2698" s="34">
        <v>2627.6</v>
      </c>
      <c r="K2698" s="34"/>
      <c r="L2698" s="34">
        <v>2627.6</v>
      </c>
    </row>
    <row r="2699" spans="2:12" x14ac:dyDescent="0.3">
      <c r="B2699" s="25">
        <v>2710</v>
      </c>
      <c r="C2699" s="33">
        <v>34860</v>
      </c>
      <c r="D2699" s="33" t="s">
        <v>687</v>
      </c>
      <c r="E2699" s="35">
        <v>44904</v>
      </c>
      <c r="F2699" s="33">
        <v>4</v>
      </c>
      <c r="G2699" s="33" t="s">
        <v>122</v>
      </c>
      <c r="H2699" s="33" t="s">
        <v>72</v>
      </c>
      <c r="I2699" s="33" t="s">
        <v>196</v>
      </c>
      <c r="J2699" s="34">
        <v>7474.5</v>
      </c>
      <c r="K2699" s="34"/>
      <c r="L2699" s="34">
        <v>7474.5</v>
      </c>
    </row>
    <row r="2700" spans="2:12" x14ac:dyDescent="0.3">
      <c r="B2700" s="25">
        <v>2711</v>
      </c>
      <c r="C2700" s="33">
        <v>34861</v>
      </c>
      <c r="D2700" s="33" t="s">
        <v>687</v>
      </c>
      <c r="E2700" s="35">
        <v>44904</v>
      </c>
      <c r="F2700" s="33">
        <v>4</v>
      </c>
      <c r="G2700" s="33" t="s">
        <v>122</v>
      </c>
      <c r="H2700" s="33" t="s">
        <v>72</v>
      </c>
      <c r="I2700" s="33" t="s">
        <v>196</v>
      </c>
      <c r="J2700" s="34">
        <v>3715.8</v>
      </c>
      <c r="K2700" s="34"/>
      <c r="L2700" s="34">
        <v>3715.8</v>
      </c>
    </row>
    <row r="2701" spans="2:12" x14ac:dyDescent="0.3">
      <c r="B2701" s="25">
        <v>2712</v>
      </c>
      <c r="C2701" s="33">
        <v>34869</v>
      </c>
      <c r="D2701" s="33" t="s">
        <v>462</v>
      </c>
      <c r="E2701" s="35">
        <v>44904</v>
      </c>
      <c r="F2701" s="33">
        <v>4</v>
      </c>
      <c r="G2701" s="33" t="s">
        <v>122</v>
      </c>
      <c r="H2701" s="33" t="s">
        <v>72</v>
      </c>
      <c r="I2701" s="33" t="s">
        <v>196</v>
      </c>
      <c r="J2701" s="34">
        <v>4273.2</v>
      </c>
      <c r="K2701" s="34"/>
      <c r="L2701" s="34">
        <v>4273.2</v>
      </c>
    </row>
    <row r="2702" spans="2:12" x14ac:dyDescent="0.3">
      <c r="B2702" s="25">
        <v>2713</v>
      </c>
      <c r="C2702" s="33">
        <v>34906</v>
      </c>
      <c r="D2702" s="33" t="s">
        <v>687</v>
      </c>
      <c r="E2702" s="35">
        <v>44909</v>
      </c>
      <c r="F2702" s="33">
        <v>4</v>
      </c>
      <c r="G2702" s="33" t="s">
        <v>122</v>
      </c>
      <c r="H2702" s="33" t="s">
        <v>72</v>
      </c>
      <c r="I2702" s="33" t="s">
        <v>196</v>
      </c>
      <c r="J2702" s="34">
        <v>1546.6</v>
      </c>
      <c r="K2702" s="34"/>
      <c r="L2702" s="34">
        <v>1546.6</v>
      </c>
    </row>
    <row r="2703" spans="2:12" x14ac:dyDescent="0.3">
      <c r="B2703" s="25">
        <v>2714</v>
      </c>
      <c r="C2703" s="33">
        <v>34907</v>
      </c>
      <c r="D2703" s="33" t="s">
        <v>687</v>
      </c>
      <c r="E2703" s="35">
        <v>44909</v>
      </c>
      <c r="F2703" s="33">
        <v>4</v>
      </c>
      <c r="G2703" s="33" t="s">
        <v>122</v>
      </c>
      <c r="H2703" s="33" t="s">
        <v>72</v>
      </c>
      <c r="I2703" s="33" t="s">
        <v>196</v>
      </c>
      <c r="J2703" s="34">
        <v>11795.85</v>
      </c>
      <c r="K2703" s="34"/>
      <c r="L2703" s="34">
        <v>11795.85</v>
      </c>
    </row>
    <row r="2704" spans="2:12" x14ac:dyDescent="0.3">
      <c r="B2704" s="25">
        <v>2715</v>
      </c>
      <c r="C2704" s="33">
        <v>34908</v>
      </c>
      <c r="D2704" s="33" t="s">
        <v>687</v>
      </c>
      <c r="E2704" s="35">
        <v>44909</v>
      </c>
      <c r="F2704" s="33">
        <v>4</v>
      </c>
      <c r="G2704" s="33" t="s">
        <v>122</v>
      </c>
      <c r="H2704" s="33" t="s">
        <v>72</v>
      </c>
      <c r="I2704" s="33" t="s">
        <v>196</v>
      </c>
      <c r="J2704" s="34">
        <v>6276.6</v>
      </c>
      <c r="K2704" s="34"/>
      <c r="L2704" s="34">
        <v>6276.6</v>
      </c>
    </row>
    <row r="2705" spans="2:12" x14ac:dyDescent="0.3">
      <c r="B2705" s="25">
        <v>2716</v>
      </c>
      <c r="C2705" s="33">
        <v>34910</v>
      </c>
      <c r="D2705" s="33" t="s">
        <v>394</v>
      </c>
      <c r="E2705" s="35">
        <v>44909</v>
      </c>
      <c r="F2705" s="33">
        <v>4</v>
      </c>
      <c r="G2705" s="33" t="s">
        <v>122</v>
      </c>
      <c r="H2705" s="33" t="s">
        <v>72</v>
      </c>
      <c r="I2705" s="33" t="s">
        <v>196</v>
      </c>
      <c r="J2705" s="34">
        <v>6189.3</v>
      </c>
      <c r="K2705" s="34"/>
      <c r="L2705" s="34">
        <v>6189.3</v>
      </c>
    </row>
    <row r="2706" spans="2:12" x14ac:dyDescent="0.3">
      <c r="B2706" s="25">
        <v>2717</v>
      </c>
      <c r="C2706" s="33">
        <v>34916</v>
      </c>
      <c r="D2706" s="33" t="s">
        <v>1324</v>
      </c>
      <c r="E2706" s="35">
        <v>44909</v>
      </c>
      <c r="F2706" s="33">
        <v>4</v>
      </c>
      <c r="G2706" s="33" t="s">
        <v>124</v>
      </c>
      <c r="H2706" s="33" t="s">
        <v>72</v>
      </c>
      <c r="I2706" s="33" t="s">
        <v>197</v>
      </c>
      <c r="J2706" s="34">
        <v>1942.6</v>
      </c>
      <c r="K2706" s="34"/>
      <c r="L2706" s="34">
        <v>1942.6</v>
      </c>
    </row>
    <row r="2707" spans="2:12" x14ac:dyDescent="0.3">
      <c r="B2707" s="25">
        <v>2718</v>
      </c>
      <c r="C2707" s="33">
        <v>34949</v>
      </c>
      <c r="D2707" s="33" t="s">
        <v>413</v>
      </c>
      <c r="E2707" s="35">
        <v>44911</v>
      </c>
      <c r="F2707" s="33">
        <v>4</v>
      </c>
      <c r="G2707" s="33" t="s">
        <v>122</v>
      </c>
      <c r="H2707" s="33" t="s">
        <v>72</v>
      </c>
      <c r="I2707" s="33" t="s">
        <v>196</v>
      </c>
      <c r="J2707" s="34">
        <v>1405.8</v>
      </c>
      <c r="K2707" s="34"/>
      <c r="L2707" s="34">
        <v>1405.8</v>
      </c>
    </row>
    <row r="2708" spans="2:12" x14ac:dyDescent="0.3">
      <c r="B2708" s="25">
        <v>2719</v>
      </c>
      <c r="C2708" s="33">
        <v>34987</v>
      </c>
      <c r="D2708" s="33" t="s">
        <v>462</v>
      </c>
      <c r="E2708" s="35">
        <v>44916</v>
      </c>
      <c r="F2708" s="33">
        <v>4</v>
      </c>
      <c r="G2708" s="33" t="s">
        <v>122</v>
      </c>
      <c r="H2708" s="33" t="s">
        <v>72</v>
      </c>
      <c r="I2708" s="33" t="s">
        <v>196</v>
      </c>
      <c r="J2708" s="34">
        <v>2685</v>
      </c>
      <c r="K2708" s="34"/>
      <c r="L2708" s="34">
        <v>2685</v>
      </c>
    </row>
    <row r="2709" spans="2:12" x14ac:dyDescent="0.3">
      <c r="B2709" s="25">
        <v>2720</v>
      </c>
      <c r="C2709" s="33">
        <v>34990</v>
      </c>
      <c r="D2709" s="33" t="s">
        <v>687</v>
      </c>
      <c r="E2709" s="35">
        <v>44916</v>
      </c>
      <c r="F2709" s="33">
        <v>4</v>
      </c>
      <c r="G2709" s="33" t="s">
        <v>122</v>
      </c>
      <c r="H2709" s="33" t="s">
        <v>72</v>
      </c>
      <c r="I2709" s="33" t="s">
        <v>196</v>
      </c>
      <c r="J2709" s="34">
        <v>1046.0999999999999</v>
      </c>
      <c r="K2709" s="34"/>
      <c r="L2709" s="34">
        <v>1046.0999999999999</v>
      </c>
    </row>
    <row r="2710" spans="2:12" x14ac:dyDescent="0.3">
      <c r="B2710" s="25">
        <v>2721</v>
      </c>
      <c r="C2710" s="33">
        <v>35042</v>
      </c>
      <c r="D2710" s="33" t="s">
        <v>695</v>
      </c>
      <c r="E2710" s="35">
        <v>44935</v>
      </c>
      <c r="F2710" s="33">
        <v>1</v>
      </c>
      <c r="G2710" s="33" t="s">
        <v>122</v>
      </c>
      <c r="H2710" s="33" t="s">
        <v>72</v>
      </c>
      <c r="I2710" s="33" t="s">
        <v>196</v>
      </c>
      <c r="J2710" s="34">
        <v>2032.2</v>
      </c>
      <c r="K2710" s="34"/>
      <c r="L2710" s="34">
        <v>2032.2</v>
      </c>
    </row>
    <row r="2711" spans="2:12" x14ac:dyDescent="0.3">
      <c r="B2711" s="25">
        <v>2722</v>
      </c>
      <c r="C2711" s="33">
        <v>35051</v>
      </c>
      <c r="D2711" s="33" t="s">
        <v>394</v>
      </c>
      <c r="E2711" s="35">
        <v>44936</v>
      </c>
      <c r="F2711" s="33">
        <v>1</v>
      </c>
      <c r="G2711" s="33" t="s">
        <v>122</v>
      </c>
      <c r="H2711" s="33" t="s">
        <v>72</v>
      </c>
      <c r="I2711" s="33" t="s">
        <v>196</v>
      </c>
      <c r="J2711" s="34">
        <v>586.20000000000005</v>
      </c>
      <c r="K2711" s="34"/>
      <c r="L2711" s="34">
        <v>586.20000000000005</v>
      </c>
    </row>
    <row r="2712" spans="2:12" x14ac:dyDescent="0.3">
      <c r="B2712" s="25">
        <v>2723</v>
      </c>
      <c r="C2712" s="33">
        <v>35067</v>
      </c>
      <c r="D2712" s="33" t="s">
        <v>1380</v>
      </c>
      <c r="E2712" s="35">
        <v>44939</v>
      </c>
      <c r="F2712" s="33">
        <v>1</v>
      </c>
      <c r="G2712" s="33" t="s">
        <v>122</v>
      </c>
      <c r="H2712" s="33" t="s">
        <v>72</v>
      </c>
      <c r="I2712" s="33" t="s">
        <v>196</v>
      </c>
      <c r="J2712" s="34">
        <v>11139.6</v>
      </c>
      <c r="K2712" s="34"/>
      <c r="L2712" s="34">
        <v>11139.6</v>
      </c>
    </row>
    <row r="2713" spans="2:12" x14ac:dyDescent="0.3">
      <c r="B2713" s="25">
        <v>2724</v>
      </c>
      <c r="C2713" s="33">
        <v>7622</v>
      </c>
      <c r="D2713" s="33" t="s">
        <v>1381</v>
      </c>
      <c r="E2713" s="35">
        <v>44887</v>
      </c>
      <c r="F2713" s="33">
        <v>4</v>
      </c>
      <c r="G2713" s="33" t="s">
        <v>124</v>
      </c>
      <c r="H2713" s="33" t="s">
        <v>201</v>
      </c>
      <c r="I2713" s="33" t="s">
        <v>197</v>
      </c>
      <c r="J2713" s="34">
        <v>2813.14</v>
      </c>
      <c r="K2713" s="34"/>
      <c r="L2713" s="34">
        <v>2813.14</v>
      </c>
    </row>
    <row r="2714" spans="2:12" x14ac:dyDescent="0.3">
      <c r="B2714" s="25">
        <v>2725</v>
      </c>
      <c r="C2714" s="33">
        <v>7623</v>
      </c>
      <c r="D2714" s="33" t="s">
        <v>394</v>
      </c>
      <c r="E2714" s="35">
        <v>44889</v>
      </c>
      <c r="F2714" s="33">
        <v>4</v>
      </c>
      <c r="G2714" s="33" t="s">
        <v>122</v>
      </c>
      <c r="H2714" s="33" t="s">
        <v>201</v>
      </c>
      <c r="I2714" s="33" t="s">
        <v>196</v>
      </c>
      <c r="J2714" s="34">
        <v>427.6</v>
      </c>
      <c r="K2714" s="34"/>
      <c r="L2714" s="34">
        <v>427.6</v>
      </c>
    </row>
    <row r="2715" spans="2:12" x14ac:dyDescent="0.3">
      <c r="B2715" s="25">
        <v>2726</v>
      </c>
      <c r="C2715" s="33">
        <v>7624</v>
      </c>
      <c r="D2715" s="33" t="s">
        <v>394</v>
      </c>
      <c r="E2715" s="35">
        <v>44889</v>
      </c>
      <c r="F2715" s="33">
        <v>4</v>
      </c>
      <c r="G2715" s="33" t="s">
        <v>122</v>
      </c>
      <c r="H2715" s="33" t="s">
        <v>201</v>
      </c>
      <c r="I2715" s="33" t="s">
        <v>196</v>
      </c>
      <c r="J2715" s="34">
        <v>2217.6</v>
      </c>
      <c r="K2715" s="34"/>
      <c r="L2715" s="34">
        <v>2217.6</v>
      </c>
    </row>
    <row r="2716" spans="2:12" x14ac:dyDescent="0.3">
      <c r="B2716" s="25">
        <v>2727</v>
      </c>
      <c r="C2716" s="33">
        <v>7626</v>
      </c>
      <c r="D2716" s="33" t="s">
        <v>1326</v>
      </c>
      <c r="E2716" s="35">
        <v>44887</v>
      </c>
      <c r="F2716" s="33">
        <v>4</v>
      </c>
      <c r="G2716" s="33" t="s">
        <v>628</v>
      </c>
      <c r="H2716" s="33" t="s">
        <v>201</v>
      </c>
      <c r="I2716" s="33" t="s">
        <v>75</v>
      </c>
      <c r="J2716" s="34">
        <v>980.78</v>
      </c>
      <c r="K2716" s="34"/>
      <c r="L2716" s="34">
        <v>980.78</v>
      </c>
    </row>
    <row r="2717" spans="2:12" x14ac:dyDescent="0.3">
      <c r="B2717" s="25">
        <v>2728</v>
      </c>
      <c r="C2717" s="33">
        <v>7628</v>
      </c>
      <c r="D2717" s="33" t="s">
        <v>582</v>
      </c>
      <c r="E2717" s="35">
        <v>44889</v>
      </c>
      <c r="F2717" s="33">
        <v>4</v>
      </c>
      <c r="G2717" s="33" t="s">
        <v>628</v>
      </c>
      <c r="H2717" s="33" t="s">
        <v>201</v>
      </c>
      <c r="I2717" s="33" t="s">
        <v>75</v>
      </c>
      <c r="J2717" s="34">
        <v>1575.2</v>
      </c>
      <c r="K2717" s="34"/>
      <c r="L2717" s="34">
        <v>1575.2</v>
      </c>
    </row>
    <row r="2718" spans="2:12" x14ac:dyDescent="0.3">
      <c r="B2718" s="25">
        <v>2729</v>
      </c>
      <c r="C2718" s="33">
        <v>7631</v>
      </c>
      <c r="D2718" s="33" t="s">
        <v>584</v>
      </c>
      <c r="E2718" s="35">
        <v>44889</v>
      </c>
      <c r="F2718" s="33">
        <v>4</v>
      </c>
      <c r="G2718" s="33" t="s">
        <v>122</v>
      </c>
      <c r="H2718" s="33" t="s">
        <v>201</v>
      </c>
      <c r="I2718" s="33" t="s">
        <v>196</v>
      </c>
      <c r="J2718" s="34">
        <v>2629.63</v>
      </c>
      <c r="K2718" s="34"/>
      <c r="L2718" s="34">
        <v>2629.63</v>
      </c>
    </row>
    <row r="2719" spans="2:12" x14ac:dyDescent="0.3">
      <c r="B2719" s="25">
        <v>2730</v>
      </c>
      <c r="C2719" s="33">
        <v>7632</v>
      </c>
      <c r="D2719" s="33" t="s">
        <v>584</v>
      </c>
      <c r="E2719" s="35">
        <v>44889</v>
      </c>
      <c r="F2719" s="33">
        <v>4</v>
      </c>
      <c r="G2719" s="33" t="s">
        <v>122</v>
      </c>
      <c r="H2719" s="33" t="s">
        <v>201</v>
      </c>
      <c r="I2719" s="33" t="s">
        <v>196</v>
      </c>
      <c r="J2719" s="34">
        <v>1243.44</v>
      </c>
      <c r="K2719" s="34"/>
      <c r="L2719" s="34">
        <v>1243.44</v>
      </c>
    </row>
    <row r="2720" spans="2:12" x14ac:dyDescent="0.3">
      <c r="B2720" s="25">
        <v>2731</v>
      </c>
      <c r="C2720" s="33">
        <v>7638</v>
      </c>
      <c r="D2720" s="33" t="s">
        <v>362</v>
      </c>
      <c r="E2720" s="35">
        <v>44889</v>
      </c>
      <c r="F2720" s="33">
        <v>4</v>
      </c>
      <c r="G2720" s="33" t="s">
        <v>124</v>
      </c>
      <c r="H2720" s="33" t="s">
        <v>201</v>
      </c>
      <c r="I2720" s="33" t="s">
        <v>197</v>
      </c>
      <c r="J2720" s="34">
        <v>2541.92</v>
      </c>
      <c r="K2720" s="34"/>
      <c r="L2720" s="34">
        <v>2541.92</v>
      </c>
    </row>
    <row r="2721" spans="2:12" x14ac:dyDescent="0.3">
      <c r="B2721" s="25">
        <v>2732</v>
      </c>
      <c r="C2721" s="33">
        <v>7643</v>
      </c>
      <c r="D2721" s="33" t="s">
        <v>372</v>
      </c>
      <c r="E2721" s="35">
        <v>44889</v>
      </c>
      <c r="F2721" s="33">
        <v>4</v>
      </c>
      <c r="G2721" s="33" t="s">
        <v>124</v>
      </c>
      <c r="H2721" s="33" t="s">
        <v>201</v>
      </c>
      <c r="I2721" s="33" t="s">
        <v>197</v>
      </c>
      <c r="J2721" s="34">
        <v>1692</v>
      </c>
      <c r="K2721" s="34"/>
      <c r="L2721" s="34">
        <v>1692</v>
      </c>
    </row>
    <row r="2722" spans="2:12" x14ac:dyDescent="0.3">
      <c r="B2722" s="25">
        <v>2733</v>
      </c>
      <c r="C2722" s="33">
        <v>7646</v>
      </c>
      <c r="D2722" s="33" t="s">
        <v>1382</v>
      </c>
      <c r="E2722" s="35">
        <v>44889</v>
      </c>
      <c r="F2722" s="33">
        <v>4</v>
      </c>
      <c r="G2722" s="33" t="s">
        <v>628</v>
      </c>
      <c r="H2722" s="33" t="s">
        <v>201</v>
      </c>
      <c r="I2722" s="33" t="s">
        <v>75</v>
      </c>
      <c r="J2722" s="34">
        <v>3537.6</v>
      </c>
      <c r="K2722" s="34"/>
      <c r="L2722" s="34">
        <v>3537.6</v>
      </c>
    </row>
    <row r="2723" spans="2:12" x14ac:dyDescent="0.3">
      <c r="B2723" s="25">
        <v>2734</v>
      </c>
      <c r="C2723" s="33">
        <v>7647</v>
      </c>
      <c r="D2723" s="33" t="s">
        <v>665</v>
      </c>
      <c r="E2723" s="35">
        <v>44889</v>
      </c>
      <c r="F2723" s="33">
        <v>4</v>
      </c>
      <c r="G2723" s="33" t="s">
        <v>122</v>
      </c>
      <c r="H2723" s="33" t="s">
        <v>201</v>
      </c>
      <c r="I2723" s="33" t="s">
        <v>196</v>
      </c>
      <c r="J2723" s="34">
        <v>3996.84</v>
      </c>
      <c r="K2723" s="34"/>
      <c r="L2723" s="34">
        <v>3996.84</v>
      </c>
    </row>
    <row r="2724" spans="2:12" x14ac:dyDescent="0.3">
      <c r="B2724" s="25">
        <v>2735</v>
      </c>
      <c r="C2724" s="33">
        <v>7703</v>
      </c>
      <c r="D2724" s="33" t="s">
        <v>900</v>
      </c>
      <c r="E2724" s="35">
        <v>44890</v>
      </c>
      <c r="F2724" s="33">
        <v>4</v>
      </c>
      <c r="G2724" s="33" t="s">
        <v>124</v>
      </c>
      <c r="H2724" s="33" t="s">
        <v>201</v>
      </c>
      <c r="I2724" s="33" t="s">
        <v>197</v>
      </c>
      <c r="J2724" s="34">
        <v>2687.85</v>
      </c>
      <c r="K2724" s="34"/>
      <c r="L2724" s="34">
        <v>2687.85</v>
      </c>
    </row>
    <row r="2725" spans="2:12" x14ac:dyDescent="0.3">
      <c r="B2725" s="25">
        <v>2736</v>
      </c>
      <c r="C2725" s="33">
        <v>7704</v>
      </c>
      <c r="D2725" s="33" t="s">
        <v>900</v>
      </c>
      <c r="E2725" s="35">
        <v>44890</v>
      </c>
      <c r="F2725" s="33">
        <v>4</v>
      </c>
      <c r="G2725" s="33" t="s">
        <v>124</v>
      </c>
      <c r="H2725" s="33" t="s">
        <v>201</v>
      </c>
      <c r="I2725" s="33" t="s">
        <v>197</v>
      </c>
      <c r="J2725" s="34">
        <v>2181.96</v>
      </c>
      <c r="K2725" s="34"/>
      <c r="L2725" s="34">
        <v>2181.96</v>
      </c>
    </row>
    <row r="2726" spans="2:12" x14ac:dyDescent="0.3">
      <c r="B2726" s="25">
        <v>2737</v>
      </c>
      <c r="C2726" s="33">
        <v>7855</v>
      </c>
      <c r="D2726" s="33" t="s">
        <v>565</v>
      </c>
      <c r="E2726" s="35">
        <v>44896</v>
      </c>
      <c r="F2726" s="33">
        <v>4</v>
      </c>
      <c r="G2726" s="33" t="s">
        <v>124</v>
      </c>
      <c r="H2726" s="33" t="s">
        <v>201</v>
      </c>
      <c r="I2726" s="33" t="s">
        <v>197</v>
      </c>
      <c r="J2726" s="34">
        <v>1521.28</v>
      </c>
      <c r="K2726" s="34"/>
      <c r="L2726" s="34">
        <v>1521.28</v>
      </c>
    </row>
    <row r="2727" spans="2:12" x14ac:dyDescent="0.3">
      <c r="B2727" s="25">
        <v>2738</v>
      </c>
      <c r="C2727" s="33">
        <v>7859</v>
      </c>
      <c r="D2727" s="33" t="s">
        <v>584</v>
      </c>
      <c r="E2727" s="35">
        <v>44896</v>
      </c>
      <c r="F2727" s="33">
        <v>4</v>
      </c>
      <c r="G2727" s="33" t="s">
        <v>122</v>
      </c>
      <c r="H2727" s="33" t="s">
        <v>201</v>
      </c>
      <c r="I2727" s="33" t="s">
        <v>196</v>
      </c>
      <c r="J2727" s="34">
        <v>1481.29</v>
      </c>
      <c r="K2727" s="34"/>
      <c r="L2727" s="34">
        <v>1481.29</v>
      </c>
    </row>
    <row r="2728" spans="2:12" x14ac:dyDescent="0.3">
      <c r="B2728" s="25">
        <v>2739</v>
      </c>
      <c r="C2728" s="33">
        <v>7864</v>
      </c>
      <c r="D2728" s="33" t="s">
        <v>572</v>
      </c>
      <c r="E2728" s="35">
        <v>44896</v>
      </c>
      <c r="F2728" s="33">
        <v>4</v>
      </c>
      <c r="G2728" s="33" t="s">
        <v>122</v>
      </c>
      <c r="H2728" s="33" t="s">
        <v>201</v>
      </c>
      <c r="I2728" s="33" t="s">
        <v>196</v>
      </c>
      <c r="J2728" s="34">
        <v>9926.7800000000007</v>
      </c>
      <c r="K2728" s="34"/>
      <c r="L2728" s="34">
        <v>9926.7800000000007</v>
      </c>
    </row>
    <row r="2729" spans="2:12" x14ac:dyDescent="0.3">
      <c r="B2729" s="25">
        <v>2740</v>
      </c>
      <c r="C2729" s="33">
        <v>7866</v>
      </c>
      <c r="D2729" s="33" t="s">
        <v>403</v>
      </c>
      <c r="E2729" s="35">
        <v>44896</v>
      </c>
      <c r="F2729" s="33">
        <v>4</v>
      </c>
      <c r="G2729" s="33" t="s">
        <v>122</v>
      </c>
      <c r="H2729" s="33" t="s">
        <v>201</v>
      </c>
      <c r="I2729" s="33" t="s">
        <v>196</v>
      </c>
      <c r="J2729" s="34">
        <v>10029.69</v>
      </c>
      <c r="K2729" s="34"/>
      <c r="L2729" s="34">
        <v>10029.69</v>
      </c>
    </row>
    <row r="2730" spans="2:12" x14ac:dyDescent="0.3">
      <c r="B2730" s="25">
        <v>2741</v>
      </c>
      <c r="C2730" s="33">
        <v>7867</v>
      </c>
      <c r="D2730" s="33" t="s">
        <v>411</v>
      </c>
      <c r="E2730" s="35">
        <v>44896</v>
      </c>
      <c r="F2730" s="33">
        <v>4</v>
      </c>
      <c r="G2730" s="33" t="s">
        <v>122</v>
      </c>
      <c r="H2730" s="33" t="s">
        <v>201</v>
      </c>
      <c r="I2730" s="33" t="s">
        <v>196</v>
      </c>
      <c r="J2730" s="34">
        <v>1668.15</v>
      </c>
      <c r="K2730" s="34"/>
      <c r="L2730" s="34">
        <v>1668.15</v>
      </c>
    </row>
    <row r="2731" spans="2:12" x14ac:dyDescent="0.3">
      <c r="B2731" s="25">
        <v>2742</v>
      </c>
      <c r="C2731" s="33">
        <v>7870</v>
      </c>
      <c r="D2731" s="33" t="s">
        <v>1383</v>
      </c>
      <c r="E2731" s="35">
        <v>44896</v>
      </c>
      <c r="F2731" s="33">
        <v>4</v>
      </c>
      <c r="G2731" s="33" t="s">
        <v>231</v>
      </c>
      <c r="H2731" s="33" t="s">
        <v>201</v>
      </c>
      <c r="I2731" s="33" t="s">
        <v>198</v>
      </c>
      <c r="J2731" s="34">
        <v>6396.5</v>
      </c>
      <c r="K2731" s="34"/>
      <c r="L2731" s="34">
        <v>6396.5</v>
      </c>
    </row>
    <row r="2732" spans="2:12" x14ac:dyDescent="0.3">
      <c r="B2732" s="25">
        <v>2743</v>
      </c>
      <c r="C2732" s="33">
        <v>8045</v>
      </c>
      <c r="D2732" s="33" t="s">
        <v>759</v>
      </c>
      <c r="E2732" s="35">
        <v>44904</v>
      </c>
      <c r="F2732" s="33">
        <v>4</v>
      </c>
      <c r="G2732" s="33" t="s">
        <v>124</v>
      </c>
      <c r="H2732" s="33" t="s">
        <v>201</v>
      </c>
      <c r="I2732" s="33" t="s">
        <v>197</v>
      </c>
      <c r="J2732" s="34">
        <v>3912</v>
      </c>
      <c r="K2732" s="34"/>
      <c r="L2732" s="34">
        <v>3912</v>
      </c>
    </row>
    <row r="2733" spans="2:12" x14ac:dyDescent="0.3">
      <c r="B2733" s="25">
        <v>2744</v>
      </c>
      <c r="C2733" s="33">
        <v>8054</v>
      </c>
      <c r="D2733" s="33" t="s">
        <v>556</v>
      </c>
      <c r="E2733" s="35">
        <v>44904</v>
      </c>
      <c r="F2733" s="33">
        <v>4</v>
      </c>
      <c r="G2733" s="33" t="s">
        <v>124</v>
      </c>
      <c r="H2733" s="33" t="s">
        <v>201</v>
      </c>
      <c r="I2733" s="33" t="s">
        <v>197</v>
      </c>
      <c r="J2733" s="34">
        <v>2796.67</v>
      </c>
      <c r="K2733" s="34"/>
      <c r="L2733" s="34">
        <v>2796.67</v>
      </c>
    </row>
    <row r="2734" spans="2:12" x14ac:dyDescent="0.3">
      <c r="B2734" s="25">
        <v>2745</v>
      </c>
      <c r="C2734" s="33">
        <v>8063</v>
      </c>
      <c r="D2734" s="33" t="s">
        <v>1334</v>
      </c>
      <c r="E2734" s="35">
        <v>44904</v>
      </c>
      <c r="F2734" s="33">
        <v>4</v>
      </c>
      <c r="G2734" s="33" t="s">
        <v>124</v>
      </c>
      <c r="H2734" s="33" t="s">
        <v>201</v>
      </c>
      <c r="I2734" s="33" t="s">
        <v>197</v>
      </c>
      <c r="J2734" s="34">
        <v>213.4</v>
      </c>
      <c r="K2734" s="34"/>
      <c r="L2734" s="34">
        <v>213.4</v>
      </c>
    </row>
    <row r="2735" spans="2:12" x14ac:dyDescent="0.3">
      <c r="B2735" s="25">
        <v>2746</v>
      </c>
      <c r="C2735" s="33">
        <v>8105</v>
      </c>
      <c r="D2735" s="33" t="s">
        <v>554</v>
      </c>
      <c r="E2735" s="35">
        <v>44904</v>
      </c>
      <c r="F2735" s="33">
        <v>4</v>
      </c>
      <c r="G2735" s="33" t="s">
        <v>124</v>
      </c>
      <c r="H2735" s="33" t="s">
        <v>201</v>
      </c>
      <c r="I2735" s="33" t="s">
        <v>197</v>
      </c>
      <c r="J2735" s="34">
        <v>2202.1999999999998</v>
      </c>
      <c r="K2735" s="34"/>
      <c r="L2735" s="34">
        <v>2202.1999999999998</v>
      </c>
    </row>
    <row r="2736" spans="2:12" x14ac:dyDescent="0.3">
      <c r="B2736" s="25">
        <v>2747</v>
      </c>
      <c r="C2736" s="33">
        <v>8108</v>
      </c>
      <c r="D2736" s="33" t="s">
        <v>1384</v>
      </c>
      <c r="E2736" s="35">
        <v>44904</v>
      </c>
      <c r="F2736" s="33">
        <v>4</v>
      </c>
      <c r="G2736" s="33" t="s">
        <v>124</v>
      </c>
      <c r="H2736" s="33" t="s">
        <v>201</v>
      </c>
      <c r="I2736" s="33" t="s">
        <v>197</v>
      </c>
      <c r="J2736" s="34">
        <v>807.6</v>
      </c>
      <c r="K2736" s="34"/>
      <c r="L2736" s="34">
        <v>807.6</v>
      </c>
    </row>
    <row r="2737" spans="2:12" x14ac:dyDescent="0.3">
      <c r="B2737" s="25">
        <v>2748</v>
      </c>
      <c r="C2737" s="33">
        <v>8112</v>
      </c>
      <c r="D2737" s="33" t="s">
        <v>564</v>
      </c>
      <c r="E2737" s="35">
        <v>44904</v>
      </c>
      <c r="F2737" s="33">
        <v>4</v>
      </c>
      <c r="G2737" s="33" t="s">
        <v>124</v>
      </c>
      <c r="H2737" s="33" t="s">
        <v>201</v>
      </c>
      <c r="I2737" s="33" t="s">
        <v>197</v>
      </c>
      <c r="J2737" s="34">
        <v>4840.17</v>
      </c>
      <c r="K2737" s="34"/>
      <c r="L2737" s="34">
        <v>4840.17</v>
      </c>
    </row>
    <row r="2738" spans="2:12" x14ac:dyDescent="0.3">
      <c r="B2738" s="25">
        <v>2749</v>
      </c>
      <c r="C2738" s="33">
        <v>8114</v>
      </c>
      <c r="D2738" s="33" t="s">
        <v>957</v>
      </c>
      <c r="E2738" s="35">
        <v>44904</v>
      </c>
      <c r="F2738" s="33">
        <v>4</v>
      </c>
      <c r="G2738" s="33" t="s">
        <v>122</v>
      </c>
      <c r="H2738" s="33" t="s">
        <v>201</v>
      </c>
      <c r="I2738" s="33" t="s">
        <v>196</v>
      </c>
      <c r="J2738" s="34">
        <v>1606</v>
      </c>
      <c r="K2738" s="34"/>
      <c r="L2738" s="34">
        <v>1606</v>
      </c>
    </row>
    <row r="2739" spans="2:12" x14ac:dyDescent="0.3">
      <c r="B2739" s="25">
        <v>2750</v>
      </c>
      <c r="C2739" s="33">
        <v>8117</v>
      </c>
      <c r="D2739" s="33" t="s">
        <v>584</v>
      </c>
      <c r="E2739" s="35">
        <v>44904</v>
      </c>
      <c r="F2739" s="33">
        <v>4</v>
      </c>
      <c r="G2739" s="33" t="s">
        <v>122</v>
      </c>
      <c r="H2739" s="33" t="s">
        <v>201</v>
      </c>
      <c r="I2739" s="33" t="s">
        <v>196</v>
      </c>
      <c r="J2739" s="34">
        <v>679.98</v>
      </c>
      <c r="K2739" s="34"/>
      <c r="L2739" s="34">
        <v>679.98</v>
      </c>
    </row>
    <row r="2740" spans="2:12" x14ac:dyDescent="0.3">
      <c r="B2740" s="25">
        <v>2751</v>
      </c>
      <c r="C2740" s="33">
        <v>8129</v>
      </c>
      <c r="D2740" s="33" t="s">
        <v>362</v>
      </c>
      <c r="E2740" s="35">
        <v>44904</v>
      </c>
      <c r="F2740" s="33">
        <v>4</v>
      </c>
      <c r="G2740" s="33" t="s">
        <v>124</v>
      </c>
      <c r="H2740" s="33" t="s">
        <v>201</v>
      </c>
      <c r="I2740" s="33" t="s">
        <v>197</v>
      </c>
      <c r="J2740" s="34">
        <v>5083.84</v>
      </c>
      <c r="K2740" s="34"/>
      <c r="L2740" s="34">
        <v>5083.84</v>
      </c>
    </row>
    <row r="2741" spans="2:12" x14ac:dyDescent="0.3">
      <c r="B2741" s="25">
        <v>2752</v>
      </c>
      <c r="C2741" s="33">
        <v>8134</v>
      </c>
      <c r="D2741" s="33" t="s">
        <v>1383</v>
      </c>
      <c r="E2741" s="35">
        <v>44904</v>
      </c>
      <c r="F2741" s="33">
        <v>4</v>
      </c>
      <c r="G2741" s="33" t="s">
        <v>231</v>
      </c>
      <c r="H2741" s="33" t="s">
        <v>201</v>
      </c>
      <c r="I2741" s="33" t="s">
        <v>198</v>
      </c>
      <c r="J2741" s="34">
        <v>5366.79</v>
      </c>
      <c r="K2741" s="34"/>
      <c r="L2741" s="34">
        <v>5366.79</v>
      </c>
    </row>
    <row r="2742" spans="2:12" x14ac:dyDescent="0.3">
      <c r="B2742" s="25">
        <v>2753</v>
      </c>
      <c r="C2742" s="33">
        <v>8353</v>
      </c>
      <c r="D2742" s="33" t="s">
        <v>565</v>
      </c>
      <c r="E2742" s="35">
        <v>44910</v>
      </c>
      <c r="F2742" s="33">
        <v>4</v>
      </c>
      <c r="G2742" s="33" t="s">
        <v>124</v>
      </c>
      <c r="H2742" s="33" t="s">
        <v>201</v>
      </c>
      <c r="I2742" s="33" t="s">
        <v>197</v>
      </c>
      <c r="J2742" s="34">
        <v>338.8</v>
      </c>
      <c r="K2742" s="34"/>
      <c r="L2742" s="34">
        <v>338.8</v>
      </c>
    </row>
    <row r="2743" spans="2:12" x14ac:dyDescent="0.3">
      <c r="B2743" s="25">
        <v>2754</v>
      </c>
      <c r="C2743" s="33">
        <v>8356</v>
      </c>
      <c r="D2743" s="33" t="s">
        <v>958</v>
      </c>
      <c r="E2743" s="35">
        <v>44545</v>
      </c>
      <c r="F2743" s="33">
        <v>4</v>
      </c>
      <c r="G2743" s="33" t="s">
        <v>231</v>
      </c>
      <c r="H2743" s="33" t="s">
        <v>201</v>
      </c>
      <c r="I2743" s="33" t="s">
        <v>198</v>
      </c>
      <c r="J2743" s="34">
        <v>1913.71</v>
      </c>
      <c r="K2743" s="34"/>
      <c r="L2743" s="34">
        <v>1913.71</v>
      </c>
    </row>
    <row r="2744" spans="2:12" x14ac:dyDescent="0.3">
      <c r="B2744" s="25">
        <v>2755</v>
      </c>
      <c r="C2744" s="33">
        <v>8358</v>
      </c>
      <c r="D2744" s="33" t="s">
        <v>473</v>
      </c>
      <c r="E2744" s="35">
        <v>44910</v>
      </c>
      <c r="F2744" s="33">
        <v>4</v>
      </c>
      <c r="G2744" s="33" t="s">
        <v>122</v>
      </c>
      <c r="H2744" s="33" t="s">
        <v>201</v>
      </c>
      <c r="I2744" s="33" t="s">
        <v>196</v>
      </c>
      <c r="J2744" s="34">
        <v>1573.02</v>
      </c>
      <c r="K2744" s="34"/>
      <c r="L2744" s="34">
        <v>1573.02</v>
      </c>
    </row>
    <row r="2745" spans="2:12" x14ac:dyDescent="0.3">
      <c r="B2745" s="25">
        <v>2756</v>
      </c>
      <c r="C2745" s="33">
        <v>8359</v>
      </c>
      <c r="D2745" s="33" t="s">
        <v>1385</v>
      </c>
      <c r="E2745" s="35">
        <v>44910</v>
      </c>
      <c r="F2745" s="33">
        <v>4</v>
      </c>
      <c r="G2745" s="33" t="s">
        <v>122</v>
      </c>
      <c r="H2745" s="33" t="s">
        <v>201</v>
      </c>
      <c r="I2745" s="33" t="s">
        <v>196</v>
      </c>
      <c r="J2745" s="34">
        <v>5564.4</v>
      </c>
      <c r="K2745" s="34"/>
      <c r="L2745" s="34">
        <v>5564.4</v>
      </c>
    </row>
    <row r="2746" spans="2:12" x14ac:dyDescent="0.3">
      <c r="B2746" s="25">
        <v>2757</v>
      </c>
      <c r="C2746" s="33">
        <v>8375</v>
      </c>
      <c r="D2746" s="33" t="s">
        <v>1326</v>
      </c>
      <c r="E2746" s="35">
        <v>44910</v>
      </c>
      <c r="F2746" s="33">
        <v>4</v>
      </c>
      <c r="G2746" s="33" t="s">
        <v>628</v>
      </c>
      <c r="H2746" s="33" t="s">
        <v>201</v>
      </c>
      <c r="I2746" s="33" t="s">
        <v>75</v>
      </c>
      <c r="J2746" s="34">
        <v>2769</v>
      </c>
      <c r="K2746" s="34"/>
      <c r="L2746" s="34">
        <v>2769</v>
      </c>
    </row>
    <row r="2747" spans="2:12" x14ac:dyDescent="0.3">
      <c r="B2747" s="25">
        <v>2758</v>
      </c>
      <c r="C2747" s="33">
        <v>8490</v>
      </c>
      <c r="D2747" s="33" t="s">
        <v>403</v>
      </c>
      <c r="E2747" s="35">
        <v>44915</v>
      </c>
      <c r="F2747" s="33">
        <v>4</v>
      </c>
      <c r="G2747" s="33" t="s">
        <v>122</v>
      </c>
      <c r="H2747" s="33" t="s">
        <v>201</v>
      </c>
      <c r="I2747" s="33" t="s">
        <v>196</v>
      </c>
      <c r="J2747" s="34">
        <v>162.80000000000001</v>
      </c>
      <c r="K2747" s="34"/>
      <c r="L2747" s="34">
        <v>162.80000000000001</v>
      </c>
    </row>
    <row r="2748" spans="2:12" x14ac:dyDescent="0.3">
      <c r="B2748" s="25">
        <v>2759</v>
      </c>
      <c r="C2748" s="33">
        <v>159</v>
      </c>
      <c r="D2748" s="33" t="s">
        <v>1386</v>
      </c>
      <c r="E2748" s="35">
        <v>44944</v>
      </c>
      <c r="F2748" s="33">
        <v>1</v>
      </c>
      <c r="G2748" s="33" t="s">
        <v>122</v>
      </c>
      <c r="H2748" s="33" t="s">
        <v>71</v>
      </c>
      <c r="I2748" s="33" t="s">
        <v>196</v>
      </c>
      <c r="J2748" s="34">
        <v>588.28</v>
      </c>
      <c r="K2748" s="34"/>
      <c r="L2748" s="34">
        <v>588.28</v>
      </c>
    </row>
    <row r="2749" spans="2:12" x14ac:dyDescent="0.3">
      <c r="B2749" s="25">
        <v>2760</v>
      </c>
      <c r="C2749" s="33" t="s">
        <v>1387</v>
      </c>
      <c r="D2749" s="33" t="s">
        <v>788</v>
      </c>
      <c r="E2749" s="35">
        <v>44942</v>
      </c>
      <c r="F2749" s="33">
        <v>1</v>
      </c>
      <c r="G2749" s="33" t="s">
        <v>122</v>
      </c>
      <c r="H2749" s="33" t="s">
        <v>629</v>
      </c>
      <c r="I2749" s="33" t="s">
        <v>196</v>
      </c>
      <c r="J2749" s="34">
        <v>2659</v>
      </c>
      <c r="K2749" s="34"/>
      <c r="L2749" s="34">
        <v>2659</v>
      </c>
    </row>
    <row r="2750" spans="2:12" x14ac:dyDescent="0.3">
      <c r="B2750" s="25">
        <v>2761</v>
      </c>
      <c r="C2750" s="33" t="s">
        <v>1388</v>
      </c>
      <c r="D2750" s="33" t="s">
        <v>788</v>
      </c>
      <c r="E2750" s="35">
        <v>44935</v>
      </c>
      <c r="F2750" s="33">
        <v>1</v>
      </c>
      <c r="G2750" s="33" t="s">
        <v>231</v>
      </c>
      <c r="H2750" s="33" t="s">
        <v>629</v>
      </c>
      <c r="I2750" s="33" t="s">
        <v>198</v>
      </c>
      <c r="J2750" s="34">
        <v>3722.04</v>
      </c>
      <c r="K2750" s="34"/>
      <c r="L2750" s="34">
        <v>3722.04</v>
      </c>
    </row>
    <row r="2751" spans="2:12" x14ac:dyDescent="0.3">
      <c r="B2751" s="25">
        <v>2762</v>
      </c>
      <c r="C2751" s="33" t="s">
        <v>1389</v>
      </c>
      <c r="D2751" s="33" t="s">
        <v>394</v>
      </c>
      <c r="E2751" s="35">
        <v>44910</v>
      </c>
      <c r="F2751" s="33">
        <v>4</v>
      </c>
      <c r="G2751" s="33" t="s">
        <v>122</v>
      </c>
      <c r="H2751" s="33" t="s">
        <v>629</v>
      </c>
      <c r="I2751" s="33" t="s">
        <v>196</v>
      </c>
      <c r="J2751" s="34">
        <v>5138</v>
      </c>
      <c r="K2751" s="34"/>
      <c r="L2751" s="34">
        <v>5138</v>
      </c>
    </row>
    <row r="2752" spans="2:12" x14ac:dyDescent="0.3">
      <c r="B2752" s="25">
        <v>2763</v>
      </c>
      <c r="C2752" s="33" t="s">
        <v>1390</v>
      </c>
      <c r="D2752" s="33" t="s">
        <v>1391</v>
      </c>
      <c r="E2752" s="35">
        <v>44931</v>
      </c>
      <c r="F2752" s="33">
        <v>1</v>
      </c>
      <c r="G2752" s="33" t="s">
        <v>628</v>
      </c>
      <c r="H2752" s="33" t="s">
        <v>629</v>
      </c>
      <c r="I2752" s="33" t="s">
        <v>75</v>
      </c>
      <c r="J2752" s="34">
        <v>2219</v>
      </c>
      <c r="K2752" s="34">
        <v>80</v>
      </c>
      <c r="L2752" s="34">
        <v>2139</v>
      </c>
    </row>
    <row r="2753" spans="2:12" x14ac:dyDescent="0.3">
      <c r="B2753" s="25">
        <v>2764</v>
      </c>
      <c r="C2753" s="33" t="s">
        <v>1392</v>
      </c>
      <c r="D2753" s="33" t="s">
        <v>1393</v>
      </c>
      <c r="E2753" s="35">
        <v>44917</v>
      </c>
      <c r="F2753" s="33">
        <v>4</v>
      </c>
      <c r="G2753" s="33" t="s">
        <v>124</v>
      </c>
      <c r="H2753" s="33" t="s">
        <v>629</v>
      </c>
      <c r="I2753" s="33" t="s">
        <v>197</v>
      </c>
      <c r="J2753" s="34">
        <v>792</v>
      </c>
      <c r="K2753" s="34">
        <v>160</v>
      </c>
      <c r="L2753" s="34">
        <v>632</v>
      </c>
    </row>
    <row r="2754" spans="2:12" x14ac:dyDescent="0.3">
      <c r="B2754" s="25">
        <v>2765</v>
      </c>
      <c r="C2754" s="33" t="s">
        <v>1394</v>
      </c>
      <c r="D2754" s="33" t="s">
        <v>1395</v>
      </c>
      <c r="E2754" s="35">
        <v>44936</v>
      </c>
      <c r="F2754" s="33">
        <v>1</v>
      </c>
      <c r="G2754" s="33" t="s">
        <v>124</v>
      </c>
      <c r="H2754" s="33" t="s">
        <v>629</v>
      </c>
      <c r="I2754" s="33" t="s">
        <v>197</v>
      </c>
      <c r="J2754" s="34">
        <v>5888</v>
      </c>
      <c r="K2754" s="34">
        <v>80</v>
      </c>
      <c r="L2754" s="34">
        <v>5808</v>
      </c>
    </row>
    <row r="2755" spans="2:12" x14ac:dyDescent="0.3">
      <c r="B2755" s="25">
        <v>2766</v>
      </c>
      <c r="C2755" s="33" t="s">
        <v>1396</v>
      </c>
      <c r="D2755" s="33" t="s">
        <v>394</v>
      </c>
      <c r="E2755" s="35">
        <v>44936</v>
      </c>
      <c r="F2755" s="33">
        <v>1</v>
      </c>
      <c r="G2755" s="33" t="s">
        <v>122</v>
      </c>
      <c r="H2755" s="33" t="s">
        <v>629</v>
      </c>
      <c r="I2755" s="33" t="s">
        <v>196</v>
      </c>
      <c r="J2755" s="34">
        <v>5705</v>
      </c>
      <c r="K2755" s="34">
        <v>80</v>
      </c>
      <c r="L2755" s="34">
        <v>5625</v>
      </c>
    </row>
    <row r="2756" spans="2:12" x14ac:dyDescent="0.3">
      <c r="B2756" s="25">
        <v>2767</v>
      </c>
      <c r="C2756" s="33">
        <v>5223</v>
      </c>
      <c r="D2756" s="33" t="s">
        <v>675</v>
      </c>
      <c r="E2756" s="35">
        <v>44936</v>
      </c>
      <c r="F2756" s="33">
        <v>1</v>
      </c>
      <c r="G2756" s="33" t="s">
        <v>628</v>
      </c>
      <c r="H2756" s="33" t="s">
        <v>630</v>
      </c>
      <c r="I2756" s="33" t="s">
        <v>75</v>
      </c>
      <c r="J2756" s="34">
        <v>1201.68</v>
      </c>
      <c r="K2756" s="34"/>
      <c r="L2756" s="34">
        <v>1201.68</v>
      </c>
    </row>
    <row r="2757" spans="2:12" x14ac:dyDescent="0.3">
      <c r="B2757" s="25">
        <v>2768</v>
      </c>
      <c r="C2757" s="33">
        <v>5235</v>
      </c>
      <c r="D2757" s="33" t="s">
        <v>1126</v>
      </c>
      <c r="E2757" s="35">
        <v>44938</v>
      </c>
      <c r="F2757" s="33">
        <v>1</v>
      </c>
      <c r="G2757" s="33" t="s">
        <v>124</v>
      </c>
      <c r="H2757" s="33" t="s">
        <v>630</v>
      </c>
      <c r="I2757" s="33" t="s">
        <v>197</v>
      </c>
      <c r="J2757" s="34">
        <v>1196.4000000000001</v>
      </c>
      <c r="K2757" s="34"/>
      <c r="L2757" s="34">
        <v>1196.4000000000001</v>
      </c>
    </row>
    <row r="2758" spans="2:12" x14ac:dyDescent="0.3">
      <c r="B2758" s="25">
        <v>2769</v>
      </c>
      <c r="C2758" s="33">
        <v>7024</v>
      </c>
      <c r="D2758" s="33" t="s">
        <v>1397</v>
      </c>
      <c r="E2758" s="35">
        <v>44868</v>
      </c>
      <c r="F2758" s="33">
        <v>4</v>
      </c>
      <c r="G2758" s="33" t="s">
        <v>124</v>
      </c>
      <c r="H2758" s="33" t="s">
        <v>201</v>
      </c>
      <c r="I2758" s="33" t="s">
        <v>197</v>
      </c>
      <c r="J2758" s="34">
        <v>6312</v>
      </c>
      <c r="K2758" s="34"/>
      <c r="L2758" s="34">
        <v>6312</v>
      </c>
    </row>
    <row r="2759" spans="2:12" x14ac:dyDescent="0.3">
      <c r="B2759" s="25">
        <v>2770</v>
      </c>
      <c r="C2759" s="33">
        <v>34769</v>
      </c>
      <c r="D2759" s="33" t="s">
        <v>1282</v>
      </c>
      <c r="E2759" s="35">
        <v>44890</v>
      </c>
      <c r="F2759" s="33">
        <v>4</v>
      </c>
      <c r="G2759" s="33" t="s">
        <v>628</v>
      </c>
      <c r="H2759" s="33" t="s">
        <v>72</v>
      </c>
      <c r="I2759" s="33" t="s">
        <v>75</v>
      </c>
      <c r="J2759" s="34">
        <v>40</v>
      </c>
      <c r="K2759" s="34"/>
      <c r="L2759" s="34">
        <v>40</v>
      </c>
    </row>
    <row r="2760" spans="2:12" x14ac:dyDescent="0.3">
      <c r="B2760" s="25">
        <v>2771</v>
      </c>
      <c r="C2760" s="33">
        <v>55720</v>
      </c>
      <c r="D2760" s="33" t="s">
        <v>411</v>
      </c>
      <c r="E2760" s="35">
        <v>44896</v>
      </c>
      <c r="F2760" s="33">
        <v>4</v>
      </c>
      <c r="G2760" s="33" t="s">
        <v>122</v>
      </c>
      <c r="H2760" s="33" t="s">
        <v>69</v>
      </c>
      <c r="I2760" s="33" t="s">
        <v>196</v>
      </c>
      <c r="J2760" s="34">
        <v>86</v>
      </c>
      <c r="K2760" s="34"/>
      <c r="L2760" s="34">
        <v>86</v>
      </c>
    </row>
    <row r="2761" spans="2:12" x14ac:dyDescent="0.3">
      <c r="B2761" s="25">
        <v>2772</v>
      </c>
      <c r="C2761" s="33" t="s">
        <v>1398</v>
      </c>
      <c r="D2761" s="33" t="s">
        <v>411</v>
      </c>
      <c r="E2761" s="35">
        <v>44902</v>
      </c>
      <c r="F2761" s="33">
        <v>4</v>
      </c>
      <c r="G2761" s="33" t="s">
        <v>122</v>
      </c>
      <c r="H2761" s="33" t="s">
        <v>69</v>
      </c>
      <c r="I2761" s="33" t="s">
        <v>196</v>
      </c>
      <c r="J2761" s="34">
        <v>-86</v>
      </c>
      <c r="K2761" s="34"/>
      <c r="L2761" s="34">
        <v>-86</v>
      </c>
    </row>
    <row r="2762" spans="2:12" x14ac:dyDescent="0.3">
      <c r="B2762" s="25">
        <v>2773</v>
      </c>
      <c r="C2762" s="33">
        <v>56038</v>
      </c>
      <c r="D2762" s="33" t="s">
        <v>1048</v>
      </c>
      <c r="E2762" s="35">
        <v>44916</v>
      </c>
      <c r="F2762" s="33">
        <v>4</v>
      </c>
      <c r="G2762" s="33" t="s">
        <v>122</v>
      </c>
      <c r="H2762" s="33" t="s">
        <v>69</v>
      </c>
      <c r="I2762" s="33" t="s">
        <v>196</v>
      </c>
      <c r="J2762" s="34">
        <v>174.5</v>
      </c>
      <c r="K2762" s="34"/>
      <c r="L2762" s="34">
        <v>174.5</v>
      </c>
    </row>
    <row r="2763" spans="2:12" x14ac:dyDescent="0.3">
      <c r="B2763" s="25">
        <v>2774</v>
      </c>
      <c r="C2763" s="33">
        <v>34603</v>
      </c>
      <c r="D2763" s="33" t="s">
        <v>892</v>
      </c>
      <c r="E2763" s="35">
        <v>44868</v>
      </c>
      <c r="F2763" s="33">
        <v>4</v>
      </c>
      <c r="G2763" s="33" t="s">
        <v>122</v>
      </c>
      <c r="H2763" s="33" t="s">
        <v>72</v>
      </c>
      <c r="I2763" s="33" t="s">
        <v>196</v>
      </c>
      <c r="J2763" s="34">
        <v>8058</v>
      </c>
      <c r="K2763" s="34"/>
      <c r="L2763" s="34">
        <v>8058</v>
      </c>
    </row>
    <row r="2764" spans="2:12" x14ac:dyDescent="0.3">
      <c r="B2764" s="25">
        <v>2775</v>
      </c>
      <c r="C2764" s="33">
        <v>34715</v>
      </c>
      <c r="D2764" s="33" t="s">
        <v>233</v>
      </c>
      <c r="E2764" s="35">
        <v>44883</v>
      </c>
      <c r="F2764" s="33">
        <v>4</v>
      </c>
      <c r="G2764" s="33" t="s">
        <v>122</v>
      </c>
      <c r="H2764" s="33" t="s">
        <v>72</v>
      </c>
      <c r="I2764" s="33" t="s">
        <v>196</v>
      </c>
      <c r="J2764" s="34">
        <v>7381.8</v>
      </c>
      <c r="K2764" s="34"/>
      <c r="L2764" s="34">
        <v>7381.8</v>
      </c>
    </row>
    <row r="2765" spans="2:12" x14ac:dyDescent="0.3">
      <c r="B2765" s="25">
        <v>2776</v>
      </c>
      <c r="C2765" s="33">
        <v>34986</v>
      </c>
      <c r="D2765" s="33" t="s">
        <v>462</v>
      </c>
      <c r="E2765" s="35">
        <v>44916</v>
      </c>
      <c r="F2765" s="33">
        <v>4</v>
      </c>
      <c r="G2765" s="33" t="s">
        <v>122</v>
      </c>
      <c r="H2765" s="33" t="s">
        <v>72</v>
      </c>
      <c r="I2765" s="33" t="s">
        <v>196</v>
      </c>
      <c r="J2765" s="34">
        <v>485.4</v>
      </c>
      <c r="K2765" s="34"/>
      <c r="L2765" s="34">
        <v>485.4</v>
      </c>
    </row>
    <row r="2766" spans="2:12" x14ac:dyDescent="0.3">
      <c r="B2766" s="25">
        <v>2777</v>
      </c>
      <c r="C2766" s="33">
        <v>34909</v>
      </c>
      <c r="D2766" s="33" t="s">
        <v>1399</v>
      </c>
      <c r="E2766" s="35">
        <v>44909</v>
      </c>
      <c r="F2766" s="33">
        <v>4</v>
      </c>
      <c r="G2766" s="33" t="s">
        <v>122</v>
      </c>
      <c r="H2766" s="33" t="s">
        <v>72</v>
      </c>
      <c r="I2766" s="33" t="s">
        <v>196</v>
      </c>
      <c r="J2766" s="34">
        <v>1260.5999999999999</v>
      </c>
      <c r="K2766" s="34"/>
      <c r="L2766" s="34">
        <v>1260.5999999999999</v>
      </c>
    </row>
    <row r="2767" spans="2:12" x14ac:dyDescent="0.3">
      <c r="B2767" s="25">
        <v>2778</v>
      </c>
      <c r="C2767" s="33">
        <v>45161</v>
      </c>
      <c r="D2767" s="33" t="s">
        <v>1400</v>
      </c>
      <c r="E2767" s="35">
        <v>44941</v>
      </c>
      <c r="F2767" s="33">
        <v>1</v>
      </c>
      <c r="G2767" s="33" t="s">
        <v>122</v>
      </c>
      <c r="H2767" s="33" t="s">
        <v>629</v>
      </c>
      <c r="I2767" s="33" t="s">
        <v>196</v>
      </c>
      <c r="J2767" s="34">
        <v>734</v>
      </c>
      <c r="K2767" s="34">
        <v>80</v>
      </c>
      <c r="L2767" s="34">
        <v>654</v>
      </c>
    </row>
    <row r="2768" spans="2:12" x14ac:dyDescent="0.3">
      <c r="B2768" s="25">
        <v>2779</v>
      </c>
      <c r="C2768" s="33" t="s">
        <v>1401</v>
      </c>
      <c r="D2768" s="33" t="s">
        <v>1400</v>
      </c>
      <c r="E2768" s="35">
        <v>44928</v>
      </c>
      <c r="F2768" s="33">
        <v>1</v>
      </c>
      <c r="G2768" s="33" t="s">
        <v>231</v>
      </c>
      <c r="H2768" s="33" t="s">
        <v>629</v>
      </c>
      <c r="I2768" s="33" t="s">
        <v>198</v>
      </c>
      <c r="J2768" s="34">
        <v>1025</v>
      </c>
      <c r="K2768" s="34"/>
      <c r="L2768" s="34">
        <v>1025</v>
      </c>
    </row>
    <row r="2769" spans="2:12" x14ac:dyDescent="0.3">
      <c r="B2769" s="25">
        <v>2780</v>
      </c>
      <c r="C2769" s="33">
        <v>267</v>
      </c>
      <c r="D2769" s="33" t="s">
        <v>1402</v>
      </c>
      <c r="E2769" s="35">
        <v>44943</v>
      </c>
      <c r="F2769" s="33">
        <v>1</v>
      </c>
      <c r="G2769" s="33" t="s">
        <v>122</v>
      </c>
      <c r="H2769" s="33" t="s">
        <v>73</v>
      </c>
      <c r="I2769" s="33" t="s">
        <v>196</v>
      </c>
      <c r="J2769" s="34">
        <v>1351.33</v>
      </c>
      <c r="K2769" s="34"/>
      <c r="L2769" s="34">
        <v>1351.33</v>
      </c>
    </row>
    <row r="2770" spans="2:12" x14ac:dyDescent="0.3">
      <c r="B2770" s="25">
        <v>2781</v>
      </c>
      <c r="C2770" s="33">
        <v>268</v>
      </c>
      <c r="D2770" s="33" t="s">
        <v>1402</v>
      </c>
      <c r="E2770" s="35">
        <v>44943</v>
      </c>
      <c r="F2770" s="33">
        <v>1</v>
      </c>
      <c r="G2770" s="33" t="s">
        <v>122</v>
      </c>
      <c r="H2770" s="33" t="s">
        <v>73</v>
      </c>
      <c r="I2770" s="33" t="s">
        <v>196</v>
      </c>
      <c r="J2770" s="34">
        <v>1164.6400000000001</v>
      </c>
      <c r="K2770" s="34"/>
      <c r="L2770" s="34">
        <v>1164.6400000000001</v>
      </c>
    </row>
    <row r="2771" spans="2:12" x14ac:dyDescent="0.3">
      <c r="B2771" s="25">
        <v>2782</v>
      </c>
      <c r="C2771" s="33">
        <v>499</v>
      </c>
      <c r="D2771" s="33" t="s">
        <v>1494</v>
      </c>
      <c r="E2771" s="35">
        <v>44963</v>
      </c>
      <c r="F2771" s="33">
        <v>1</v>
      </c>
      <c r="G2771" s="33" t="s">
        <v>122</v>
      </c>
      <c r="H2771" s="33" t="s">
        <v>71</v>
      </c>
      <c r="I2771" s="33" t="s">
        <v>196</v>
      </c>
      <c r="J2771" s="34">
        <v>726.65</v>
      </c>
      <c r="K2771" s="34"/>
      <c r="L2771" s="34">
        <v>726.65</v>
      </c>
    </row>
    <row r="2772" spans="2:12" x14ac:dyDescent="0.3">
      <c r="B2772" s="25">
        <v>2783</v>
      </c>
      <c r="C2772" s="33">
        <v>39</v>
      </c>
      <c r="D2772" s="33" t="s">
        <v>277</v>
      </c>
      <c r="E2772" s="35">
        <v>44930</v>
      </c>
      <c r="F2772" s="33">
        <v>1</v>
      </c>
      <c r="G2772" s="33" t="s">
        <v>124</v>
      </c>
      <c r="H2772" s="33" t="s">
        <v>71</v>
      </c>
      <c r="I2772" s="33" t="s">
        <v>197</v>
      </c>
      <c r="J2772" s="34">
        <v>967.47</v>
      </c>
      <c r="K2772" s="34"/>
      <c r="L2772" s="34">
        <v>967.47</v>
      </c>
    </row>
    <row r="2773" spans="2:12" x14ac:dyDescent="0.3">
      <c r="B2773" s="25">
        <v>2784</v>
      </c>
      <c r="C2773" s="33">
        <v>50</v>
      </c>
      <c r="D2773" s="33" t="s">
        <v>412</v>
      </c>
      <c r="E2773" s="35">
        <v>44931</v>
      </c>
      <c r="F2773" s="33">
        <v>1</v>
      </c>
      <c r="G2773" s="33" t="s">
        <v>231</v>
      </c>
      <c r="H2773" s="33" t="s">
        <v>71</v>
      </c>
      <c r="I2773" s="33" t="s">
        <v>198</v>
      </c>
      <c r="J2773" s="34">
        <v>575.5</v>
      </c>
      <c r="K2773" s="34">
        <v>80</v>
      </c>
      <c r="L2773" s="34">
        <v>495.5</v>
      </c>
    </row>
    <row r="2774" spans="2:12" x14ac:dyDescent="0.3">
      <c r="B2774" s="25">
        <v>2785</v>
      </c>
      <c r="C2774" s="33">
        <v>95</v>
      </c>
      <c r="D2774" s="33" t="s">
        <v>654</v>
      </c>
      <c r="E2774" s="35">
        <v>44939</v>
      </c>
      <c r="F2774" s="33">
        <v>1</v>
      </c>
      <c r="G2774" s="33" t="s">
        <v>628</v>
      </c>
      <c r="H2774" s="33" t="s">
        <v>71</v>
      </c>
      <c r="I2774" s="33" t="s">
        <v>75</v>
      </c>
      <c r="J2774" s="34">
        <v>145.07</v>
      </c>
      <c r="K2774" s="34">
        <v>80</v>
      </c>
      <c r="L2774" s="34">
        <v>65.069999999999993</v>
      </c>
    </row>
    <row r="2775" spans="2:12" x14ac:dyDescent="0.3">
      <c r="B2775" s="25">
        <v>2786</v>
      </c>
      <c r="C2775" s="33">
        <v>102</v>
      </c>
      <c r="D2775" s="33" t="s">
        <v>384</v>
      </c>
      <c r="E2775" s="35">
        <v>44939</v>
      </c>
      <c r="F2775" s="33">
        <v>1</v>
      </c>
      <c r="G2775" s="33" t="s">
        <v>124</v>
      </c>
      <c r="H2775" s="33" t="s">
        <v>71</v>
      </c>
      <c r="I2775" s="33" t="s">
        <v>197</v>
      </c>
      <c r="J2775" s="34">
        <v>784.34</v>
      </c>
      <c r="K2775" s="34">
        <v>80</v>
      </c>
      <c r="L2775" s="34">
        <v>704.34</v>
      </c>
    </row>
    <row r="2776" spans="2:12" x14ac:dyDescent="0.3">
      <c r="B2776" s="25">
        <v>2787</v>
      </c>
      <c r="C2776" s="33">
        <v>103</v>
      </c>
      <c r="D2776" s="33" t="s">
        <v>1495</v>
      </c>
      <c r="E2776" s="35">
        <v>44939</v>
      </c>
      <c r="F2776" s="33">
        <v>1</v>
      </c>
      <c r="G2776" s="33" t="s">
        <v>124</v>
      </c>
      <c r="H2776" s="33" t="s">
        <v>71</v>
      </c>
      <c r="I2776" s="33" t="s">
        <v>197</v>
      </c>
      <c r="J2776" s="34">
        <v>705.17</v>
      </c>
      <c r="K2776" s="34">
        <v>80</v>
      </c>
      <c r="L2776" s="34">
        <v>625.16999999999996</v>
      </c>
    </row>
    <row r="2777" spans="2:12" x14ac:dyDescent="0.3">
      <c r="B2777" s="25">
        <v>2788</v>
      </c>
      <c r="C2777" s="33" t="s">
        <v>1496</v>
      </c>
      <c r="D2777" s="33" t="s">
        <v>772</v>
      </c>
      <c r="E2777" s="35">
        <v>44939</v>
      </c>
      <c r="F2777" s="33">
        <v>1</v>
      </c>
      <c r="G2777" s="33" t="s">
        <v>124</v>
      </c>
      <c r="H2777" s="33" t="s">
        <v>71</v>
      </c>
      <c r="I2777" s="33" t="s">
        <v>197</v>
      </c>
      <c r="J2777" s="34">
        <v>1140.3900000000001</v>
      </c>
      <c r="K2777" s="34">
        <v>40</v>
      </c>
      <c r="L2777" s="34">
        <v>1100.3900000000001</v>
      </c>
    </row>
    <row r="2778" spans="2:12" x14ac:dyDescent="0.3">
      <c r="B2778" s="25">
        <v>2789</v>
      </c>
      <c r="C2778" s="33">
        <v>109</v>
      </c>
      <c r="D2778" s="33" t="s">
        <v>772</v>
      </c>
      <c r="E2778" s="35">
        <v>44939</v>
      </c>
      <c r="F2778" s="33">
        <v>1</v>
      </c>
      <c r="G2778" s="33" t="s">
        <v>124</v>
      </c>
      <c r="H2778" s="33" t="s">
        <v>71</v>
      </c>
      <c r="I2778" s="33" t="s">
        <v>197</v>
      </c>
      <c r="J2778" s="34">
        <v>937.93</v>
      </c>
      <c r="K2778" s="34">
        <v>40</v>
      </c>
      <c r="L2778" s="34">
        <v>897.93</v>
      </c>
    </row>
    <row r="2779" spans="2:12" x14ac:dyDescent="0.3">
      <c r="B2779" s="25">
        <v>2790</v>
      </c>
      <c r="C2779" s="33">
        <v>149</v>
      </c>
      <c r="D2779" s="33" t="s">
        <v>519</v>
      </c>
      <c r="E2779" s="35">
        <v>44943</v>
      </c>
      <c r="F2779" s="33">
        <v>1</v>
      </c>
      <c r="G2779" s="33" t="s">
        <v>628</v>
      </c>
      <c r="H2779" s="33" t="s">
        <v>71</v>
      </c>
      <c r="I2779" s="33" t="s">
        <v>75</v>
      </c>
      <c r="J2779" s="34">
        <v>395.32</v>
      </c>
      <c r="K2779" s="34">
        <v>80</v>
      </c>
      <c r="L2779" s="34">
        <v>315.32</v>
      </c>
    </row>
    <row r="2780" spans="2:12" x14ac:dyDescent="0.3">
      <c r="B2780" s="25">
        <v>2791</v>
      </c>
      <c r="C2780" s="33">
        <v>194</v>
      </c>
      <c r="D2780" s="33" t="s">
        <v>654</v>
      </c>
      <c r="E2780" s="35">
        <v>44946</v>
      </c>
      <c r="F2780" s="33">
        <v>1</v>
      </c>
      <c r="G2780" s="33" t="s">
        <v>628</v>
      </c>
      <c r="H2780" s="33" t="s">
        <v>71</v>
      </c>
      <c r="I2780" s="33" t="s">
        <v>75</v>
      </c>
      <c r="J2780" s="34">
        <v>775.78</v>
      </c>
      <c r="K2780" s="34"/>
      <c r="L2780" s="34">
        <v>775.78</v>
      </c>
    </row>
    <row r="2781" spans="2:12" x14ac:dyDescent="0.3">
      <c r="B2781" s="25">
        <v>2792</v>
      </c>
      <c r="C2781" s="33" t="s">
        <v>1497</v>
      </c>
      <c r="D2781" s="33" t="s">
        <v>361</v>
      </c>
      <c r="E2781" s="35">
        <v>44951</v>
      </c>
      <c r="F2781" s="33">
        <v>1</v>
      </c>
      <c r="G2781" s="33" t="s">
        <v>124</v>
      </c>
      <c r="H2781" s="33" t="s">
        <v>71</v>
      </c>
      <c r="I2781" s="33" t="s">
        <v>197</v>
      </c>
      <c r="J2781" s="34">
        <v>5662.79</v>
      </c>
      <c r="K2781" s="34">
        <v>380</v>
      </c>
      <c r="L2781" s="34">
        <v>5282.79</v>
      </c>
    </row>
    <row r="2782" spans="2:12" x14ac:dyDescent="0.3">
      <c r="B2782" s="25">
        <v>2793</v>
      </c>
      <c r="C2782" s="33" t="s">
        <v>1498</v>
      </c>
      <c r="D2782" s="33" t="s">
        <v>361</v>
      </c>
      <c r="E2782" s="35">
        <v>44951</v>
      </c>
      <c r="F2782" s="33">
        <v>1</v>
      </c>
      <c r="G2782" s="33" t="s">
        <v>124</v>
      </c>
      <c r="H2782" s="33" t="s">
        <v>71</v>
      </c>
      <c r="I2782" s="33" t="s">
        <v>197</v>
      </c>
      <c r="J2782" s="34">
        <v>927.07</v>
      </c>
      <c r="K2782" s="34">
        <v>290</v>
      </c>
      <c r="L2782" s="34">
        <v>637.07000000000005</v>
      </c>
    </row>
    <row r="2783" spans="2:12" x14ac:dyDescent="0.3">
      <c r="B2783" s="25">
        <v>2794</v>
      </c>
      <c r="C2783" s="33">
        <v>270</v>
      </c>
      <c r="D2783" s="33" t="s">
        <v>278</v>
      </c>
      <c r="E2783" s="35">
        <v>44951</v>
      </c>
      <c r="F2783" s="33">
        <v>1</v>
      </c>
      <c r="G2783" s="33" t="s">
        <v>124</v>
      </c>
      <c r="H2783" s="33" t="s">
        <v>71</v>
      </c>
      <c r="I2783" s="33" t="s">
        <v>197</v>
      </c>
      <c r="J2783" s="34">
        <v>526.95000000000005</v>
      </c>
      <c r="K2783" s="34">
        <v>80</v>
      </c>
      <c r="L2783" s="34">
        <v>446.95</v>
      </c>
    </row>
    <row r="2784" spans="2:12" x14ac:dyDescent="0.3">
      <c r="B2784" s="25">
        <v>2795</v>
      </c>
      <c r="C2784" s="33">
        <v>275</v>
      </c>
      <c r="D2784" s="33" t="s">
        <v>362</v>
      </c>
      <c r="E2784" s="35">
        <v>44951</v>
      </c>
      <c r="F2784" s="33">
        <v>1</v>
      </c>
      <c r="G2784" s="33" t="s">
        <v>124</v>
      </c>
      <c r="H2784" s="33" t="s">
        <v>71</v>
      </c>
      <c r="I2784" s="33" t="s">
        <v>197</v>
      </c>
      <c r="J2784" s="34">
        <v>1559.52</v>
      </c>
      <c r="K2784" s="34">
        <v>40</v>
      </c>
      <c r="L2784" s="34">
        <v>1519.52</v>
      </c>
    </row>
    <row r="2785" spans="2:12" x14ac:dyDescent="0.3">
      <c r="B2785" s="25">
        <v>2796</v>
      </c>
      <c r="C2785" s="33">
        <v>333</v>
      </c>
      <c r="D2785" s="33" t="s">
        <v>361</v>
      </c>
      <c r="E2785" s="35">
        <v>44951</v>
      </c>
      <c r="F2785" s="33">
        <v>1</v>
      </c>
      <c r="G2785" s="33" t="s">
        <v>124</v>
      </c>
      <c r="H2785" s="33" t="s">
        <v>71</v>
      </c>
      <c r="I2785" s="33" t="s">
        <v>197</v>
      </c>
      <c r="J2785" s="34">
        <v>674.62</v>
      </c>
      <c r="K2785" s="34">
        <v>80</v>
      </c>
      <c r="L2785" s="34">
        <v>594.62</v>
      </c>
    </row>
    <row r="2786" spans="2:12" x14ac:dyDescent="0.3">
      <c r="B2786" s="25">
        <v>2797</v>
      </c>
      <c r="C2786" s="33">
        <v>436</v>
      </c>
      <c r="D2786" s="33" t="s">
        <v>386</v>
      </c>
      <c r="E2786" s="35">
        <v>44957</v>
      </c>
      <c r="F2786" s="33">
        <v>1</v>
      </c>
      <c r="G2786" s="33" t="s">
        <v>124</v>
      </c>
      <c r="H2786" s="33" t="s">
        <v>71</v>
      </c>
      <c r="I2786" s="33" t="s">
        <v>197</v>
      </c>
      <c r="J2786" s="34">
        <v>3709.12</v>
      </c>
      <c r="K2786" s="34">
        <v>40</v>
      </c>
      <c r="L2786" s="34">
        <v>3669.12</v>
      </c>
    </row>
    <row r="2787" spans="2:12" x14ac:dyDescent="0.3">
      <c r="B2787" s="25">
        <v>2798</v>
      </c>
      <c r="C2787" s="33" t="s">
        <v>1499</v>
      </c>
      <c r="D2787" s="33" t="s">
        <v>654</v>
      </c>
      <c r="E2787" s="35">
        <v>44959</v>
      </c>
      <c r="F2787" s="33">
        <v>1</v>
      </c>
      <c r="G2787" s="33" t="s">
        <v>628</v>
      </c>
      <c r="H2787" s="33" t="s">
        <v>71</v>
      </c>
      <c r="I2787" s="33" t="s">
        <v>75</v>
      </c>
      <c r="J2787" s="34">
        <v>102.56</v>
      </c>
      <c r="K2787" s="34">
        <v>40</v>
      </c>
      <c r="L2787" s="34">
        <v>62.56</v>
      </c>
    </row>
    <row r="2788" spans="2:12" x14ac:dyDescent="0.3">
      <c r="B2788" s="25">
        <v>2799</v>
      </c>
      <c r="C2788" s="33">
        <v>510</v>
      </c>
      <c r="D2788" s="33" t="s">
        <v>1500</v>
      </c>
      <c r="E2788" s="35">
        <v>44964</v>
      </c>
      <c r="F2788" s="33">
        <v>1</v>
      </c>
      <c r="G2788" s="33" t="s">
        <v>122</v>
      </c>
      <c r="H2788" s="33" t="s">
        <v>71</v>
      </c>
      <c r="I2788" s="33" t="s">
        <v>196</v>
      </c>
      <c r="J2788" s="34">
        <v>1252.75</v>
      </c>
      <c r="K2788" s="34"/>
      <c r="L2788" s="34">
        <v>1252.75</v>
      </c>
    </row>
    <row r="2789" spans="2:12" x14ac:dyDescent="0.3">
      <c r="B2789" s="25">
        <v>2800</v>
      </c>
      <c r="C2789" s="33">
        <v>5245</v>
      </c>
      <c r="D2789" s="33" t="s">
        <v>1501</v>
      </c>
      <c r="E2789" s="35">
        <v>44943</v>
      </c>
      <c r="F2789" s="33">
        <v>1</v>
      </c>
      <c r="G2789" s="33" t="s">
        <v>122</v>
      </c>
      <c r="H2789" s="33" t="s">
        <v>630</v>
      </c>
      <c r="I2789" s="33" t="s">
        <v>196</v>
      </c>
      <c r="J2789" s="34">
        <v>245.6</v>
      </c>
      <c r="K2789" s="34"/>
      <c r="L2789" s="34">
        <v>245.6</v>
      </c>
    </row>
    <row r="2790" spans="2:12" x14ac:dyDescent="0.3">
      <c r="B2790" s="25">
        <v>2801</v>
      </c>
      <c r="C2790" s="33">
        <v>35106</v>
      </c>
      <c r="D2790" s="33" t="s">
        <v>395</v>
      </c>
      <c r="E2790" s="35">
        <v>44952</v>
      </c>
      <c r="F2790" s="33">
        <v>1</v>
      </c>
      <c r="G2790" s="33" t="s">
        <v>122</v>
      </c>
      <c r="H2790" s="33" t="s">
        <v>72</v>
      </c>
      <c r="I2790" s="33" t="s">
        <v>196</v>
      </c>
      <c r="J2790" s="34">
        <v>9881.7800000000007</v>
      </c>
      <c r="K2790" s="34"/>
      <c r="L2790" s="34">
        <v>9881.7800000000007</v>
      </c>
    </row>
    <row r="2791" spans="2:12" x14ac:dyDescent="0.3">
      <c r="B2791" s="25">
        <v>2802</v>
      </c>
      <c r="C2791" s="33">
        <v>35109</v>
      </c>
      <c r="D2791" s="33" t="s">
        <v>904</v>
      </c>
      <c r="E2791" s="35">
        <v>44953</v>
      </c>
      <c r="F2791" s="33">
        <v>1</v>
      </c>
      <c r="G2791" s="33" t="s">
        <v>231</v>
      </c>
      <c r="H2791" s="33" t="s">
        <v>72</v>
      </c>
      <c r="I2791" s="33" t="s">
        <v>198</v>
      </c>
      <c r="J2791" s="34">
        <v>7173.2</v>
      </c>
      <c r="K2791" s="34"/>
      <c r="L2791" s="34">
        <v>7173.2</v>
      </c>
    </row>
    <row r="2792" spans="2:12" x14ac:dyDescent="0.3">
      <c r="B2792" s="25">
        <v>2803</v>
      </c>
      <c r="C2792" s="33">
        <v>35110</v>
      </c>
      <c r="D2792" s="33" t="s">
        <v>623</v>
      </c>
      <c r="E2792" s="35">
        <v>44953</v>
      </c>
      <c r="F2792" s="33">
        <v>1</v>
      </c>
      <c r="G2792" s="33" t="s">
        <v>122</v>
      </c>
      <c r="H2792" s="33" t="s">
        <v>72</v>
      </c>
      <c r="I2792" s="33" t="s">
        <v>196</v>
      </c>
      <c r="J2792" s="34">
        <v>3057</v>
      </c>
      <c r="K2792" s="34"/>
      <c r="L2792" s="34">
        <v>3057</v>
      </c>
    </row>
    <row r="2793" spans="2:12" x14ac:dyDescent="0.3">
      <c r="B2793" s="25">
        <v>2804</v>
      </c>
      <c r="C2793" s="33">
        <v>35113</v>
      </c>
      <c r="D2793" s="33" t="s">
        <v>394</v>
      </c>
      <c r="E2793" s="35">
        <v>44953</v>
      </c>
      <c r="F2793" s="33">
        <v>1</v>
      </c>
      <c r="G2793" s="33" t="s">
        <v>122</v>
      </c>
      <c r="H2793" s="33" t="s">
        <v>72</v>
      </c>
      <c r="I2793" s="33" t="s">
        <v>196</v>
      </c>
      <c r="J2793" s="34">
        <v>24641.4</v>
      </c>
      <c r="K2793" s="34"/>
      <c r="L2793" s="34">
        <v>24641.4</v>
      </c>
    </row>
    <row r="2794" spans="2:12" x14ac:dyDescent="0.3">
      <c r="B2794" s="25">
        <v>2805</v>
      </c>
      <c r="C2794" s="33">
        <v>35117</v>
      </c>
      <c r="D2794" s="33" t="s">
        <v>611</v>
      </c>
      <c r="E2794" s="35">
        <v>44953</v>
      </c>
      <c r="F2794" s="33">
        <v>1</v>
      </c>
      <c r="G2794" s="33" t="s">
        <v>628</v>
      </c>
      <c r="H2794" s="33" t="s">
        <v>72</v>
      </c>
      <c r="I2794" s="33" t="s">
        <v>75</v>
      </c>
      <c r="J2794" s="34">
        <v>4508.6000000000004</v>
      </c>
      <c r="K2794" s="34"/>
      <c r="L2794" s="34">
        <v>4508.6000000000004</v>
      </c>
    </row>
    <row r="2795" spans="2:12" x14ac:dyDescent="0.3">
      <c r="B2795" s="25">
        <v>2806</v>
      </c>
      <c r="C2795" s="33">
        <v>35103</v>
      </c>
      <c r="D2795" s="33" t="s">
        <v>1104</v>
      </c>
      <c r="E2795" s="35">
        <v>44952</v>
      </c>
      <c r="F2795" s="33">
        <v>1</v>
      </c>
      <c r="G2795" s="33" t="s">
        <v>124</v>
      </c>
      <c r="H2795" s="33" t="s">
        <v>72</v>
      </c>
      <c r="I2795" s="33" t="s">
        <v>197</v>
      </c>
      <c r="J2795" s="34">
        <v>1780.4</v>
      </c>
      <c r="K2795" s="34"/>
      <c r="L2795" s="34">
        <v>1780.4</v>
      </c>
    </row>
    <row r="2796" spans="2:12" x14ac:dyDescent="0.3">
      <c r="B2796" s="25">
        <v>2807</v>
      </c>
      <c r="C2796" s="33">
        <v>35130</v>
      </c>
      <c r="D2796" s="33" t="s">
        <v>394</v>
      </c>
      <c r="E2796" s="35">
        <v>44953</v>
      </c>
      <c r="F2796" s="33">
        <v>1</v>
      </c>
      <c r="G2796" s="33" t="s">
        <v>122</v>
      </c>
      <c r="H2796" s="33" t="s">
        <v>72</v>
      </c>
      <c r="I2796" s="33" t="s">
        <v>196</v>
      </c>
      <c r="J2796" s="34">
        <v>2785.68</v>
      </c>
      <c r="K2796" s="34"/>
      <c r="L2796" s="34">
        <v>2785.68</v>
      </c>
    </row>
    <row r="2797" spans="2:12" x14ac:dyDescent="0.3">
      <c r="B2797" s="25">
        <v>2808</v>
      </c>
      <c r="C2797" s="33">
        <v>35134</v>
      </c>
      <c r="D2797" s="33" t="s">
        <v>687</v>
      </c>
      <c r="E2797" s="35">
        <v>44953</v>
      </c>
      <c r="F2797" s="33">
        <v>1</v>
      </c>
      <c r="G2797" s="33" t="s">
        <v>122</v>
      </c>
      <c r="H2797" s="33" t="s">
        <v>72</v>
      </c>
      <c r="I2797" s="33" t="s">
        <v>196</v>
      </c>
      <c r="J2797" s="34">
        <v>3601.4</v>
      </c>
      <c r="K2797" s="34"/>
      <c r="L2797" s="34">
        <v>3601.4</v>
      </c>
    </row>
    <row r="2798" spans="2:12" x14ac:dyDescent="0.3">
      <c r="B2798" s="25">
        <v>2809</v>
      </c>
      <c r="C2798" s="33">
        <v>35141</v>
      </c>
      <c r="D2798" s="33" t="s">
        <v>394</v>
      </c>
      <c r="E2798" s="35">
        <v>44953</v>
      </c>
      <c r="F2798" s="33">
        <v>1</v>
      </c>
      <c r="G2798" s="33" t="s">
        <v>122</v>
      </c>
      <c r="H2798" s="33" t="s">
        <v>72</v>
      </c>
      <c r="I2798" s="33" t="s">
        <v>196</v>
      </c>
      <c r="J2798" s="34">
        <v>7302</v>
      </c>
      <c r="K2798" s="34"/>
      <c r="L2798" s="34">
        <v>7302</v>
      </c>
    </row>
    <row r="2799" spans="2:12" x14ac:dyDescent="0.3">
      <c r="B2799" s="25">
        <v>2810</v>
      </c>
      <c r="C2799" s="33">
        <v>35142</v>
      </c>
      <c r="D2799" s="33" t="s">
        <v>394</v>
      </c>
      <c r="E2799" s="35">
        <v>44953</v>
      </c>
      <c r="F2799" s="33">
        <v>1</v>
      </c>
      <c r="G2799" s="33" t="s">
        <v>122</v>
      </c>
      <c r="H2799" s="33" t="s">
        <v>72</v>
      </c>
      <c r="I2799" s="33" t="s">
        <v>196</v>
      </c>
      <c r="J2799" s="34">
        <v>8264</v>
      </c>
      <c r="K2799" s="34"/>
      <c r="L2799" s="34">
        <v>8264</v>
      </c>
    </row>
    <row r="2800" spans="2:12" x14ac:dyDescent="0.3">
      <c r="B2800" s="25">
        <v>2811</v>
      </c>
      <c r="C2800" s="33">
        <v>35167</v>
      </c>
      <c r="D2800" s="33" t="s">
        <v>462</v>
      </c>
      <c r="E2800" s="35">
        <v>44957</v>
      </c>
      <c r="F2800" s="33">
        <v>1</v>
      </c>
      <c r="G2800" s="33" t="s">
        <v>122</v>
      </c>
      <c r="H2800" s="33" t="s">
        <v>72</v>
      </c>
      <c r="I2800" s="33" t="s">
        <v>196</v>
      </c>
      <c r="J2800" s="34">
        <v>1796</v>
      </c>
      <c r="K2800" s="34"/>
      <c r="L2800" s="34">
        <v>1796</v>
      </c>
    </row>
    <row r="2801" spans="2:12" x14ac:dyDescent="0.3">
      <c r="B2801" s="25">
        <v>2812</v>
      </c>
      <c r="C2801" s="33">
        <v>35211</v>
      </c>
      <c r="D2801" s="33" t="s">
        <v>1380</v>
      </c>
      <c r="E2801" s="35">
        <v>44959</v>
      </c>
      <c r="F2801" s="33">
        <v>1</v>
      </c>
      <c r="G2801" s="33" t="s">
        <v>122</v>
      </c>
      <c r="H2801" s="33" t="s">
        <v>72</v>
      </c>
      <c r="I2801" s="33" t="s">
        <v>196</v>
      </c>
      <c r="J2801" s="34">
        <v>4094</v>
      </c>
      <c r="K2801" s="34"/>
      <c r="L2801" s="34">
        <v>4094</v>
      </c>
    </row>
    <row r="2802" spans="2:12" x14ac:dyDescent="0.3">
      <c r="B2802" s="25">
        <v>2813</v>
      </c>
      <c r="C2802" s="33">
        <v>35250</v>
      </c>
      <c r="D2802" s="33" t="s">
        <v>394</v>
      </c>
      <c r="E2802" s="35">
        <v>44967</v>
      </c>
      <c r="F2802" s="33">
        <v>1</v>
      </c>
      <c r="G2802" s="33" t="s">
        <v>122</v>
      </c>
      <c r="H2802" s="33" t="s">
        <v>72</v>
      </c>
      <c r="I2802" s="33" t="s">
        <v>196</v>
      </c>
      <c r="J2802" s="34">
        <v>8722.2099999999991</v>
      </c>
      <c r="K2802" s="34"/>
      <c r="L2802" s="34">
        <v>8722.2099999999991</v>
      </c>
    </row>
    <row r="2803" spans="2:12" x14ac:dyDescent="0.3">
      <c r="B2803" s="25">
        <v>2814</v>
      </c>
      <c r="C2803" s="33">
        <v>35251</v>
      </c>
      <c r="D2803" s="33" t="s">
        <v>394</v>
      </c>
      <c r="E2803" s="35">
        <v>44967</v>
      </c>
      <c r="F2803" s="33">
        <v>1</v>
      </c>
      <c r="G2803" s="33" t="s">
        <v>122</v>
      </c>
      <c r="H2803" s="33" t="s">
        <v>72</v>
      </c>
      <c r="I2803" s="33" t="s">
        <v>196</v>
      </c>
      <c r="J2803" s="34">
        <v>2214.34</v>
      </c>
      <c r="K2803" s="34"/>
      <c r="L2803" s="34">
        <v>2214.34</v>
      </c>
    </row>
    <row r="2804" spans="2:12" x14ac:dyDescent="0.3">
      <c r="B2804" s="25">
        <v>2815</v>
      </c>
      <c r="C2804" s="33">
        <v>5249</v>
      </c>
      <c r="D2804" s="33" t="s">
        <v>438</v>
      </c>
      <c r="E2804" s="35">
        <v>44944</v>
      </c>
      <c r="F2804" s="33">
        <v>1</v>
      </c>
      <c r="G2804" s="33" t="s">
        <v>122</v>
      </c>
      <c r="H2804" s="33" t="s">
        <v>630</v>
      </c>
      <c r="I2804" s="33" t="s">
        <v>196</v>
      </c>
      <c r="J2804" s="34">
        <v>2404.8000000000002</v>
      </c>
      <c r="K2804" s="34"/>
      <c r="L2804" s="34">
        <v>2404.8000000000002</v>
      </c>
    </row>
    <row r="2805" spans="2:12" x14ac:dyDescent="0.3">
      <c r="B2805" s="25">
        <v>2816</v>
      </c>
      <c r="C2805" s="33" t="s">
        <v>1502</v>
      </c>
      <c r="D2805" s="33" t="s">
        <v>473</v>
      </c>
      <c r="E2805" s="35">
        <v>44938</v>
      </c>
      <c r="F2805" s="33">
        <v>1</v>
      </c>
      <c r="G2805" s="33" t="s">
        <v>122</v>
      </c>
      <c r="H2805" s="33" t="s">
        <v>201</v>
      </c>
      <c r="I2805" s="33" t="s">
        <v>196</v>
      </c>
      <c r="J2805" s="34">
        <v>1088.6099999999999</v>
      </c>
      <c r="K2805" s="34"/>
      <c r="L2805" s="34">
        <v>1088.6099999999999</v>
      </c>
    </row>
    <row r="2806" spans="2:12" x14ac:dyDescent="0.3">
      <c r="B2806" s="25">
        <v>2817</v>
      </c>
      <c r="C2806" s="33">
        <v>28</v>
      </c>
      <c r="D2806" s="33" t="s">
        <v>362</v>
      </c>
      <c r="E2806" s="35">
        <v>44938</v>
      </c>
      <c r="F2806" s="33">
        <v>1</v>
      </c>
      <c r="G2806" s="33" t="s">
        <v>124</v>
      </c>
      <c r="H2806" s="33" t="s">
        <v>201</v>
      </c>
      <c r="I2806" s="33" t="s">
        <v>197</v>
      </c>
      <c r="J2806" s="34">
        <v>2691.81</v>
      </c>
      <c r="K2806" s="34"/>
      <c r="L2806" s="34">
        <v>2691.81</v>
      </c>
    </row>
    <row r="2807" spans="2:12" x14ac:dyDescent="0.3">
      <c r="B2807" s="25">
        <v>2818</v>
      </c>
      <c r="C2807" s="33">
        <v>34</v>
      </c>
      <c r="D2807" s="33" t="s">
        <v>1046</v>
      </c>
      <c r="E2807" s="35">
        <v>44938</v>
      </c>
      <c r="F2807" s="33">
        <v>1</v>
      </c>
      <c r="G2807" s="33" t="s">
        <v>122</v>
      </c>
      <c r="H2807" s="33" t="s">
        <v>201</v>
      </c>
      <c r="I2807" s="33" t="s">
        <v>196</v>
      </c>
      <c r="J2807" s="34">
        <v>9616.2000000000007</v>
      </c>
      <c r="K2807" s="34"/>
      <c r="L2807" s="34">
        <v>9616.2000000000007</v>
      </c>
    </row>
    <row r="2808" spans="2:12" x14ac:dyDescent="0.3">
      <c r="B2808" s="25">
        <v>2819</v>
      </c>
      <c r="C2808" s="33">
        <v>35</v>
      </c>
      <c r="D2808" s="33" t="s">
        <v>1383</v>
      </c>
      <c r="E2808" s="35">
        <v>44938</v>
      </c>
      <c r="F2808" s="33">
        <v>1</v>
      </c>
      <c r="G2808" s="33" t="s">
        <v>231</v>
      </c>
      <c r="H2808" s="33" t="s">
        <v>201</v>
      </c>
      <c r="I2808" s="33" t="s">
        <v>198</v>
      </c>
      <c r="J2808" s="34">
        <v>1900.8</v>
      </c>
      <c r="K2808" s="34"/>
      <c r="L2808" s="34">
        <v>1900.8</v>
      </c>
    </row>
    <row r="2809" spans="2:12" x14ac:dyDescent="0.3">
      <c r="B2809" s="25">
        <v>2820</v>
      </c>
      <c r="C2809" s="33">
        <v>240</v>
      </c>
      <c r="D2809" s="33" t="s">
        <v>581</v>
      </c>
      <c r="E2809" s="35">
        <v>44945</v>
      </c>
      <c r="F2809" s="33">
        <v>1</v>
      </c>
      <c r="G2809" s="33" t="s">
        <v>124</v>
      </c>
      <c r="H2809" s="33" t="s">
        <v>201</v>
      </c>
      <c r="I2809" s="33" t="s">
        <v>197</v>
      </c>
      <c r="J2809" s="34">
        <v>5031.95</v>
      </c>
      <c r="K2809" s="34"/>
      <c r="L2809" s="34">
        <v>5031.95</v>
      </c>
    </row>
    <row r="2810" spans="2:12" x14ac:dyDescent="0.3">
      <c r="B2810" s="25">
        <v>2821</v>
      </c>
      <c r="C2810" s="33">
        <v>241</v>
      </c>
      <c r="D2810" s="33" t="s">
        <v>852</v>
      </c>
      <c r="E2810" s="35">
        <v>44945</v>
      </c>
      <c r="F2810" s="33">
        <v>1</v>
      </c>
      <c r="G2810" s="33" t="s">
        <v>124</v>
      </c>
      <c r="H2810" s="33" t="s">
        <v>201</v>
      </c>
      <c r="I2810" s="33" t="s">
        <v>197</v>
      </c>
      <c r="J2810" s="34">
        <v>577.47</v>
      </c>
      <c r="K2810" s="34">
        <v>80</v>
      </c>
      <c r="L2810" s="34">
        <v>497.47</v>
      </c>
    </row>
    <row r="2811" spans="2:12" x14ac:dyDescent="0.3">
      <c r="B2811" s="25">
        <v>2822</v>
      </c>
      <c r="C2811" s="33">
        <v>242</v>
      </c>
      <c r="D2811" s="33" t="s">
        <v>584</v>
      </c>
      <c r="E2811" s="35">
        <v>44945</v>
      </c>
      <c r="F2811" s="33">
        <v>1</v>
      </c>
      <c r="G2811" s="33" t="s">
        <v>122</v>
      </c>
      <c r="H2811" s="33" t="s">
        <v>201</v>
      </c>
      <c r="I2811" s="33" t="s">
        <v>196</v>
      </c>
      <c r="J2811" s="34">
        <v>9498.48</v>
      </c>
      <c r="K2811" s="34"/>
      <c r="L2811" s="34">
        <v>9498.48</v>
      </c>
    </row>
    <row r="2812" spans="2:12" x14ac:dyDescent="0.3">
      <c r="B2812" s="25">
        <v>2823</v>
      </c>
      <c r="C2812" s="33">
        <v>243</v>
      </c>
      <c r="D2812" s="33" t="s">
        <v>411</v>
      </c>
      <c r="E2812" s="35">
        <v>44945</v>
      </c>
      <c r="F2812" s="33">
        <v>1</v>
      </c>
      <c r="G2812" s="33" t="s">
        <v>122</v>
      </c>
      <c r="H2812" s="33" t="s">
        <v>201</v>
      </c>
      <c r="I2812" s="33" t="s">
        <v>196</v>
      </c>
      <c r="J2812" s="34">
        <v>5895.94</v>
      </c>
      <c r="K2812" s="34"/>
      <c r="L2812" s="34">
        <v>5895.94</v>
      </c>
    </row>
    <row r="2813" spans="2:12" x14ac:dyDescent="0.3">
      <c r="B2813" s="25">
        <v>2824</v>
      </c>
      <c r="C2813" s="33">
        <v>397</v>
      </c>
      <c r="D2813" s="33" t="s">
        <v>394</v>
      </c>
      <c r="E2813" s="35">
        <v>44952</v>
      </c>
      <c r="F2813" s="33">
        <v>1</v>
      </c>
      <c r="G2813" s="33" t="s">
        <v>122</v>
      </c>
      <c r="H2813" s="33" t="s">
        <v>201</v>
      </c>
      <c r="I2813" s="33" t="s">
        <v>196</v>
      </c>
      <c r="J2813" s="34">
        <v>2948</v>
      </c>
      <c r="K2813" s="34"/>
      <c r="L2813" s="34">
        <v>2948</v>
      </c>
    </row>
    <row r="2814" spans="2:12" x14ac:dyDescent="0.3">
      <c r="B2814" s="25">
        <v>2825</v>
      </c>
      <c r="C2814" s="33" t="s">
        <v>1503</v>
      </c>
      <c r="D2814" s="33" t="s">
        <v>635</v>
      </c>
      <c r="E2814" s="35">
        <v>44952</v>
      </c>
      <c r="F2814" s="33">
        <v>1</v>
      </c>
      <c r="G2814" s="33" t="s">
        <v>628</v>
      </c>
      <c r="H2814" s="33" t="s">
        <v>201</v>
      </c>
      <c r="I2814" s="33" t="s">
        <v>75</v>
      </c>
      <c r="J2814" s="34">
        <v>844.8</v>
      </c>
      <c r="K2814" s="34"/>
      <c r="L2814" s="34">
        <v>844.8</v>
      </c>
    </row>
    <row r="2815" spans="2:12" x14ac:dyDescent="0.3">
      <c r="B2815" s="25">
        <v>2826</v>
      </c>
      <c r="C2815" s="33">
        <v>411</v>
      </c>
      <c r="D2815" s="33" t="s">
        <v>411</v>
      </c>
      <c r="E2815" s="35">
        <v>44952</v>
      </c>
      <c r="F2815" s="33">
        <v>1</v>
      </c>
      <c r="G2815" s="33" t="s">
        <v>122</v>
      </c>
      <c r="H2815" s="33" t="s">
        <v>201</v>
      </c>
      <c r="I2815" s="33" t="s">
        <v>196</v>
      </c>
      <c r="J2815" s="34">
        <v>3088.79</v>
      </c>
      <c r="K2815" s="34"/>
      <c r="L2815" s="34">
        <v>3088.79</v>
      </c>
    </row>
    <row r="2816" spans="2:12" x14ac:dyDescent="0.3">
      <c r="B2816" s="25">
        <v>2827</v>
      </c>
      <c r="C2816" s="33">
        <v>412</v>
      </c>
      <c r="D2816" s="33" t="s">
        <v>826</v>
      </c>
      <c r="E2816" s="35">
        <v>44952</v>
      </c>
      <c r="F2816" s="33">
        <v>1</v>
      </c>
      <c r="G2816" s="33" t="s">
        <v>122</v>
      </c>
      <c r="H2816" s="33" t="s">
        <v>201</v>
      </c>
      <c r="I2816" s="33" t="s">
        <v>196</v>
      </c>
      <c r="J2816" s="34">
        <v>2981</v>
      </c>
      <c r="K2816" s="34"/>
      <c r="L2816" s="34">
        <v>2981</v>
      </c>
    </row>
    <row r="2817" spans="2:12" x14ac:dyDescent="0.3">
      <c r="B2817" s="25">
        <v>2828</v>
      </c>
      <c r="C2817" s="33">
        <v>414</v>
      </c>
      <c r="D2817" s="33" t="s">
        <v>1046</v>
      </c>
      <c r="E2817" s="35">
        <v>44949</v>
      </c>
      <c r="F2817" s="33">
        <v>1</v>
      </c>
      <c r="G2817" s="33" t="s">
        <v>122</v>
      </c>
      <c r="H2817" s="33" t="s">
        <v>201</v>
      </c>
      <c r="I2817" s="33" t="s">
        <v>196</v>
      </c>
      <c r="J2817" s="34">
        <v>728.75</v>
      </c>
      <c r="K2817" s="34"/>
      <c r="L2817" s="34">
        <v>728.75</v>
      </c>
    </row>
    <row r="2818" spans="2:12" x14ac:dyDescent="0.3">
      <c r="B2818" s="25">
        <v>2829</v>
      </c>
      <c r="C2818" s="33">
        <v>542</v>
      </c>
      <c r="D2818" s="33" t="s">
        <v>473</v>
      </c>
      <c r="E2818" s="35">
        <v>44959</v>
      </c>
      <c r="F2818" s="33">
        <v>1</v>
      </c>
      <c r="G2818" s="33" t="s">
        <v>122</v>
      </c>
      <c r="H2818" s="33" t="s">
        <v>201</v>
      </c>
      <c r="I2818" s="33" t="s">
        <v>196</v>
      </c>
      <c r="J2818" s="34">
        <v>1044.58</v>
      </c>
      <c r="K2818" s="34"/>
      <c r="L2818" s="34">
        <v>1044.58</v>
      </c>
    </row>
    <row r="2819" spans="2:12" x14ac:dyDescent="0.3">
      <c r="B2819" s="25">
        <v>2830</v>
      </c>
      <c r="C2819" s="33" t="s">
        <v>1504</v>
      </c>
      <c r="D2819" s="33" t="s">
        <v>473</v>
      </c>
      <c r="E2819" s="35">
        <v>44959</v>
      </c>
      <c r="F2819" s="33">
        <v>1</v>
      </c>
      <c r="G2819" s="33" t="s">
        <v>122</v>
      </c>
      <c r="H2819" s="33" t="s">
        <v>201</v>
      </c>
      <c r="I2819" s="33" t="s">
        <v>196</v>
      </c>
      <c r="J2819" s="34">
        <v>657.47</v>
      </c>
      <c r="K2819" s="34"/>
      <c r="L2819" s="34">
        <v>657.47</v>
      </c>
    </row>
    <row r="2820" spans="2:12" x14ac:dyDescent="0.3">
      <c r="B2820" s="25">
        <v>2831</v>
      </c>
      <c r="C2820" s="33">
        <v>546</v>
      </c>
      <c r="D2820" s="33" t="s">
        <v>824</v>
      </c>
      <c r="E2820" s="35">
        <v>44959</v>
      </c>
      <c r="F2820" s="33">
        <v>1</v>
      </c>
      <c r="G2820" s="33" t="s">
        <v>231</v>
      </c>
      <c r="H2820" s="33" t="s">
        <v>201</v>
      </c>
      <c r="I2820" s="33" t="s">
        <v>198</v>
      </c>
      <c r="J2820" s="34">
        <v>518.35</v>
      </c>
      <c r="K2820" s="34">
        <v>80</v>
      </c>
      <c r="L2820" s="34">
        <v>438.35</v>
      </c>
    </row>
    <row r="2821" spans="2:12" x14ac:dyDescent="0.3">
      <c r="B2821" s="25">
        <v>2832</v>
      </c>
      <c r="C2821" s="33">
        <v>547</v>
      </c>
      <c r="D2821" s="33" t="s">
        <v>584</v>
      </c>
      <c r="E2821" s="35">
        <v>44959</v>
      </c>
      <c r="F2821" s="33">
        <v>1</v>
      </c>
      <c r="G2821" s="33" t="s">
        <v>122</v>
      </c>
      <c r="H2821" s="33" t="s">
        <v>201</v>
      </c>
      <c r="I2821" s="33" t="s">
        <v>196</v>
      </c>
      <c r="J2821" s="34">
        <v>6099.98</v>
      </c>
      <c r="K2821" s="34"/>
      <c r="L2821" s="34">
        <v>6099.98</v>
      </c>
    </row>
    <row r="2822" spans="2:12" x14ac:dyDescent="0.3">
      <c r="B2822" s="25">
        <v>2833</v>
      </c>
      <c r="C2822" s="33">
        <v>556</v>
      </c>
      <c r="D2822" s="33" t="s">
        <v>1383</v>
      </c>
      <c r="E2822" s="35">
        <v>44959</v>
      </c>
      <c r="F2822" s="33">
        <v>1</v>
      </c>
      <c r="G2822" s="33" t="s">
        <v>231</v>
      </c>
      <c r="H2822" s="33" t="s">
        <v>201</v>
      </c>
      <c r="I2822" s="33" t="s">
        <v>198</v>
      </c>
      <c r="J2822" s="34">
        <v>323.39999999999998</v>
      </c>
      <c r="K2822" s="34"/>
      <c r="L2822" s="34">
        <v>323.39999999999998</v>
      </c>
    </row>
    <row r="2823" spans="2:12" x14ac:dyDescent="0.3">
      <c r="B2823" s="25">
        <v>2834</v>
      </c>
      <c r="C2823" s="33">
        <v>50046</v>
      </c>
      <c r="D2823" s="33" t="s">
        <v>832</v>
      </c>
      <c r="E2823" s="35">
        <v>44938</v>
      </c>
      <c r="F2823" s="33">
        <v>1</v>
      </c>
      <c r="G2823" s="33" t="s">
        <v>231</v>
      </c>
      <c r="H2823" s="33" t="s">
        <v>73</v>
      </c>
      <c r="I2823" s="33" t="s">
        <v>198</v>
      </c>
      <c r="J2823" s="34">
        <v>535</v>
      </c>
      <c r="K2823" s="34"/>
      <c r="L2823" s="34">
        <v>535</v>
      </c>
    </row>
    <row r="2824" spans="2:12" x14ac:dyDescent="0.3">
      <c r="B2824" s="25">
        <v>2835</v>
      </c>
      <c r="C2824" s="33" t="s">
        <v>1505</v>
      </c>
      <c r="D2824" s="33" t="s">
        <v>1506</v>
      </c>
      <c r="E2824" s="35">
        <v>44945</v>
      </c>
      <c r="F2824" s="33">
        <v>1</v>
      </c>
      <c r="G2824" s="33" t="s">
        <v>231</v>
      </c>
      <c r="H2824" s="33">
        <v>53</v>
      </c>
      <c r="I2824" s="33" t="s">
        <v>198</v>
      </c>
      <c r="J2824" s="34">
        <v>1754.67</v>
      </c>
      <c r="K2824" s="34"/>
      <c r="L2824" s="34">
        <v>1754.67</v>
      </c>
    </row>
    <row r="2825" spans="2:12" x14ac:dyDescent="0.3">
      <c r="B2825" s="25">
        <v>2836</v>
      </c>
      <c r="C2825" s="33">
        <v>896</v>
      </c>
      <c r="D2825" s="33" t="s">
        <v>410</v>
      </c>
      <c r="E2825" s="35">
        <v>44950</v>
      </c>
      <c r="F2825" s="33">
        <v>1</v>
      </c>
      <c r="G2825" s="33" t="s">
        <v>231</v>
      </c>
      <c r="H2825" s="33" t="s">
        <v>73</v>
      </c>
      <c r="I2825" s="33" t="s">
        <v>198</v>
      </c>
      <c r="J2825" s="34">
        <v>610</v>
      </c>
      <c r="K2825" s="34"/>
      <c r="L2825" s="34">
        <v>610</v>
      </c>
    </row>
    <row r="2826" spans="2:12" x14ac:dyDescent="0.3">
      <c r="B2826" s="25">
        <v>2837</v>
      </c>
      <c r="C2826" s="33" t="s">
        <v>1507</v>
      </c>
      <c r="D2826" s="33" t="s">
        <v>1500</v>
      </c>
      <c r="E2826" s="35">
        <v>44977</v>
      </c>
      <c r="F2826" s="33">
        <v>1</v>
      </c>
      <c r="G2826" s="33" t="s">
        <v>122</v>
      </c>
      <c r="H2826" s="33" t="s">
        <v>71</v>
      </c>
      <c r="I2826" s="33" t="s">
        <v>196</v>
      </c>
      <c r="J2826" s="34">
        <v>1415.09</v>
      </c>
      <c r="K2826" s="34"/>
      <c r="L2826" s="34">
        <v>1415.09</v>
      </c>
    </row>
    <row r="2827" spans="2:12" x14ac:dyDescent="0.3">
      <c r="B2827" s="25">
        <v>2838</v>
      </c>
      <c r="C2827" s="33" t="s">
        <v>1508</v>
      </c>
      <c r="D2827" s="33" t="s">
        <v>400</v>
      </c>
      <c r="E2827" s="35">
        <v>44938</v>
      </c>
      <c r="F2827" s="33">
        <v>1</v>
      </c>
      <c r="G2827" s="33" t="s">
        <v>231</v>
      </c>
      <c r="H2827" s="33">
        <v>53</v>
      </c>
      <c r="I2827" s="33" t="s">
        <v>198</v>
      </c>
      <c r="J2827" s="34">
        <v>570.83000000000004</v>
      </c>
      <c r="K2827" s="34"/>
      <c r="L2827" s="34">
        <v>570.83000000000004</v>
      </c>
    </row>
    <row r="2828" spans="2:12" x14ac:dyDescent="0.3">
      <c r="B2828" s="25">
        <v>2839</v>
      </c>
      <c r="C2828" s="33" t="s">
        <v>1509</v>
      </c>
      <c r="D2828" s="33" t="s">
        <v>400</v>
      </c>
      <c r="E2828" s="35">
        <v>44938</v>
      </c>
      <c r="F2828" s="33">
        <v>1</v>
      </c>
      <c r="G2828" s="33" t="s">
        <v>231</v>
      </c>
      <c r="H2828" s="33">
        <v>53</v>
      </c>
      <c r="I2828" s="33" t="s">
        <v>198</v>
      </c>
      <c r="J2828" s="34">
        <v>261.89999999999998</v>
      </c>
      <c r="K2828" s="34"/>
      <c r="L2828" s="34">
        <v>261.89999999999998</v>
      </c>
    </row>
    <row r="2829" spans="2:12" x14ac:dyDescent="0.3">
      <c r="B2829" s="25">
        <v>2840</v>
      </c>
      <c r="C2829" s="33" t="s">
        <v>1510</v>
      </c>
      <c r="D2829" s="33" t="s">
        <v>400</v>
      </c>
      <c r="E2829" s="35">
        <v>44938</v>
      </c>
      <c r="F2829" s="33">
        <v>1</v>
      </c>
      <c r="G2829" s="33" t="s">
        <v>231</v>
      </c>
      <c r="H2829" s="33">
        <v>53</v>
      </c>
      <c r="I2829" s="33" t="s">
        <v>198</v>
      </c>
      <c r="J2829" s="34">
        <v>14.55</v>
      </c>
      <c r="K2829" s="34"/>
      <c r="L2829" s="34">
        <v>14.55</v>
      </c>
    </row>
    <row r="2830" spans="2:12" x14ac:dyDescent="0.3">
      <c r="B2830" s="25">
        <v>2841</v>
      </c>
      <c r="C2830" s="33">
        <v>50047</v>
      </c>
      <c r="D2830" s="33" t="s">
        <v>411</v>
      </c>
      <c r="E2830" s="35">
        <v>44936</v>
      </c>
      <c r="F2830" s="33">
        <v>1</v>
      </c>
      <c r="G2830" s="33" t="s">
        <v>122</v>
      </c>
      <c r="H2830" s="33">
        <v>53</v>
      </c>
      <c r="I2830" s="33" t="s">
        <v>196</v>
      </c>
      <c r="J2830" s="34">
        <v>895.5</v>
      </c>
      <c r="K2830" s="34"/>
      <c r="L2830" s="34">
        <v>895.5</v>
      </c>
    </row>
    <row r="2831" spans="2:12" x14ac:dyDescent="0.3">
      <c r="B2831" s="25">
        <v>2842</v>
      </c>
      <c r="C2831" s="33">
        <v>50049</v>
      </c>
      <c r="D2831" s="33" t="s">
        <v>412</v>
      </c>
      <c r="E2831" s="35">
        <v>44938</v>
      </c>
      <c r="F2831" s="33">
        <v>1</v>
      </c>
      <c r="G2831" s="33" t="s">
        <v>231</v>
      </c>
      <c r="H2831" s="33">
        <v>53</v>
      </c>
      <c r="I2831" s="33" t="s">
        <v>198</v>
      </c>
      <c r="J2831" s="34">
        <v>567.5</v>
      </c>
      <c r="K2831" s="34"/>
      <c r="L2831" s="34">
        <v>567.5</v>
      </c>
    </row>
    <row r="2832" spans="2:12" x14ac:dyDescent="0.3">
      <c r="B2832" s="25">
        <v>2843</v>
      </c>
      <c r="C2832" s="33">
        <v>50179</v>
      </c>
      <c r="D2832" s="33" t="s">
        <v>400</v>
      </c>
      <c r="E2832" s="35">
        <v>44945</v>
      </c>
      <c r="F2832" s="33">
        <v>1</v>
      </c>
      <c r="G2832" s="33" t="s">
        <v>231</v>
      </c>
      <c r="H2832" s="33">
        <v>53</v>
      </c>
      <c r="I2832" s="33" t="s">
        <v>198</v>
      </c>
      <c r="J2832" s="34">
        <v>433.58</v>
      </c>
      <c r="K2832" s="34"/>
      <c r="L2832" s="34">
        <v>433.58</v>
      </c>
    </row>
    <row r="2833" spans="2:12" x14ac:dyDescent="0.3">
      <c r="B2833" s="25">
        <v>2844</v>
      </c>
      <c r="C2833" s="33">
        <v>50180</v>
      </c>
      <c r="D2833" s="33" t="s">
        <v>400</v>
      </c>
      <c r="E2833" s="35">
        <v>44945</v>
      </c>
      <c r="F2833" s="33">
        <v>1</v>
      </c>
      <c r="G2833" s="33" t="s">
        <v>231</v>
      </c>
      <c r="H2833" s="33">
        <v>53</v>
      </c>
      <c r="I2833" s="33" t="s">
        <v>198</v>
      </c>
      <c r="J2833" s="34">
        <v>300.69</v>
      </c>
      <c r="K2833" s="34"/>
      <c r="L2833" s="34">
        <v>300.69</v>
      </c>
    </row>
    <row r="2834" spans="2:12" x14ac:dyDescent="0.3">
      <c r="B2834" s="25">
        <v>2845</v>
      </c>
      <c r="C2834" s="33">
        <v>50181</v>
      </c>
      <c r="D2834" s="33" t="s">
        <v>400</v>
      </c>
      <c r="E2834" s="35">
        <v>44945</v>
      </c>
      <c r="F2834" s="33">
        <v>1</v>
      </c>
      <c r="G2834" s="33" t="s">
        <v>231</v>
      </c>
      <c r="H2834" s="33">
        <v>53</v>
      </c>
      <c r="I2834" s="33" t="s">
        <v>198</v>
      </c>
      <c r="J2834" s="34">
        <v>2188.7399999999998</v>
      </c>
      <c r="K2834" s="34"/>
      <c r="L2834" s="34">
        <v>2188.7399999999998</v>
      </c>
    </row>
    <row r="2835" spans="2:12" x14ac:dyDescent="0.3">
      <c r="B2835" s="25">
        <v>2846</v>
      </c>
      <c r="C2835" s="33">
        <v>50182</v>
      </c>
      <c r="D2835" s="33" t="s">
        <v>400</v>
      </c>
      <c r="E2835" s="35">
        <v>44945</v>
      </c>
      <c r="F2835" s="33">
        <v>1</v>
      </c>
      <c r="G2835" s="33" t="s">
        <v>231</v>
      </c>
      <c r="H2835" s="33">
        <v>53</v>
      </c>
      <c r="I2835" s="33" t="s">
        <v>198</v>
      </c>
      <c r="J2835" s="34">
        <v>1412.75</v>
      </c>
      <c r="K2835" s="34"/>
      <c r="L2835" s="34">
        <v>1412.75</v>
      </c>
    </row>
    <row r="2836" spans="2:12" x14ac:dyDescent="0.3">
      <c r="B2836" s="25">
        <v>2847</v>
      </c>
      <c r="C2836" s="33" t="s">
        <v>1511</v>
      </c>
      <c r="D2836" s="33" t="s">
        <v>401</v>
      </c>
      <c r="E2836" s="35">
        <v>44945</v>
      </c>
      <c r="F2836" s="33">
        <v>1</v>
      </c>
      <c r="G2836" s="33" t="s">
        <v>231</v>
      </c>
      <c r="H2836" s="33" t="s">
        <v>73</v>
      </c>
      <c r="I2836" s="33" t="s">
        <v>198</v>
      </c>
      <c r="J2836" s="34">
        <v>300</v>
      </c>
      <c r="K2836" s="34"/>
      <c r="L2836" s="34">
        <v>300</v>
      </c>
    </row>
    <row r="2837" spans="2:12" x14ac:dyDescent="0.3">
      <c r="B2837" s="25">
        <v>2848</v>
      </c>
      <c r="C2837" s="33" t="s">
        <v>1512</v>
      </c>
      <c r="D2837" s="33" t="s">
        <v>442</v>
      </c>
      <c r="E2837" s="35">
        <v>44945</v>
      </c>
      <c r="F2837" s="33">
        <v>1</v>
      </c>
      <c r="G2837" s="33" t="s">
        <v>122</v>
      </c>
      <c r="H2837" s="33" t="s">
        <v>73</v>
      </c>
      <c r="I2837" s="33" t="s">
        <v>196</v>
      </c>
      <c r="J2837" s="34">
        <v>532</v>
      </c>
      <c r="K2837" s="34"/>
      <c r="L2837" s="34">
        <v>532</v>
      </c>
    </row>
    <row r="2838" spans="2:12" x14ac:dyDescent="0.3">
      <c r="B2838" s="25">
        <v>2849</v>
      </c>
      <c r="C2838" s="33">
        <v>50374</v>
      </c>
      <c r="D2838" s="33" t="s">
        <v>593</v>
      </c>
      <c r="E2838" s="35">
        <v>44959</v>
      </c>
      <c r="F2838" s="33">
        <v>1</v>
      </c>
      <c r="G2838" s="33" t="s">
        <v>122</v>
      </c>
      <c r="H2838" s="33">
        <v>53</v>
      </c>
      <c r="I2838" s="33" t="s">
        <v>196</v>
      </c>
      <c r="J2838" s="34">
        <v>1540</v>
      </c>
      <c r="K2838" s="34"/>
      <c r="L2838" s="34">
        <v>1540</v>
      </c>
    </row>
    <row r="2839" spans="2:12" x14ac:dyDescent="0.3">
      <c r="B2839" s="25">
        <v>2850</v>
      </c>
      <c r="C2839" s="33">
        <v>50407</v>
      </c>
      <c r="D2839" s="33" t="s">
        <v>400</v>
      </c>
      <c r="E2839" s="35">
        <v>44960</v>
      </c>
      <c r="F2839" s="33">
        <v>1</v>
      </c>
      <c r="G2839" s="33" t="s">
        <v>231</v>
      </c>
      <c r="H2839" s="33" t="s">
        <v>73</v>
      </c>
      <c r="I2839" s="33" t="s">
        <v>198</v>
      </c>
      <c r="J2839" s="34">
        <v>846.79</v>
      </c>
      <c r="K2839" s="34"/>
      <c r="L2839" s="34">
        <v>846.79</v>
      </c>
    </row>
    <row r="2840" spans="2:12" x14ac:dyDescent="0.3">
      <c r="B2840" s="25">
        <v>2851</v>
      </c>
      <c r="C2840" s="33">
        <v>50408</v>
      </c>
      <c r="D2840" s="33" t="s">
        <v>400</v>
      </c>
      <c r="E2840" s="35">
        <v>44960</v>
      </c>
      <c r="F2840" s="33">
        <v>1</v>
      </c>
      <c r="G2840" s="33" t="s">
        <v>231</v>
      </c>
      <c r="H2840" s="33">
        <v>53</v>
      </c>
      <c r="I2840" s="33" t="s">
        <v>198</v>
      </c>
      <c r="J2840" s="34">
        <v>1482.75</v>
      </c>
      <c r="K2840" s="34"/>
      <c r="L2840" s="34">
        <v>1482.75</v>
      </c>
    </row>
    <row r="2841" spans="2:12" x14ac:dyDescent="0.3">
      <c r="B2841" s="25">
        <v>2852</v>
      </c>
      <c r="C2841" s="33">
        <v>50409</v>
      </c>
      <c r="D2841" s="33" t="s">
        <v>400</v>
      </c>
      <c r="E2841" s="35">
        <v>44960</v>
      </c>
      <c r="F2841" s="33">
        <v>1</v>
      </c>
      <c r="G2841" s="33" t="s">
        <v>231</v>
      </c>
      <c r="H2841" s="33">
        <v>53</v>
      </c>
      <c r="I2841" s="33" t="s">
        <v>198</v>
      </c>
      <c r="J2841" s="34">
        <v>31.04</v>
      </c>
      <c r="K2841" s="34"/>
      <c r="L2841" s="34">
        <v>31.04</v>
      </c>
    </row>
    <row r="2842" spans="2:12" x14ac:dyDescent="0.3">
      <c r="B2842" s="25">
        <v>2853</v>
      </c>
      <c r="C2842" s="33">
        <v>50410</v>
      </c>
      <c r="D2842" s="33" t="s">
        <v>400</v>
      </c>
      <c r="E2842" s="35">
        <v>44960</v>
      </c>
      <c r="F2842" s="33">
        <v>1</v>
      </c>
      <c r="G2842" s="33" t="s">
        <v>231</v>
      </c>
      <c r="H2842" s="33">
        <v>53</v>
      </c>
      <c r="I2842" s="33" t="s">
        <v>198</v>
      </c>
      <c r="J2842" s="34">
        <v>14.06</v>
      </c>
      <c r="K2842" s="34"/>
      <c r="L2842" s="34">
        <v>14.06</v>
      </c>
    </row>
    <row r="2843" spans="2:12" x14ac:dyDescent="0.3">
      <c r="B2843" s="25">
        <v>2854</v>
      </c>
      <c r="C2843" s="33">
        <v>50412</v>
      </c>
      <c r="D2843" s="33" t="s">
        <v>400</v>
      </c>
      <c r="E2843" s="35">
        <v>44960</v>
      </c>
      <c r="F2843" s="33">
        <v>1</v>
      </c>
      <c r="G2843" s="33" t="s">
        <v>231</v>
      </c>
      <c r="H2843" s="33">
        <v>53</v>
      </c>
      <c r="I2843" s="33" t="s">
        <v>198</v>
      </c>
      <c r="J2843" s="34">
        <v>58.19</v>
      </c>
      <c r="K2843" s="34"/>
      <c r="L2843" s="34">
        <v>58.19</v>
      </c>
    </row>
    <row r="2844" spans="2:12" x14ac:dyDescent="0.3">
      <c r="B2844" s="25">
        <v>2855</v>
      </c>
      <c r="C2844" s="33">
        <v>50492</v>
      </c>
      <c r="D2844" s="33" t="s">
        <v>400</v>
      </c>
      <c r="E2844" s="35">
        <v>44966</v>
      </c>
      <c r="F2844" s="33">
        <v>1</v>
      </c>
      <c r="G2844" s="33" t="s">
        <v>231</v>
      </c>
      <c r="H2844" s="33" t="s">
        <v>73</v>
      </c>
      <c r="I2844" s="33" t="s">
        <v>198</v>
      </c>
      <c r="J2844" s="34">
        <v>158.11000000000001</v>
      </c>
      <c r="K2844" s="34"/>
      <c r="L2844" s="34">
        <v>158.11000000000001</v>
      </c>
    </row>
    <row r="2845" spans="2:12" x14ac:dyDescent="0.3">
      <c r="B2845" s="25">
        <v>2856</v>
      </c>
      <c r="C2845" s="33" t="s">
        <v>1513</v>
      </c>
      <c r="D2845" s="33" t="s">
        <v>394</v>
      </c>
      <c r="E2845" s="35">
        <v>44945</v>
      </c>
      <c r="F2845" s="33">
        <v>1</v>
      </c>
      <c r="G2845" s="33" t="s">
        <v>122</v>
      </c>
      <c r="H2845" s="33" t="s">
        <v>73</v>
      </c>
      <c r="I2845" s="33" t="s">
        <v>196</v>
      </c>
      <c r="J2845" s="34">
        <v>166</v>
      </c>
      <c r="K2845" s="34"/>
      <c r="L2845" s="34">
        <v>166</v>
      </c>
    </row>
    <row r="2846" spans="2:12" x14ac:dyDescent="0.3">
      <c r="B2846" s="25">
        <v>2857</v>
      </c>
      <c r="C2846" s="33">
        <v>50371</v>
      </c>
      <c r="D2846" s="33" t="s">
        <v>438</v>
      </c>
      <c r="E2846" s="35">
        <v>44959</v>
      </c>
      <c r="F2846" s="33">
        <v>1</v>
      </c>
      <c r="G2846" s="33" t="s">
        <v>122</v>
      </c>
      <c r="H2846" s="33" t="s">
        <v>73</v>
      </c>
      <c r="I2846" s="33" t="s">
        <v>196</v>
      </c>
      <c r="J2846" s="34">
        <v>608.45000000000005</v>
      </c>
      <c r="K2846" s="34"/>
      <c r="L2846" s="34">
        <v>608.45000000000005</v>
      </c>
    </row>
    <row r="2847" spans="2:12" x14ac:dyDescent="0.3">
      <c r="B2847" s="25">
        <v>2858</v>
      </c>
      <c r="C2847" s="33">
        <v>50373</v>
      </c>
      <c r="D2847" s="33" t="s">
        <v>414</v>
      </c>
      <c r="E2847" s="35">
        <v>44959</v>
      </c>
      <c r="F2847" s="33">
        <v>1</v>
      </c>
      <c r="G2847" s="33" t="s">
        <v>122</v>
      </c>
      <c r="H2847" s="33">
        <v>53</v>
      </c>
      <c r="I2847" s="33" t="s">
        <v>196</v>
      </c>
      <c r="J2847" s="34">
        <v>2353</v>
      </c>
      <c r="K2847" s="34"/>
      <c r="L2847" s="34">
        <v>2353</v>
      </c>
    </row>
    <row r="2848" spans="2:12" x14ac:dyDescent="0.3">
      <c r="B2848" s="25">
        <v>2859</v>
      </c>
      <c r="C2848" s="33">
        <v>2466</v>
      </c>
      <c r="D2848" s="33" t="s">
        <v>410</v>
      </c>
      <c r="E2848" s="35">
        <v>44965</v>
      </c>
      <c r="F2848" s="33">
        <v>1</v>
      </c>
      <c r="G2848" s="33" t="s">
        <v>231</v>
      </c>
      <c r="H2848" s="33" t="s">
        <v>73</v>
      </c>
      <c r="I2848" s="33" t="s">
        <v>198</v>
      </c>
      <c r="J2848" s="34">
        <v>2986.5</v>
      </c>
      <c r="K2848" s="34"/>
      <c r="L2848" s="34">
        <v>2986.5</v>
      </c>
    </row>
    <row r="2849" spans="2:12" x14ac:dyDescent="0.3">
      <c r="B2849" s="25">
        <v>2860</v>
      </c>
      <c r="C2849" s="33">
        <v>50472</v>
      </c>
      <c r="D2849" s="33" t="s">
        <v>596</v>
      </c>
      <c r="E2849" s="35">
        <v>44966</v>
      </c>
      <c r="F2849" s="33">
        <v>1</v>
      </c>
      <c r="G2849" s="33" t="s">
        <v>122</v>
      </c>
      <c r="H2849" s="33" t="s">
        <v>73</v>
      </c>
      <c r="I2849" s="33" t="s">
        <v>196</v>
      </c>
      <c r="J2849" s="34">
        <v>353.5</v>
      </c>
      <c r="K2849" s="34"/>
      <c r="L2849" s="34">
        <v>353.5</v>
      </c>
    </row>
    <row r="2850" spans="2:12" x14ac:dyDescent="0.3">
      <c r="B2850" s="25">
        <v>2861</v>
      </c>
      <c r="C2850" s="33">
        <v>3041</v>
      </c>
      <c r="D2850" s="33" t="s">
        <v>410</v>
      </c>
      <c r="E2850" s="35">
        <v>44971</v>
      </c>
      <c r="F2850" s="33">
        <v>1</v>
      </c>
      <c r="G2850" s="33" t="s">
        <v>231</v>
      </c>
      <c r="H2850" s="33">
        <v>53</v>
      </c>
      <c r="I2850" s="33" t="s">
        <v>198</v>
      </c>
      <c r="J2850" s="34">
        <v>4893</v>
      </c>
      <c r="K2850" s="34"/>
      <c r="L2850" s="34">
        <v>4893</v>
      </c>
    </row>
    <row r="2851" spans="2:12" x14ac:dyDescent="0.3">
      <c r="B2851" s="25">
        <v>2862</v>
      </c>
      <c r="C2851" s="33">
        <v>50080</v>
      </c>
      <c r="D2851" s="33" t="s">
        <v>400</v>
      </c>
      <c r="E2851" s="35">
        <v>44938</v>
      </c>
      <c r="F2851" s="33">
        <v>1</v>
      </c>
      <c r="G2851" s="33" t="s">
        <v>231</v>
      </c>
      <c r="H2851" s="33" t="s">
        <v>69</v>
      </c>
      <c r="I2851" s="33" t="s">
        <v>198</v>
      </c>
      <c r="J2851" s="34">
        <v>561.63</v>
      </c>
      <c r="K2851" s="34"/>
      <c r="L2851" s="34">
        <v>561.63</v>
      </c>
    </row>
    <row r="2852" spans="2:12" x14ac:dyDescent="0.3">
      <c r="B2852" s="25">
        <v>2863</v>
      </c>
      <c r="C2852" s="33">
        <v>50082</v>
      </c>
      <c r="D2852" s="33" t="s">
        <v>400</v>
      </c>
      <c r="E2852" s="35">
        <v>44938</v>
      </c>
      <c r="F2852" s="33">
        <v>1</v>
      </c>
      <c r="G2852" s="33" t="s">
        <v>231</v>
      </c>
      <c r="H2852" s="33" t="s">
        <v>69</v>
      </c>
      <c r="I2852" s="33" t="s">
        <v>198</v>
      </c>
      <c r="J2852" s="34">
        <v>232.8</v>
      </c>
      <c r="K2852" s="34"/>
      <c r="L2852" s="34">
        <v>232.8</v>
      </c>
    </row>
    <row r="2853" spans="2:12" x14ac:dyDescent="0.3">
      <c r="B2853" s="25">
        <v>2864</v>
      </c>
      <c r="C2853" s="33">
        <v>50081</v>
      </c>
      <c r="D2853" s="33" t="s">
        <v>400</v>
      </c>
      <c r="E2853" s="35">
        <v>44938</v>
      </c>
      <c r="F2853" s="33">
        <v>1</v>
      </c>
      <c r="G2853" s="33" t="s">
        <v>231</v>
      </c>
      <c r="H2853" s="33" t="s">
        <v>69</v>
      </c>
      <c r="I2853" s="33" t="s">
        <v>198</v>
      </c>
      <c r="J2853" s="34">
        <v>1878.83</v>
      </c>
      <c r="K2853" s="34"/>
      <c r="L2853" s="34">
        <v>1878.83</v>
      </c>
    </row>
    <row r="2854" spans="2:12" x14ac:dyDescent="0.3">
      <c r="B2854" s="25">
        <v>2865</v>
      </c>
      <c r="C2854" s="33" t="s">
        <v>1514</v>
      </c>
      <c r="D2854" s="33" t="s">
        <v>400</v>
      </c>
      <c r="E2854" s="35">
        <v>44938</v>
      </c>
      <c r="F2854" s="33">
        <v>1</v>
      </c>
      <c r="G2854" s="33" t="s">
        <v>231</v>
      </c>
      <c r="H2854" s="33" t="s">
        <v>69</v>
      </c>
      <c r="I2854" s="33" t="s">
        <v>198</v>
      </c>
      <c r="J2854" s="34">
        <v>208.8</v>
      </c>
      <c r="K2854" s="34"/>
      <c r="L2854" s="34">
        <v>208.8</v>
      </c>
    </row>
    <row r="2855" spans="2:12" x14ac:dyDescent="0.3">
      <c r="B2855" s="25">
        <v>2866</v>
      </c>
      <c r="C2855" s="33">
        <v>50090</v>
      </c>
      <c r="D2855" s="33" t="s">
        <v>411</v>
      </c>
      <c r="E2855" s="35">
        <v>44938</v>
      </c>
      <c r="F2855" s="33">
        <v>1</v>
      </c>
      <c r="G2855" s="33" t="s">
        <v>122</v>
      </c>
      <c r="H2855" s="33" t="s">
        <v>69</v>
      </c>
      <c r="I2855" s="33" t="s">
        <v>196</v>
      </c>
      <c r="J2855" s="34">
        <v>575.5</v>
      </c>
      <c r="K2855" s="34"/>
      <c r="L2855" s="34">
        <v>575.5</v>
      </c>
    </row>
    <row r="2856" spans="2:12" x14ac:dyDescent="0.3">
      <c r="B2856" s="25">
        <v>2867</v>
      </c>
      <c r="C2856" s="33">
        <v>50092</v>
      </c>
      <c r="D2856" s="33" t="s">
        <v>412</v>
      </c>
      <c r="E2856" s="35">
        <v>44938</v>
      </c>
      <c r="F2856" s="33">
        <v>1</v>
      </c>
      <c r="G2856" s="33" t="s">
        <v>231</v>
      </c>
      <c r="H2856" s="33" t="s">
        <v>69</v>
      </c>
      <c r="I2856" s="33" t="s">
        <v>198</v>
      </c>
      <c r="J2856" s="34">
        <v>461.5</v>
      </c>
      <c r="K2856" s="34"/>
      <c r="L2856" s="34">
        <v>461.5</v>
      </c>
    </row>
    <row r="2857" spans="2:12" x14ac:dyDescent="0.3">
      <c r="B2857" s="25">
        <v>2868</v>
      </c>
      <c r="C2857" s="33">
        <v>50093</v>
      </c>
      <c r="D2857" s="33" t="s">
        <v>283</v>
      </c>
      <c r="E2857" s="35">
        <v>44938</v>
      </c>
      <c r="F2857" s="33">
        <v>1</v>
      </c>
      <c r="G2857" s="33" t="s">
        <v>124</v>
      </c>
      <c r="H2857" s="33" t="s">
        <v>69</v>
      </c>
      <c r="I2857" s="33" t="s">
        <v>197</v>
      </c>
      <c r="J2857" s="34">
        <v>46.2</v>
      </c>
      <c r="K2857" s="34"/>
      <c r="L2857" s="34">
        <v>46.2</v>
      </c>
    </row>
    <row r="2858" spans="2:12" x14ac:dyDescent="0.3">
      <c r="B2858" s="25">
        <v>2869</v>
      </c>
      <c r="C2858" s="33">
        <v>50094</v>
      </c>
      <c r="D2858" s="33" t="s">
        <v>415</v>
      </c>
      <c r="E2858" s="35">
        <v>44938</v>
      </c>
      <c r="F2858" s="33">
        <v>1</v>
      </c>
      <c r="G2858" s="33" t="s">
        <v>122</v>
      </c>
      <c r="H2858" s="33" t="s">
        <v>69</v>
      </c>
      <c r="I2858" s="33" t="s">
        <v>196</v>
      </c>
      <c r="J2858" s="34">
        <v>839</v>
      </c>
      <c r="K2858" s="34"/>
      <c r="L2858" s="34">
        <v>839</v>
      </c>
    </row>
    <row r="2859" spans="2:12" x14ac:dyDescent="0.3">
      <c r="B2859" s="25">
        <v>2870</v>
      </c>
      <c r="C2859" s="33">
        <v>50096</v>
      </c>
      <c r="D2859" s="33" t="s">
        <v>281</v>
      </c>
      <c r="E2859" s="35">
        <v>44938</v>
      </c>
      <c r="F2859" s="33">
        <v>1</v>
      </c>
      <c r="G2859" s="33" t="s">
        <v>124</v>
      </c>
      <c r="H2859" s="33" t="s">
        <v>69</v>
      </c>
      <c r="I2859" s="33" t="s">
        <v>197</v>
      </c>
      <c r="J2859" s="34">
        <v>23.5</v>
      </c>
      <c r="K2859" s="34"/>
      <c r="L2859" s="34">
        <v>23.5</v>
      </c>
    </row>
    <row r="2860" spans="2:12" x14ac:dyDescent="0.3">
      <c r="B2860" s="25">
        <v>2871</v>
      </c>
      <c r="C2860" s="33">
        <v>50099</v>
      </c>
      <c r="D2860" s="33" t="s">
        <v>805</v>
      </c>
      <c r="E2860" s="35">
        <v>44938</v>
      </c>
      <c r="F2860" s="33">
        <v>1</v>
      </c>
      <c r="G2860" s="33" t="s">
        <v>231</v>
      </c>
      <c r="H2860" s="33" t="s">
        <v>69</v>
      </c>
      <c r="I2860" s="33" t="s">
        <v>198</v>
      </c>
      <c r="J2860" s="34">
        <v>426</v>
      </c>
      <c r="K2860" s="34"/>
      <c r="L2860" s="34">
        <v>426</v>
      </c>
    </row>
    <row r="2861" spans="2:12" x14ac:dyDescent="0.3">
      <c r="B2861" s="25">
        <v>2872</v>
      </c>
      <c r="C2861" s="33">
        <v>50269</v>
      </c>
      <c r="D2861" s="33" t="s">
        <v>404</v>
      </c>
      <c r="E2861" s="35">
        <v>44945</v>
      </c>
      <c r="F2861" s="33">
        <v>1</v>
      </c>
      <c r="G2861" s="33" t="s">
        <v>122</v>
      </c>
      <c r="H2861" s="33" t="s">
        <v>69</v>
      </c>
      <c r="I2861" s="33" t="s">
        <v>196</v>
      </c>
      <c r="J2861" s="34">
        <v>5661.49</v>
      </c>
      <c r="K2861" s="34"/>
      <c r="L2861" s="34">
        <v>5661.49</v>
      </c>
    </row>
    <row r="2862" spans="2:12" x14ac:dyDescent="0.3">
      <c r="B2862" s="25">
        <v>2873</v>
      </c>
      <c r="C2862" s="33">
        <v>50332</v>
      </c>
      <c r="D2862" s="33" t="s">
        <v>400</v>
      </c>
      <c r="E2862" s="35">
        <v>44946</v>
      </c>
      <c r="F2862" s="33">
        <v>1</v>
      </c>
      <c r="G2862" s="33" t="s">
        <v>231</v>
      </c>
      <c r="H2862" s="33" t="s">
        <v>69</v>
      </c>
      <c r="I2862" s="33" t="s">
        <v>198</v>
      </c>
      <c r="J2862" s="34">
        <v>300.7</v>
      </c>
      <c r="K2862" s="34"/>
      <c r="L2862" s="34">
        <v>300.7</v>
      </c>
    </row>
    <row r="2863" spans="2:12" x14ac:dyDescent="0.3">
      <c r="B2863" s="25">
        <v>2874</v>
      </c>
      <c r="C2863" s="33">
        <v>50333</v>
      </c>
      <c r="D2863" s="33" t="s">
        <v>400</v>
      </c>
      <c r="E2863" s="35">
        <v>44946</v>
      </c>
      <c r="F2863" s="33">
        <v>1</v>
      </c>
      <c r="G2863" s="33" t="s">
        <v>231</v>
      </c>
      <c r="H2863" s="33" t="s">
        <v>69</v>
      </c>
      <c r="I2863" s="33" t="s">
        <v>198</v>
      </c>
      <c r="J2863" s="34">
        <v>2765.43</v>
      </c>
      <c r="K2863" s="34"/>
      <c r="L2863" s="34">
        <v>2765.43</v>
      </c>
    </row>
    <row r="2864" spans="2:12" x14ac:dyDescent="0.3">
      <c r="B2864" s="25">
        <v>2875</v>
      </c>
      <c r="C2864" s="33">
        <v>50334</v>
      </c>
      <c r="D2864" s="33" t="s">
        <v>400</v>
      </c>
      <c r="E2864" s="35">
        <v>44946</v>
      </c>
      <c r="F2864" s="33">
        <v>1</v>
      </c>
      <c r="G2864" s="33" t="s">
        <v>231</v>
      </c>
      <c r="H2864" s="33" t="s">
        <v>69</v>
      </c>
      <c r="I2864" s="33" t="s">
        <v>198</v>
      </c>
      <c r="J2864" s="34">
        <v>25.7</v>
      </c>
      <c r="K2864" s="34"/>
      <c r="L2864" s="34">
        <v>25.7</v>
      </c>
    </row>
    <row r="2865" spans="2:12" x14ac:dyDescent="0.3">
      <c r="B2865" s="25">
        <v>2876</v>
      </c>
      <c r="C2865" s="33">
        <v>50335</v>
      </c>
      <c r="D2865" s="33" t="s">
        <v>400</v>
      </c>
      <c r="E2865" s="35">
        <v>44977</v>
      </c>
      <c r="F2865" s="33">
        <v>1</v>
      </c>
      <c r="G2865" s="33" t="s">
        <v>231</v>
      </c>
      <c r="H2865" s="33" t="s">
        <v>69</v>
      </c>
      <c r="I2865" s="33" t="s">
        <v>198</v>
      </c>
      <c r="J2865" s="34">
        <v>422.43</v>
      </c>
      <c r="K2865" s="34"/>
      <c r="L2865" s="34">
        <v>422.43</v>
      </c>
    </row>
    <row r="2866" spans="2:12" x14ac:dyDescent="0.3">
      <c r="B2866" s="25">
        <v>2877</v>
      </c>
      <c r="C2866" s="33">
        <v>50336</v>
      </c>
      <c r="D2866" s="33" t="s">
        <v>400</v>
      </c>
      <c r="E2866" s="35">
        <v>44946</v>
      </c>
      <c r="F2866" s="33">
        <v>1</v>
      </c>
      <c r="G2866" s="33" t="s">
        <v>231</v>
      </c>
      <c r="H2866" s="33" t="s">
        <v>69</v>
      </c>
      <c r="I2866" s="33" t="s">
        <v>198</v>
      </c>
      <c r="J2866" s="34">
        <v>501.49</v>
      </c>
      <c r="K2866" s="34"/>
      <c r="L2866" s="34">
        <v>501.49</v>
      </c>
    </row>
    <row r="2867" spans="2:12" x14ac:dyDescent="0.3">
      <c r="B2867" s="25">
        <v>2878</v>
      </c>
      <c r="C2867" s="33">
        <v>50337</v>
      </c>
      <c r="D2867" s="33" t="s">
        <v>400</v>
      </c>
      <c r="E2867" s="35">
        <v>44946</v>
      </c>
      <c r="F2867" s="33">
        <v>1</v>
      </c>
      <c r="G2867" s="33" t="s">
        <v>231</v>
      </c>
      <c r="H2867" s="33" t="s">
        <v>69</v>
      </c>
      <c r="I2867" s="33" t="s">
        <v>198</v>
      </c>
      <c r="J2867" s="34">
        <v>653.27</v>
      </c>
      <c r="K2867" s="34"/>
      <c r="L2867" s="34">
        <v>653.27</v>
      </c>
    </row>
    <row r="2868" spans="2:12" x14ac:dyDescent="0.3">
      <c r="B2868" s="25">
        <v>2879</v>
      </c>
      <c r="C2868" s="33">
        <v>732</v>
      </c>
      <c r="D2868" s="33" t="s">
        <v>403</v>
      </c>
      <c r="E2868" s="35">
        <v>44950</v>
      </c>
      <c r="F2868" s="33">
        <v>1</v>
      </c>
      <c r="G2868" s="33" t="s">
        <v>122</v>
      </c>
      <c r="H2868" s="33" t="s">
        <v>69</v>
      </c>
      <c r="I2868" s="33" t="s">
        <v>196</v>
      </c>
      <c r="J2868" s="34">
        <v>7581.3</v>
      </c>
      <c r="K2868" s="34"/>
      <c r="L2868" s="34">
        <v>7581.3</v>
      </c>
    </row>
    <row r="2869" spans="2:12" x14ac:dyDescent="0.3">
      <c r="B2869" s="25">
        <v>2880</v>
      </c>
      <c r="C2869" s="33" t="s">
        <v>1515</v>
      </c>
      <c r="D2869" s="33" t="s">
        <v>693</v>
      </c>
      <c r="E2869" s="35">
        <v>44954</v>
      </c>
      <c r="F2869" s="33">
        <v>1</v>
      </c>
      <c r="G2869" s="33" t="s">
        <v>124</v>
      </c>
      <c r="H2869" s="33" t="s">
        <v>69</v>
      </c>
      <c r="I2869" s="33" t="s">
        <v>197</v>
      </c>
      <c r="J2869" s="34">
        <v>676.2</v>
      </c>
      <c r="K2869" s="34"/>
      <c r="L2869" s="34">
        <v>676.2</v>
      </c>
    </row>
    <row r="2870" spans="2:12" x14ac:dyDescent="0.3">
      <c r="B2870" s="25">
        <v>2881</v>
      </c>
      <c r="C2870" s="33" t="s">
        <v>1516</v>
      </c>
      <c r="D2870" s="33" t="s">
        <v>484</v>
      </c>
      <c r="E2870" s="35">
        <v>44952</v>
      </c>
      <c r="F2870" s="33">
        <v>1</v>
      </c>
      <c r="G2870" s="33" t="s">
        <v>122</v>
      </c>
      <c r="H2870" s="33" t="s">
        <v>69</v>
      </c>
      <c r="I2870" s="33" t="s">
        <v>196</v>
      </c>
      <c r="J2870" s="34">
        <v>2742.01</v>
      </c>
      <c r="K2870" s="34"/>
      <c r="L2870" s="34">
        <v>2742.01</v>
      </c>
    </row>
    <row r="2871" spans="2:12" x14ac:dyDescent="0.3">
      <c r="B2871" s="25">
        <v>2882</v>
      </c>
      <c r="C2871" s="33" t="s">
        <v>1517</v>
      </c>
      <c r="D2871" s="33" t="s">
        <v>804</v>
      </c>
      <c r="E2871" s="35">
        <v>44952</v>
      </c>
      <c r="F2871" s="33">
        <v>1</v>
      </c>
      <c r="G2871" s="33" t="s">
        <v>124</v>
      </c>
      <c r="H2871" s="33" t="s">
        <v>69</v>
      </c>
      <c r="I2871" s="33" t="s">
        <v>197</v>
      </c>
      <c r="J2871" s="34">
        <v>875</v>
      </c>
      <c r="K2871" s="34"/>
      <c r="L2871" s="34">
        <v>875</v>
      </c>
    </row>
    <row r="2872" spans="2:12" x14ac:dyDescent="0.3">
      <c r="B2872" s="25">
        <v>2883</v>
      </c>
      <c r="C2872" s="33" t="s">
        <v>1518</v>
      </c>
      <c r="D2872" s="33" t="s">
        <v>411</v>
      </c>
      <c r="E2872" s="35">
        <v>44952</v>
      </c>
      <c r="F2872" s="33">
        <v>1</v>
      </c>
      <c r="G2872" s="33" t="s">
        <v>122</v>
      </c>
      <c r="H2872" s="33" t="s">
        <v>69</v>
      </c>
      <c r="I2872" s="33" t="s">
        <v>196</v>
      </c>
      <c r="J2872" s="34">
        <v>1229</v>
      </c>
      <c r="K2872" s="34"/>
      <c r="L2872" s="34">
        <v>1229</v>
      </c>
    </row>
    <row r="2873" spans="2:12" x14ac:dyDescent="0.3">
      <c r="B2873" s="25">
        <v>2884</v>
      </c>
      <c r="C2873" s="33" t="s">
        <v>1519</v>
      </c>
      <c r="D2873" s="33" t="s">
        <v>281</v>
      </c>
      <c r="E2873" s="35">
        <v>44952</v>
      </c>
      <c r="F2873" s="33">
        <v>1</v>
      </c>
      <c r="G2873" s="33" t="s">
        <v>124</v>
      </c>
      <c r="H2873" s="33" t="s">
        <v>69</v>
      </c>
      <c r="I2873" s="33" t="s">
        <v>197</v>
      </c>
      <c r="J2873" s="34">
        <v>3639.98</v>
      </c>
      <c r="K2873" s="34"/>
      <c r="L2873" s="34">
        <v>3639.98</v>
      </c>
    </row>
    <row r="2874" spans="2:12" x14ac:dyDescent="0.3">
      <c r="B2874" s="25">
        <v>2885</v>
      </c>
      <c r="C2874" s="33">
        <v>50413</v>
      </c>
      <c r="D2874" s="33" t="s">
        <v>1372</v>
      </c>
      <c r="E2874" s="35">
        <v>44952</v>
      </c>
      <c r="F2874" s="33">
        <v>1</v>
      </c>
      <c r="G2874" s="33" t="s">
        <v>124</v>
      </c>
      <c r="H2874" s="33" t="s">
        <v>69</v>
      </c>
      <c r="I2874" s="33" t="s">
        <v>197</v>
      </c>
      <c r="J2874" s="34">
        <v>1549.8</v>
      </c>
      <c r="K2874" s="34"/>
      <c r="L2874" s="34">
        <v>1549.8</v>
      </c>
    </row>
    <row r="2875" spans="2:12" x14ac:dyDescent="0.3">
      <c r="B2875" s="25">
        <v>2886</v>
      </c>
      <c r="C2875" s="33">
        <v>1262</v>
      </c>
      <c r="D2875" s="33" t="s">
        <v>410</v>
      </c>
      <c r="E2875" s="35">
        <v>44957</v>
      </c>
      <c r="F2875" s="33">
        <v>1</v>
      </c>
      <c r="G2875" s="33" t="s">
        <v>231</v>
      </c>
      <c r="H2875" s="33" t="s">
        <v>69</v>
      </c>
      <c r="I2875" s="33" t="s">
        <v>198</v>
      </c>
      <c r="J2875" s="34">
        <v>5708.75</v>
      </c>
      <c r="K2875" s="34"/>
      <c r="L2875" s="34">
        <v>5708.75</v>
      </c>
    </row>
    <row r="2876" spans="2:12" x14ac:dyDescent="0.3">
      <c r="B2876" s="25">
        <v>2887</v>
      </c>
      <c r="C2876" s="33" t="s">
        <v>1520</v>
      </c>
      <c r="D2876" s="33" t="s">
        <v>693</v>
      </c>
      <c r="E2876" s="35">
        <v>44960</v>
      </c>
      <c r="F2876" s="33">
        <v>1</v>
      </c>
      <c r="G2876" s="33" t="s">
        <v>124</v>
      </c>
      <c r="H2876" s="33" t="s">
        <v>69</v>
      </c>
      <c r="I2876" s="33" t="s">
        <v>197</v>
      </c>
      <c r="J2876" s="34">
        <v>2247.6</v>
      </c>
      <c r="K2876" s="34"/>
      <c r="L2876" s="34">
        <v>2247.6</v>
      </c>
    </row>
    <row r="2877" spans="2:12" x14ac:dyDescent="0.3">
      <c r="B2877" s="25">
        <v>2888</v>
      </c>
      <c r="C2877" s="33" t="s">
        <v>1521</v>
      </c>
      <c r="D2877" s="33" t="s">
        <v>404</v>
      </c>
      <c r="E2877" s="35">
        <v>44966</v>
      </c>
      <c r="F2877" s="33">
        <v>1</v>
      </c>
      <c r="G2877" s="33" t="s">
        <v>122</v>
      </c>
      <c r="H2877" s="33" t="s">
        <v>69</v>
      </c>
      <c r="I2877" s="33" t="s">
        <v>196</v>
      </c>
      <c r="J2877" s="34">
        <v>7628.01</v>
      </c>
      <c r="K2877" s="34"/>
      <c r="L2877" s="34">
        <v>7628.01</v>
      </c>
    </row>
    <row r="2878" spans="2:12" x14ac:dyDescent="0.3">
      <c r="B2878" s="25">
        <v>2889</v>
      </c>
      <c r="C2878" s="33">
        <v>50711</v>
      </c>
      <c r="D2878" s="33" t="s">
        <v>438</v>
      </c>
      <c r="E2878" s="35">
        <v>44966</v>
      </c>
      <c r="F2878" s="33">
        <v>1</v>
      </c>
      <c r="G2878" s="33" t="s">
        <v>122</v>
      </c>
      <c r="H2878" s="33" t="s">
        <v>69</v>
      </c>
      <c r="I2878" s="33" t="s">
        <v>196</v>
      </c>
      <c r="J2878" s="34">
        <v>1987</v>
      </c>
      <c r="K2878" s="34"/>
      <c r="L2878" s="34">
        <v>1987</v>
      </c>
    </row>
    <row r="2879" spans="2:12" x14ac:dyDescent="0.3">
      <c r="B2879" s="25">
        <v>2890</v>
      </c>
      <c r="C2879" s="33">
        <v>50712</v>
      </c>
      <c r="D2879" s="33" t="s">
        <v>414</v>
      </c>
      <c r="E2879" s="35">
        <v>44966</v>
      </c>
      <c r="F2879" s="33">
        <v>1</v>
      </c>
      <c r="G2879" s="33" t="s">
        <v>122</v>
      </c>
      <c r="H2879" s="33" t="s">
        <v>69</v>
      </c>
      <c r="I2879" s="33" t="s">
        <v>196</v>
      </c>
      <c r="J2879" s="34">
        <v>5258</v>
      </c>
      <c r="K2879" s="34"/>
      <c r="L2879" s="34">
        <v>5258</v>
      </c>
    </row>
    <row r="2880" spans="2:12" x14ac:dyDescent="0.3">
      <c r="B2880" s="25">
        <v>2891</v>
      </c>
      <c r="C2880" s="33">
        <v>50713</v>
      </c>
      <c r="D2880" s="33" t="s">
        <v>405</v>
      </c>
      <c r="E2880" s="35">
        <v>44966</v>
      </c>
      <c r="F2880" s="33">
        <v>1</v>
      </c>
      <c r="G2880" s="33" t="s">
        <v>122</v>
      </c>
      <c r="H2880" s="33" t="s">
        <v>69</v>
      </c>
      <c r="I2880" s="33" t="s">
        <v>196</v>
      </c>
      <c r="J2880" s="34">
        <v>1434.5</v>
      </c>
      <c r="K2880" s="34"/>
      <c r="L2880" s="34">
        <v>1434.5</v>
      </c>
    </row>
    <row r="2881" spans="2:12" x14ac:dyDescent="0.3">
      <c r="B2881" s="25">
        <v>2892</v>
      </c>
      <c r="C2881" s="33">
        <v>50741</v>
      </c>
      <c r="D2881" s="33" t="s">
        <v>400</v>
      </c>
      <c r="E2881" s="35">
        <v>44966</v>
      </c>
      <c r="F2881" s="33">
        <v>1</v>
      </c>
      <c r="G2881" s="33" t="s">
        <v>231</v>
      </c>
      <c r="H2881" s="33" t="s">
        <v>69</v>
      </c>
      <c r="I2881" s="33" t="s">
        <v>198</v>
      </c>
      <c r="J2881" s="34">
        <v>1763.88</v>
      </c>
      <c r="K2881" s="34"/>
      <c r="L2881" s="34">
        <v>1763.88</v>
      </c>
    </row>
    <row r="2882" spans="2:12" x14ac:dyDescent="0.3">
      <c r="B2882" s="25">
        <v>2893</v>
      </c>
      <c r="C2882" s="33">
        <v>50742</v>
      </c>
      <c r="D2882" s="33" t="s">
        <v>400</v>
      </c>
      <c r="E2882" s="35">
        <v>44966</v>
      </c>
      <c r="F2882" s="33">
        <v>1</v>
      </c>
      <c r="G2882" s="33" t="s">
        <v>231</v>
      </c>
      <c r="H2882" s="33" t="s">
        <v>69</v>
      </c>
      <c r="I2882" s="33" t="s">
        <v>198</v>
      </c>
      <c r="J2882" s="34">
        <v>1768.95</v>
      </c>
      <c r="K2882" s="34"/>
      <c r="L2882" s="34">
        <v>1768.95</v>
      </c>
    </row>
    <row r="2883" spans="2:12" x14ac:dyDescent="0.3">
      <c r="B2883" s="25">
        <v>2895</v>
      </c>
      <c r="C2883" s="33">
        <v>50744</v>
      </c>
      <c r="D2883" s="33" t="s">
        <v>416</v>
      </c>
      <c r="E2883" s="35">
        <v>44966</v>
      </c>
      <c r="F2883" s="33">
        <v>1</v>
      </c>
      <c r="G2883" s="33" t="s">
        <v>231</v>
      </c>
      <c r="H2883" s="33" t="s">
        <v>69</v>
      </c>
      <c r="I2883" s="33" t="s">
        <v>198</v>
      </c>
      <c r="J2883" s="34">
        <v>2298.5</v>
      </c>
      <c r="K2883" s="34"/>
      <c r="L2883" s="34">
        <v>2298.5</v>
      </c>
    </row>
    <row r="2884" spans="2:12" x14ac:dyDescent="0.3">
      <c r="B2884" s="25">
        <v>2896</v>
      </c>
      <c r="C2884" s="33">
        <v>50763</v>
      </c>
      <c r="D2884" s="33" t="s">
        <v>805</v>
      </c>
      <c r="E2884" s="35">
        <v>44966</v>
      </c>
      <c r="F2884" s="33">
        <v>1</v>
      </c>
      <c r="G2884" s="33" t="s">
        <v>231</v>
      </c>
      <c r="H2884" s="33" t="s">
        <v>69</v>
      </c>
      <c r="I2884" s="33" t="s">
        <v>198</v>
      </c>
      <c r="J2884" s="34">
        <v>2365.0100000000002</v>
      </c>
      <c r="K2884" s="34"/>
      <c r="L2884" s="34">
        <v>2365.0100000000002</v>
      </c>
    </row>
    <row r="2885" spans="2:12" x14ac:dyDescent="0.3">
      <c r="B2885" s="25">
        <v>2897</v>
      </c>
      <c r="C2885" s="33" t="s">
        <v>1522</v>
      </c>
      <c r="D2885" s="33" t="s">
        <v>693</v>
      </c>
      <c r="E2885" s="35">
        <v>44982</v>
      </c>
      <c r="F2885" s="33">
        <v>1</v>
      </c>
      <c r="G2885" s="33" t="s">
        <v>124</v>
      </c>
      <c r="H2885" s="33" t="s">
        <v>69</v>
      </c>
      <c r="I2885" s="33" t="s">
        <v>197</v>
      </c>
      <c r="J2885" s="34">
        <v>400.14</v>
      </c>
      <c r="K2885" s="34"/>
      <c r="L2885" s="34">
        <v>400.14</v>
      </c>
    </row>
    <row r="2886" spans="2:12" x14ac:dyDescent="0.3">
      <c r="B2886" s="25">
        <v>2898</v>
      </c>
      <c r="C2886" s="33" t="s">
        <v>1523</v>
      </c>
      <c r="D2886" s="33" t="s">
        <v>410</v>
      </c>
      <c r="E2886" s="35">
        <v>44965</v>
      </c>
      <c r="F2886" s="33">
        <v>1</v>
      </c>
      <c r="G2886" s="33" t="s">
        <v>231</v>
      </c>
      <c r="H2886" s="33" t="s">
        <v>69</v>
      </c>
      <c r="I2886" s="33" t="s">
        <v>198</v>
      </c>
      <c r="J2886" s="34">
        <v>9062.24</v>
      </c>
      <c r="K2886" s="34"/>
      <c r="L2886" s="34">
        <v>9062.24</v>
      </c>
    </row>
    <row r="2887" spans="2:12" x14ac:dyDescent="0.3">
      <c r="B2887" s="25">
        <v>2899</v>
      </c>
      <c r="C2887" s="33" t="s">
        <v>1524</v>
      </c>
      <c r="D2887" s="33" t="s">
        <v>410</v>
      </c>
      <c r="E2887" s="35">
        <v>44965</v>
      </c>
      <c r="F2887" s="33">
        <v>1</v>
      </c>
      <c r="G2887" s="33" t="s">
        <v>231</v>
      </c>
      <c r="H2887" s="33" t="s">
        <v>69</v>
      </c>
      <c r="I2887" s="33" t="s">
        <v>198</v>
      </c>
      <c r="J2887" s="34">
        <v>9062.24</v>
      </c>
      <c r="K2887" s="34"/>
      <c r="L2887" s="34">
        <v>9062.24</v>
      </c>
    </row>
    <row r="2888" spans="2:12" x14ac:dyDescent="0.3">
      <c r="B2888" s="25">
        <v>2900</v>
      </c>
      <c r="C2888" s="33">
        <v>50743</v>
      </c>
      <c r="D2888" s="33" t="s">
        <v>400</v>
      </c>
      <c r="E2888" s="35">
        <v>44966</v>
      </c>
      <c r="F2888" s="33">
        <v>1</v>
      </c>
      <c r="G2888" s="33" t="s">
        <v>231</v>
      </c>
      <c r="H2888" s="33" t="s">
        <v>69</v>
      </c>
      <c r="I2888" s="33" t="s">
        <v>198</v>
      </c>
      <c r="J2888" s="34">
        <v>1096.2</v>
      </c>
      <c r="K2888" s="34"/>
      <c r="L2888" s="34">
        <v>1096.2</v>
      </c>
    </row>
    <row r="2889" spans="2:12" x14ac:dyDescent="0.3">
      <c r="B2889" s="25">
        <v>2901</v>
      </c>
      <c r="C2889" s="33">
        <v>5321</v>
      </c>
      <c r="D2889" s="33" t="s">
        <v>1525</v>
      </c>
      <c r="E2889" s="35">
        <v>44972</v>
      </c>
      <c r="F2889" s="33">
        <v>1</v>
      </c>
      <c r="G2889" s="33" t="s">
        <v>122</v>
      </c>
      <c r="H2889" s="33" t="s">
        <v>630</v>
      </c>
      <c r="I2889" s="33" t="s">
        <v>196</v>
      </c>
      <c r="J2889" s="34">
        <v>715</v>
      </c>
      <c r="K2889" s="34">
        <v>40</v>
      </c>
      <c r="L2889" s="34">
        <v>675</v>
      </c>
    </row>
    <row r="2890" spans="2:12" x14ac:dyDescent="0.3">
      <c r="B2890" s="25">
        <v>2902</v>
      </c>
      <c r="C2890" s="33">
        <v>5324</v>
      </c>
      <c r="D2890" s="33" t="s">
        <v>1526</v>
      </c>
      <c r="E2890" s="35">
        <v>44972</v>
      </c>
      <c r="F2890" s="33">
        <v>1</v>
      </c>
      <c r="G2890" s="33" t="s">
        <v>231</v>
      </c>
      <c r="H2890" s="33" t="s">
        <v>630</v>
      </c>
      <c r="I2890" s="33" t="s">
        <v>198</v>
      </c>
      <c r="J2890" s="34">
        <v>530.79999999999995</v>
      </c>
      <c r="K2890" s="34">
        <v>40</v>
      </c>
      <c r="L2890" s="34">
        <v>490.8</v>
      </c>
    </row>
    <row r="2891" spans="2:12" x14ac:dyDescent="0.3">
      <c r="B2891" s="25">
        <v>2903</v>
      </c>
      <c r="C2891" s="33" t="s">
        <v>1527</v>
      </c>
      <c r="D2891" s="33" t="s">
        <v>1126</v>
      </c>
      <c r="E2891" s="35">
        <v>44977</v>
      </c>
      <c r="F2891" s="33">
        <v>1</v>
      </c>
      <c r="G2891" s="33" t="s">
        <v>124</v>
      </c>
      <c r="H2891" s="33" t="s">
        <v>630</v>
      </c>
      <c r="I2891" s="33" t="s">
        <v>197</v>
      </c>
      <c r="J2891" s="34">
        <v>529.63</v>
      </c>
      <c r="K2891" s="34">
        <v>40</v>
      </c>
      <c r="L2891" s="34">
        <v>489.63</v>
      </c>
    </row>
    <row r="2892" spans="2:12" x14ac:dyDescent="0.3">
      <c r="B2892" s="25">
        <v>2904</v>
      </c>
      <c r="C2892" s="33">
        <v>35291</v>
      </c>
      <c r="D2892" s="33" t="s">
        <v>687</v>
      </c>
      <c r="E2892" s="35">
        <v>44974</v>
      </c>
      <c r="F2892" s="33">
        <v>1</v>
      </c>
      <c r="G2892" s="33" t="s">
        <v>122</v>
      </c>
      <c r="H2892" s="33" t="s">
        <v>72</v>
      </c>
      <c r="I2892" s="33" t="s">
        <v>196</v>
      </c>
      <c r="J2892" s="34">
        <v>7561.4</v>
      </c>
      <c r="K2892" s="34"/>
      <c r="L2892" s="34">
        <v>7561.4</v>
      </c>
    </row>
    <row r="2893" spans="2:12" x14ac:dyDescent="0.3">
      <c r="B2893" s="25">
        <v>2905</v>
      </c>
      <c r="C2893" s="33">
        <v>35298</v>
      </c>
      <c r="D2893" s="33" t="s">
        <v>394</v>
      </c>
      <c r="E2893" s="35">
        <v>44974</v>
      </c>
      <c r="F2893" s="33">
        <v>1</v>
      </c>
      <c r="G2893" s="33" t="s">
        <v>122</v>
      </c>
      <c r="H2893" s="33" t="s">
        <v>72</v>
      </c>
      <c r="I2893" s="33" t="s">
        <v>196</v>
      </c>
      <c r="J2893" s="34">
        <v>19549.580000000002</v>
      </c>
      <c r="K2893" s="34"/>
      <c r="L2893" s="34">
        <v>19549.580000000002</v>
      </c>
    </row>
    <row r="2894" spans="2:12" x14ac:dyDescent="0.3">
      <c r="B2894" s="25">
        <v>2906</v>
      </c>
      <c r="C2894" s="33">
        <v>35310</v>
      </c>
      <c r="D2894" s="33" t="s">
        <v>1065</v>
      </c>
      <c r="E2894" s="35">
        <v>44977</v>
      </c>
      <c r="F2894" s="33">
        <v>1</v>
      </c>
      <c r="G2894" s="33" t="s">
        <v>122</v>
      </c>
      <c r="H2894" s="33" t="s">
        <v>72</v>
      </c>
      <c r="I2894" s="33" t="s">
        <v>196</v>
      </c>
      <c r="J2894" s="34">
        <v>10064.4</v>
      </c>
      <c r="K2894" s="34"/>
      <c r="L2894" s="34">
        <v>10064.4</v>
      </c>
    </row>
    <row r="2895" spans="2:12" x14ac:dyDescent="0.3">
      <c r="B2895" s="25">
        <v>2907</v>
      </c>
      <c r="C2895" s="33">
        <v>35311</v>
      </c>
      <c r="D2895" s="33" t="s">
        <v>394</v>
      </c>
      <c r="E2895" s="35">
        <v>44977</v>
      </c>
      <c r="F2895" s="33">
        <v>1</v>
      </c>
      <c r="G2895" s="33" t="s">
        <v>122</v>
      </c>
      <c r="H2895" s="33" t="s">
        <v>72</v>
      </c>
      <c r="I2895" s="33" t="s">
        <v>196</v>
      </c>
      <c r="J2895" s="34">
        <v>15731</v>
      </c>
      <c r="K2895" s="34"/>
      <c r="L2895" s="34">
        <v>15731</v>
      </c>
    </row>
    <row r="2896" spans="2:12" x14ac:dyDescent="0.3">
      <c r="B2896" s="25">
        <v>2908</v>
      </c>
      <c r="C2896" s="33">
        <v>35333</v>
      </c>
      <c r="D2896" s="33" t="s">
        <v>892</v>
      </c>
      <c r="E2896" s="35">
        <v>44978</v>
      </c>
      <c r="F2896" s="33">
        <v>1</v>
      </c>
      <c r="G2896" s="33" t="s">
        <v>122</v>
      </c>
      <c r="H2896" s="33" t="s">
        <v>72</v>
      </c>
      <c r="I2896" s="33" t="s">
        <v>196</v>
      </c>
      <c r="J2896" s="34">
        <v>2022</v>
      </c>
      <c r="K2896" s="34"/>
      <c r="L2896" s="34">
        <v>2022</v>
      </c>
    </row>
    <row r="2897" spans="2:12" x14ac:dyDescent="0.3">
      <c r="B2897" s="25">
        <v>2909</v>
      </c>
      <c r="C2897" s="33">
        <v>719</v>
      </c>
      <c r="D2897" s="33" t="s">
        <v>473</v>
      </c>
      <c r="E2897" s="35">
        <v>44966</v>
      </c>
      <c r="F2897" s="33">
        <v>1</v>
      </c>
      <c r="G2897" s="33" t="s">
        <v>122</v>
      </c>
      <c r="H2897" s="33" t="s">
        <v>201</v>
      </c>
      <c r="I2897" s="33" t="s">
        <v>196</v>
      </c>
      <c r="J2897" s="34">
        <v>3806.07</v>
      </c>
      <c r="K2897" s="34"/>
      <c r="L2897" s="34">
        <v>3806.07</v>
      </c>
    </row>
    <row r="2898" spans="2:12" x14ac:dyDescent="0.3">
      <c r="B2898" s="25">
        <v>2910</v>
      </c>
      <c r="C2898" s="33">
        <v>720</v>
      </c>
      <c r="D2898" s="33" t="s">
        <v>852</v>
      </c>
      <c r="E2898" s="35">
        <v>44966</v>
      </c>
      <c r="F2898" s="33">
        <v>1</v>
      </c>
      <c r="G2898" s="33" t="s">
        <v>124</v>
      </c>
      <c r="H2898" s="33" t="s">
        <v>201</v>
      </c>
      <c r="I2898" s="33" t="s">
        <v>197</v>
      </c>
      <c r="J2898" s="34">
        <v>1469.16</v>
      </c>
      <c r="K2898" s="34"/>
      <c r="L2898" s="34">
        <v>1469.16</v>
      </c>
    </row>
    <row r="2899" spans="2:12" x14ac:dyDescent="0.3">
      <c r="B2899" s="25">
        <v>2911</v>
      </c>
      <c r="C2899" s="33" t="s">
        <v>1528</v>
      </c>
      <c r="D2899" s="33" t="s">
        <v>362</v>
      </c>
      <c r="E2899" s="35">
        <v>44966</v>
      </c>
      <c r="F2899" s="33">
        <v>1</v>
      </c>
      <c r="G2899" s="33" t="s">
        <v>124</v>
      </c>
      <c r="H2899" s="33" t="s">
        <v>201</v>
      </c>
      <c r="I2899" s="33" t="s">
        <v>197</v>
      </c>
      <c r="J2899" s="34">
        <v>738.37</v>
      </c>
      <c r="K2899" s="34"/>
      <c r="L2899" s="34">
        <v>738.37</v>
      </c>
    </row>
    <row r="2900" spans="2:12" x14ac:dyDescent="0.3">
      <c r="B2900" s="25">
        <v>2912</v>
      </c>
      <c r="C2900" s="33">
        <v>725</v>
      </c>
      <c r="D2900" s="33" t="s">
        <v>962</v>
      </c>
      <c r="E2900" s="35">
        <v>44980</v>
      </c>
      <c r="F2900" s="33">
        <v>1</v>
      </c>
      <c r="G2900" s="33" t="s">
        <v>122</v>
      </c>
      <c r="H2900" s="33" t="s">
        <v>201</v>
      </c>
      <c r="I2900" s="33" t="s">
        <v>196</v>
      </c>
      <c r="J2900" s="34">
        <v>5203.1000000000004</v>
      </c>
      <c r="K2900" s="34"/>
      <c r="L2900" s="34">
        <v>5203.1000000000004</v>
      </c>
    </row>
    <row r="2901" spans="2:12" x14ac:dyDescent="0.3">
      <c r="B2901" s="25">
        <v>2913</v>
      </c>
      <c r="C2901" s="33">
        <v>745</v>
      </c>
      <c r="D2901" s="33" t="s">
        <v>580</v>
      </c>
      <c r="E2901" s="35">
        <v>44966</v>
      </c>
      <c r="F2901" s="33">
        <v>1</v>
      </c>
      <c r="G2901" s="33" t="s">
        <v>124</v>
      </c>
      <c r="H2901" s="33" t="s">
        <v>201</v>
      </c>
      <c r="I2901" s="33" t="s">
        <v>197</v>
      </c>
      <c r="J2901" s="34">
        <v>3199.8</v>
      </c>
      <c r="K2901" s="34"/>
      <c r="L2901" s="34">
        <v>3199.8</v>
      </c>
    </row>
    <row r="2902" spans="2:12" x14ac:dyDescent="0.3">
      <c r="B2902" s="25">
        <v>2914</v>
      </c>
      <c r="C2902" s="33">
        <v>748</v>
      </c>
      <c r="D2902" s="33" t="s">
        <v>584</v>
      </c>
      <c r="E2902" s="35">
        <v>44966</v>
      </c>
      <c r="F2902" s="33">
        <v>1</v>
      </c>
      <c r="G2902" s="33" t="s">
        <v>122</v>
      </c>
      <c r="H2902" s="33" t="s">
        <v>201</v>
      </c>
      <c r="I2902" s="33" t="s">
        <v>196</v>
      </c>
      <c r="J2902" s="34">
        <v>104.7</v>
      </c>
      <c r="K2902" s="34"/>
      <c r="L2902" s="34">
        <v>104.7</v>
      </c>
    </row>
    <row r="2903" spans="2:12" x14ac:dyDescent="0.3">
      <c r="B2903" s="25">
        <v>2915</v>
      </c>
      <c r="C2903" s="33">
        <v>749</v>
      </c>
      <c r="D2903" s="33" t="s">
        <v>660</v>
      </c>
      <c r="E2903" s="35">
        <v>44966</v>
      </c>
      <c r="F2903" s="33">
        <v>1</v>
      </c>
      <c r="G2903" s="33" t="s">
        <v>124</v>
      </c>
      <c r="H2903" s="33" t="s">
        <v>201</v>
      </c>
      <c r="I2903" s="33" t="s">
        <v>197</v>
      </c>
      <c r="J2903" s="34">
        <v>659.74</v>
      </c>
      <c r="K2903" s="34"/>
      <c r="L2903" s="34">
        <v>659.74</v>
      </c>
    </row>
    <row r="2904" spans="2:12" x14ac:dyDescent="0.3">
      <c r="B2904" s="25">
        <v>2916</v>
      </c>
      <c r="C2904" s="33" t="s">
        <v>1529</v>
      </c>
      <c r="D2904" s="33" t="s">
        <v>796</v>
      </c>
      <c r="E2904" s="35">
        <v>44971</v>
      </c>
      <c r="F2904" s="33">
        <v>1</v>
      </c>
      <c r="G2904" s="33" t="s">
        <v>124</v>
      </c>
      <c r="H2904" s="33" t="s">
        <v>201</v>
      </c>
      <c r="I2904" s="33" t="s">
        <v>197</v>
      </c>
      <c r="J2904" s="34">
        <v>-1065</v>
      </c>
      <c r="K2904" s="34"/>
      <c r="L2904" s="34">
        <v>-1065</v>
      </c>
    </row>
    <row r="2905" spans="2:12" x14ac:dyDescent="0.3">
      <c r="B2905" s="25">
        <v>2917</v>
      </c>
      <c r="C2905" s="33">
        <v>837</v>
      </c>
      <c r="D2905" s="33" t="s">
        <v>394</v>
      </c>
      <c r="E2905" s="35">
        <v>44972</v>
      </c>
      <c r="F2905" s="33">
        <v>1</v>
      </c>
      <c r="G2905" s="33" t="s">
        <v>122</v>
      </c>
      <c r="H2905" s="33" t="s">
        <v>201</v>
      </c>
      <c r="I2905" s="33" t="s">
        <v>196</v>
      </c>
      <c r="J2905" s="34">
        <v>6666</v>
      </c>
      <c r="K2905" s="34"/>
      <c r="L2905" s="34">
        <v>6666</v>
      </c>
    </row>
    <row r="2906" spans="2:12" x14ac:dyDescent="0.3">
      <c r="B2906" s="25">
        <v>2918</v>
      </c>
      <c r="C2906" s="33">
        <v>841</v>
      </c>
      <c r="D2906" s="33" t="s">
        <v>605</v>
      </c>
      <c r="E2906" s="35">
        <v>44972</v>
      </c>
      <c r="F2906" s="33">
        <v>1</v>
      </c>
      <c r="G2906" s="33" t="s">
        <v>628</v>
      </c>
      <c r="H2906" s="33" t="s">
        <v>201</v>
      </c>
      <c r="I2906" s="33" t="s">
        <v>75</v>
      </c>
      <c r="J2906" s="34">
        <v>3364.24</v>
      </c>
      <c r="K2906" s="34"/>
      <c r="L2906" s="34">
        <v>3364.24</v>
      </c>
    </row>
    <row r="2907" spans="2:12" x14ac:dyDescent="0.3">
      <c r="B2907" s="25">
        <v>2919</v>
      </c>
      <c r="C2907" s="33">
        <v>842</v>
      </c>
      <c r="D2907" s="33" t="s">
        <v>1530</v>
      </c>
      <c r="E2907" s="35">
        <v>44972</v>
      </c>
      <c r="F2907" s="33">
        <v>1</v>
      </c>
      <c r="G2907" s="33" t="s">
        <v>124</v>
      </c>
      <c r="H2907" s="33" t="s">
        <v>201</v>
      </c>
      <c r="I2907" s="33" t="s">
        <v>197</v>
      </c>
      <c r="J2907" s="34">
        <v>3868</v>
      </c>
      <c r="K2907" s="34"/>
      <c r="L2907" s="34">
        <v>3868</v>
      </c>
    </row>
    <row r="2908" spans="2:12" x14ac:dyDescent="0.3">
      <c r="B2908" s="25">
        <v>2920</v>
      </c>
      <c r="C2908" s="33">
        <v>845</v>
      </c>
      <c r="D2908" s="33" t="s">
        <v>566</v>
      </c>
      <c r="E2908" s="35">
        <v>44980</v>
      </c>
      <c r="F2908" s="33">
        <v>1</v>
      </c>
      <c r="G2908" s="33" t="s">
        <v>122</v>
      </c>
      <c r="H2908" s="33" t="s">
        <v>201</v>
      </c>
      <c r="I2908" s="33" t="s">
        <v>196</v>
      </c>
      <c r="J2908" s="34">
        <v>1374.45</v>
      </c>
      <c r="K2908" s="34"/>
      <c r="L2908" s="34">
        <v>1374.45</v>
      </c>
    </row>
    <row r="2909" spans="2:12" x14ac:dyDescent="0.3">
      <c r="B2909" s="25">
        <v>2921</v>
      </c>
      <c r="C2909" s="33">
        <v>847</v>
      </c>
      <c r="D2909" s="33" t="s">
        <v>556</v>
      </c>
      <c r="E2909" s="35">
        <v>44972</v>
      </c>
      <c r="F2909" s="33">
        <v>1</v>
      </c>
      <c r="G2909" s="33" t="s">
        <v>124</v>
      </c>
      <c r="H2909" s="33" t="s">
        <v>201</v>
      </c>
      <c r="I2909" s="33" t="s">
        <v>197</v>
      </c>
      <c r="J2909" s="34">
        <v>5417.49</v>
      </c>
      <c r="K2909" s="34"/>
      <c r="L2909" s="34">
        <v>5417.49</v>
      </c>
    </row>
    <row r="2910" spans="2:12" x14ac:dyDescent="0.3">
      <c r="B2910" s="25">
        <v>2922</v>
      </c>
      <c r="C2910" s="33">
        <v>855</v>
      </c>
      <c r="D2910" s="33" t="s">
        <v>362</v>
      </c>
      <c r="E2910" s="35">
        <v>44972</v>
      </c>
      <c r="F2910" s="33">
        <v>1</v>
      </c>
      <c r="G2910" s="33" t="s">
        <v>124</v>
      </c>
      <c r="H2910" s="33" t="s">
        <v>201</v>
      </c>
      <c r="I2910" s="33" t="s">
        <v>197</v>
      </c>
      <c r="J2910" s="34">
        <v>4176.6000000000004</v>
      </c>
      <c r="K2910" s="34"/>
      <c r="L2910" s="34">
        <v>4176.6000000000004</v>
      </c>
    </row>
    <row r="2911" spans="2:12" x14ac:dyDescent="0.3">
      <c r="B2911" s="25">
        <v>2923</v>
      </c>
      <c r="C2911" s="33">
        <v>856</v>
      </c>
      <c r="D2911" s="33" t="s">
        <v>362</v>
      </c>
      <c r="E2911" s="35">
        <v>44972</v>
      </c>
      <c r="F2911" s="33">
        <v>1</v>
      </c>
      <c r="G2911" s="33" t="s">
        <v>124</v>
      </c>
      <c r="H2911" s="33" t="s">
        <v>201</v>
      </c>
      <c r="I2911" s="33" t="s">
        <v>197</v>
      </c>
      <c r="J2911" s="34">
        <v>2422.1</v>
      </c>
      <c r="K2911" s="34"/>
      <c r="L2911" s="34">
        <v>2422.1</v>
      </c>
    </row>
    <row r="2912" spans="2:12" x14ac:dyDescent="0.3">
      <c r="B2912" s="25">
        <v>2924</v>
      </c>
      <c r="C2912" s="33">
        <v>857</v>
      </c>
      <c r="D2912" s="33" t="s">
        <v>1383</v>
      </c>
      <c r="E2912" s="35">
        <v>44972</v>
      </c>
      <c r="F2912" s="33">
        <v>1</v>
      </c>
      <c r="G2912" s="33" t="s">
        <v>231</v>
      </c>
      <c r="H2912" s="33" t="s">
        <v>201</v>
      </c>
      <c r="I2912" s="33" t="s">
        <v>198</v>
      </c>
      <c r="J2912" s="34">
        <v>1127.2</v>
      </c>
      <c r="K2912" s="34"/>
      <c r="L2912" s="34">
        <v>1127.2</v>
      </c>
    </row>
    <row r="2913" spans="2:12" x14ac:dyDescent="0.3">
      <c r="B2913" s="25">
        <v>2925</v>
      </c>
      <c r="C2913" s="33">
        <v>931</v>
      </c>
      <c r="D2913" s="33" t="s">
        <v>572</v>
      </c>
      <c r="E2913" s="35">
        <v>44973</v>
      </c>
      <c r="F2913" s="33">
        <v>1</v>
      </c>
      <c r="G2913" s="33" t="s">
        <v>122</v>
      </c>
      <c r="H2913" s="33" t="s">
        <v>201</v>
      </c>
      <c r="I2913" s="33" t="s">
        <v>196</v>
      </c>
      <c r="J2913" s="34">
        <v>778.52</v>
      </c>
      <c r="K2913" s="34"/>
      <c r="L2913" s="34">
        <v>778.52</v>
      </c>
    </row>
    <row r="2914" spans="2:12" x14ac:dyDescent="0.3">
      <c r="B2914" s="25">
        <v>2926</v>
      </c>
      <c r="C2914" s="33">
        <v>731</v>
      </c>
      <c r="D2914" s="33" t="s">
        <v>1531</v>
      </c>
      <c r="E2914" s="35">
        <v>44950</v>
      </c>
      <c r="F2914" s="33">
        <v>1</v>
      </c>
      <c r="G2914" s="33" t="s">
        <v>122</v>
      </c>
      <c r="H2914" s="33" t="s">
        <v>69</v>
      </c>
      <c r="I2914" s="33" t="s">
        <v>196</v>
      </c>
      <c r="J2914" s="34">
        <v>2636.23</v>
      </c>
      <c r="K2914" s="34"/>
      <c r="L2914" s="34">
        <v>2636.23</v>
      </c>
    </row>
    <row r="2915" spans="2:12" x14ac:dyDescent="0.3">
      <c r="B2915" s="25">
        <v>2927</v>
      </c>
      <c r="C2915" s="33">
        <v>945</v>
      </c>
      <c r="D2915" s="33" t="s">
        <v>1532</v>
      </c>
      <c r="E2915" s="35">
        <v>44988</v>
      </c>
      <c r="F2915" s="33">
        <v>1</v>
      </c>
      <c r="G2915" s="33" t="s">
        <v>122</v>
      </c>
      <c r="H2915" s="33" t="s">
        <v>71</v>
      </c>
      <c r="I2915" s="33" t="s">
        <v>196</v>
      </c>
      <c r="J2915" s="34">
        <v>885.39</v>
      </c>
      <c r="K2915" s="34"/>
      <c r="L2915" s="34">
        <v>885.39</v>
      </c>
    </row>
    <row r="2916" spans="2:12" x14ac:dyDescent="0.3">
      <c r="B2916" s="25">
        <v>2928</v>
      </c>
      <c r="C2916" s="33" t="s">
        <v>1446</v>
      </c>
      <c r="D2916" s="33" t="s">
        <v>1532</v>
      </c>
      <c r="E2916" s="35">
        <v>44987</v>
      </c>
      <c r="F2916" s="33">
        <v>1</v>
      </c>
      <c r="G2916" s="33" t="s">
        <v>231</v>
      </c>
      <c r="H2916" s="33" t="s">
        <v>71</v>
      </c>
      <c r="I2916" s="33" t="s">
        <v>198</v>
      </c>
      <c r="J2916" s="34">
        <v>1657.98</v>
      </c>
      <c r="K2916" s="34"/>
      <c r="L2916" s="34">
        <v>1657.98</v>
      </c>
    </row>
    <row r="2917" spans="2:12" x14ac:dyDescent="0.3">
      <c r="B2917" s="25">
        <v>2929</v>
      </c>
      <c r="C2917" s="33" t="s">
        <v>1533</v>
      </c>
      <c r="D2917" s="33" t="s">
        <v>1534</v>
      </c>
      <c r="E2917" s="35">
        <v>44987</v>
      </c>
      <c r="F2917" s="33">
        <v>1</v>
      </c>
      <c r="G2917" s="33" t="s">
        <v>122</v>
      </c>
      <c r="H2917" s="33" t="s">
        <v>201</v>
      </c>
      <c r="I2917" s="33" t="s">
        <v>196</v>
      </c>
      <c r="J2917" s="34">
        <v>1705.12</v>
      </c>
      <c r="K2917" s="34"/>
      <c r="L2917" s="34">
        <v>1705.12</v>
      </c>
    </row>
    <row r="2918" spans="2:12" x14ac:dyDescent="0.3">
      <c r="B2918" s="25">
        <v>2930</v>
      </c>
      <c r="C2918" s="33">
        <v>512</v>
      </c>
      <c r="D2918" s="33" t="s">
        <v>1535</v>
      </c>
      <c r="E2918" s="35">
        <v>44964</v>
      </c>
      <c r="F2918" s="33">
        <v>1</v>
      </c>
      <c r="G2918" s="33" t="s">
        <v>628</v>
      </c>
      <c r="H2918" s="33" t="s">
        <v>71</v>
      </c>
      <c r="I2918" s="33" t="s">
        <v>75</v>
      </c>
      <c r="J2918" s="34">
        <v>984.61</v>
      </c>
      <c r="K2918" s="34">
        <v>40</v>
      </c>
      <c r="L2918" s="34">
        <v>944.61</v>
      </c>
    </row>
    <row r="2919" spans="2:12" x14ac:dyDescent="0.3">
      <c r="B2919" s="25">
        <v>2931</v>
      </c>
      <c r="C2919" s="33">
        <v>527</v>
      </c>
      <c r="D2919" s="33" t="s">
        <v>386</v>
      </c>
      <c r="E2919" s="35">
        <v>44965</v>
      </c>
      <c r="F2919" s="33">
        <v>1</v>
      </c>
      <c r="G2919" s="33" t="s">
        <v>124</v>
      </c>
      <c r="H2919" s="33" t="s">
        <v>71</v>
      </c>
      <c r="I2919" s="33" t="s">
        <v>197</v>
      </c>
      <c r="J2919" s="34">
        <v>844.4</v>
      </c>
      <c r="K2919" s="34">
        <v>80</v>
      </c>
      <c r="L2919" s="34">
        <v>764.4</v>
      </c>
    </row>
    <row r="2920" spans="2:12" x14ac:dyDescent="0.3">
      <c r="B2920" s="25">
        <v>2932</v>
      </c>
      <c r="C2920" s="33" t="s">
        <v>1536</v>
      </c>
      <c r="D2920" s="33" t="s">
        <v>412</v>
      </c>
      <c r="E2920" s="35">
        <v>44959</v>
      </c>
      <c r="F2920" s="33">
        <v>1</v>
      </c>
      <c r="G2920" s="33" t="s">
        <v>231</v>
      </c>
      <c r="H2920" s="33" t="s">
        <v>71</v>
      </c>
      <c r="I2920" s="33" t="s">
        <v>198</v>
      </c>
      <c r="J2920" s="34">
        <v>802.15</v>
      </c>
      <c r="K2920" s="34">
        <v>80</v>
      </c>
      <c r="L2920" s="34">
        <v>722.15</v>
      </c>
    </row>
    <row r="2921" spans="2:12" x14ac:dyDescent="0.3">
      <c r="B2921" s="25">
        <v>2933</v>
      </c>
      <c r="C2921" s="33">
        <v>548</v>
      </c>
      <c r="D2921" s="33" t="s">
        <v>1071</v>
      </c>
      <c r="E2921" s="35">
        <v>44967</v>
      </c>
      <c r="F2921" s="33">
        <v>1</v>
      </c>
      <c r="G2921" s="33" t="s">
        <v>628</v>
      </c>
      <c r="H2921" s="33" t="s">
        <v>71</v>
      </c>
      <c r="I2921" s="33" t="s">
        <v>75</v>
      </c>
      <c r="J2921" s="34">
        <v>567.58000000000004</v>
      </c>
      <c r="K2921" s="34">
        <v>80</v>
      </c>
      <c r="L2921" s="34">
        <v>487.58</v>
      </c>
    </row>
    <row r="2922" spans="2:12" x14ac:dyDescent="0.3">
      <c r="B2922" s="25">
        <v>2934</v>
      </c>
      <c r="C2922" s="33">
        <v>550</v>
      </c>
      <c r="D2922" s="33" t="s">
        <v>516</v>
      </c>
      <c r="E2922" s="35">
        <v>44967</v>
      </c>
      <c r="F2922" s="33">
        <v>1</v>
      </c>
      <c r="G2922" s="33" t="s">
        <v>628</v>
      </c>
      <c r="H2922" s="33" t="s">
        <v>71</v>
      </c>
      <c r="I2922" s="33" t="s">
        <v>75</v>
      </c>
      <c r="J2922" s="34">
        <v>856.41</v>
      </c>
      <c r="K2922" s="34">
        <v>80</v>
      </c>
      <c r="L2922" s="34">
        <v>776.41</v>
      </c>
    </row>
    <row r="2923" spans="2:12" x14ac:dyDescent="0.3">
      <c r="B2923" s="25">
        <v>2935</v>
      </c>
      <c r="C2923" s="33" t="s">
        <v>1537</v>
      </c>
      <c r="D2923" s="33" t="s">
        <v>277</v>
      </c>
      <c r="E2923" s="35">
        <v>44971</v>
      </c>
      <c r="F2923" s="33">
        <v>1</v>
      </c>
      <c r="G2923" s="33" t="s">
        <v>124</v>
      </c>
      <c r="H2923" s="33" t="s">
        <v>71</v>
      </c>
      <c r="I2923" s="33" t="s">
        <v>197</v>
      </c>
      <c r="J2923" s="34">
        <v>484.9</v>
      </c>
      <c r="K2923" s="34">
        <v>80</v>
      </c>
      <c r="L2923" s="34">
        <v>404.9</v>
      </c>
    </row>
    <row r="2924" spans="2:12" x14ac:dyDescent="0.3">
      <c r="B2924" s="25">
        <v>2936</v>
      </c>
      <c r="C2924" s="33">
        <v>687</v>
      </c>
      <c r="D2924" s="33" t="s">
        <v>393</v>
      </c>
      <c r="E2924" s="35">
        <v>44979</v>
      </c>
      <c r="F2924" s="33">
        <v>1</v>
      </c>
      <c r="G2924" s="33" t="s">
        <v>122</v>
      </c>
      <c r="H2924" s="33" t="s">
        <v>71</v>
      </c>
      <c r="I2924" s="33" t="s">
        <v>196</v>
      </c>
      <c r="J2924" s="34">
        <v>2152.15</v>
      </c>
      <c r="K2924" s="34">
        <v>40</v>
      </c>
      <c r="L2924" s="34">
        <v>2112.15</v>
      </c>
    </row>
    <row r="2925" spans="2:12" x14ac:dyDescent="0.3">
      <c r="B2925" s="25">
        <v>2937</v>
      </c>
      <c r="C2925" s="33">
        <v>805</v>
      </c>
      <c r="D2925" s="33" t="s">
        <v>894</v>
      </c>
      <c r="E2925" s="35">
        <v>44981</v>
      </c>
      <c r="F2925" s="33">
        <v>1</v>
      </c>
      <c r="G2925" s="33" t="s">
        <v>231</v>
      </c>
      <c r="H2925" s="33" t="s">
        <v>71</v>
      </c>
      <c r="I2925" s="33" t="s">
        <v>198</v>
      </c>
      <c r="J2925" s="34">
        <v>1917.15</v>
      </c>
      <c r="K2925" s="34">
        <v>40</v>
      </c>
      <c r="L2925" s="34">
        <v>1877.15</v>
      </c>
    </row>
    <row r="2926" spans="2:12" x14ac:dyDescent="0.3">
      <c r="B2926" s="25">
        <v>2938</v>
      </c>
      <c r="C2926" s="33" t="s">
        <v>1538</v>
      </c>
      <c r="D2926" s="33" t="s">
        <v>1278</v>
      </c>
      <c r="E2926" s="35">
        <v>44981</v>
      </c>
      <c r="F2926" s="33">
        <v>1</v>
      </c>
      <c r="G2926" s="33" t="s">
        <v>231</v>
      </c>
      <c r="H2926" s="33" t="s">
        <v>71</v>
      </c>
      <c r="I2926" s="33" t="s">
        <v>198</v>
      </c>
      <c r="J2926" s="34">
        <v>656.68</v>
      </c>
      <c r="K2926" s="34">
        <v>70</v>
      </c>
      <c r="L2926" s="34">
        <v>586.67999999999995</v>
      </c>
    </row>
    <row r="2927" spans="2:12" x14ac:dyDescent="0.3">
      <c r="B2927" s="25">
        <v>2939</v>
      </c>
      <c r="C2927" s="33">
        <v>852</v>
      </c>
      <c r="D2927" s="33" t="s">
        <v>384</v>
      </c>
      <c r="E2927" s="35">
        <v>44984</v>
      </c>
      <c r="F2927" s="33">
        <v>1</v>
      </c>
      <c r="G2927" s="33" t="s">
        <v>124</v>
      </c>
      <c r="H2927" s="33" t="s">
        <v>71</v>
      </c>
      <c r="I2927" s="33" t="s">
        <v>197</v>
      </c>
      <c r="J2927" s="34">
        <v>118.16</v>
      </c>
      <c r="K2927" s="34">
        <v>45</v>
      </c>
      <c r="L2927" s="34">
        <v>73.16</v>
      </c>
    </row>
    <row r="2928" spans="2:12" x14ac:dyDescent="0.3">
      <c r="B2928" s="25">
        <v>2940</v>
      </c>
      <c r="C2928" s="33">
        <v>866</v>
      </c>
      <c r="D2928" s="33" t="s">
        <v>426</v>
      </c>
      <c r="E2928" s="35">
        <v>44985</v>
      </c>
      <c r="F2928" s="33">
        <v>1</v>
      </c>
      <c r="G2928" s="33" t="s">
        <v>628</v>
      </c>
      <c r="H2928" s="33" t="s">
        <v>71</v>
      </c>
      <c r="I2928" s="33" t="s">
        <v>75</v>
      </c>
      <c r="J2928" s="34">
        <v>3805.18</v>
      </c>
      <c r="K2928" s="34">
        <v>40</v>
      </c>
      <c r="L2928" s="34">
        <v>3765.18</v>
      </c>
    </row>
    <row r="2929" spans="2:12" x14ac:dyDescent="0.3">
      <c r="B2929" s="25">
        <v>2941</v>
      </c>
      <c r="C2929" s="33">
        <v>5366</v>
      </c>
      <c r="D2929" s="33" t="s">
        <v>1539</v>
      </c>
      <c r="E2929" s="35">
        <v>44986</v>
      </c>
      <c r="F2929" s="33">
        <v>1</v>
      </c>
      <c r="G2929" s="33" t="s">
        <v>628</v>
      </c>
      <c r="H2929" s="33" t="s">
        <v>630</v>
      </c>
      <c r="I2929" s="33" t="s">
        <v>75</v>
      </c>
      <c r="J2929" s="34">
        <v>322.60000000000002</v>
      </c>
      <c r="K2929" s="34">
        <v>40</v>
      </c>
      <c r="L2929" s="34">
        <v>282.60000000000002</v>
      </c>
    </row>
    <row r="2930" spans="2:12" x14ac:dyDescent="0.3">
      <c r="B2930" s="25">
        <v>2942</v>
      </c>
      <c r="C2930" s="33">
        <v>35417</v>
      </c>
      <c r="D2930" s="33" t="s">
        <v>1540</v>
      </c>
      <c r="E2930" s="35">
        <v>44986</v>
      </c>
      <c r="F2930" s="33">
        <v>1</v>
      </c>
      <c r="G2930" s="33" t="s">
        <v>122</v>
      </c>
      <c r="H2930" s="33" t="s">
        <v>72</v>
      </c>
      <c r="I2930" s="33" t="s">
        <v>196</v>
      </c>
      <c r="J2930" s="34">
        <v>14498.35</v>
      </c>
      <c r="K2930" s="34"/>
      <c r="L2930" s="34">
        <v>14498.35</v>
      </c>
    </row>
    <row r="2931" spans="2:12" x14ac:dyDescent="0.3">
      <c r="B2931" s="25">
        <v>2943</v>
      </c>
      <c r="C2931" s="33" t="s">
        <v>1541</v>
      </c>
      <c r="D2931" s="33" t="s">
        <v>892</v>
      </c>
      <c r="E2931" s="35">
        <v>44978</v>
      </c>
      <c r="F2931" s="33">
        <v>1</v>
      </c>
      <c r="G2931" s="33" t="s">
        <v>122</v>
      </c>
      <c r="H2931" s="33" t="s">
        <v>72</v>
      </c>
      <c r="I2931" s="33" t="s">
        <v>196</v>
      </c>
      <c r="J2931" s="34">
        <v>2022</v>
      </c>
      <c r="K2931" s="34"/>
      <c r="L2931" s="34">
        <v>2022</v>
      </c>
    </row>
    <row r="2932" spans="2:12" x14ac:dyDescent="0.3">
      <c r="B2932" s="25">
        <v>2944</v>
      </c>
      <c r="C2932" s="33">
        <v>35400</v>
      </c>
      <c r="D2932" s="33" t="s">
        <v>394</v>
      </c>
      <c r="E2932" s="35">
        <v>44984</v>
      </c>
      <c r="F2932" s="33">
        <v>1</v>
      </c>
      <c r="G2932" s="33" t="s">
        <v>122</v>
      </c>
      <c r="H2932" s="33" t="s">
        <v>72</v>
      </c>
      <c r="I2932" s="33" t="s">
        <v>196</v>
      </c>
      <c r="J2932" s="34">
        <v>4722.3</v>
      </c>
      <c r="K2932" s="34"/>
      <c r="L2932" s="34">
        <v>4722.3</v>
      </c>
    </row>
    <row r="2933" spans="2:12" x14ac:dyDescent="0.3">
      <c r="B2933" s="25">
        <v>2945</v>
      </c>
      <c r="C2933" s="33">
        <v>1071</v>
      </c>
      <c r="D2933" s="33" t="s">
        <v>759</v>
      </c>
      <c r="E2933" s="35">
        <v>44980</v>
      </c>
      <c r="F2933" s="33">
        <v>1</v>
      </c>
      <c r="G2933" s="33" t="s">
        <v>124</v>
      </c>
      <c r="H2933" s="33" t="s">
        <v>201</v>
      </c>
      <c r="I2933" s="33" t="s">
        <v>197</v>
      </c>
      <c r="J2933" s="34">
        <v>6448.41</v>
      </c>
      <c r="K2933" s="34"/>
      <c r="L2933" s="34">
        <v>6448.41</v>
      </c>
    </row>
    <row r="2934" spans="2:12" x14ac:dyDescent="0.3">
      <c r="B2934" s="25">
        <v>2946</v>
      </c>
      <c r="C2934" s="33">
        <v>1074</v>
      </c>
      <c r="D2934" s="33" t="s">
        <v>473</v>
      </c>
      <c r="E2934" s="35">
        <v>44980</v>
      </c>
      <c r="F2934" s="33">
        <v>1</v>
      </c>
      <c r="G2934" s="33" t="s">
        <v>122</v>
      </c>
      <c r="H2934" s="33" t="s">
        <v>201</v>
      </c>
      <c r="I2934" s="33" t="s">
        <v>196</v>
      </c>
      <c r="J2934" s="34">
        <v>2746.64</v>
      </c>
      <c r="K2934" s="34"/>
      <c r="L2934" s="34">
        <v>2746.64</v>
      </c>
    </row>
    <row r="2935" spans="2:12" x14ac:dyDescent="0.3">
      <c r="B2935" s="25">
        <v>2947</v>
      </c>
      <c r="C2935" s="33">
        <v>1076</v>
      </c>
      <c r="D2935" s="33" t="s">
        <v>581</v>
      </c>
      <c r="E2935" s="35">
        <v>44980</v>
      </c>
      <c r="F2935" s="33">
        <v>1</v>
      </c>
      <c r="G2935" s="33" t="s">
        <v>124</v>
      </c>
      <c r="H2935" s="33" t="s">
        <v>201</v>
      </c>
      <c r="I2935" s="33" t="s">
        <v>197</v>
      </c>
      <c r="J2935" s="34">
        <v>3071.75</v>
      </c>
      <c r="K2935" s="34"/>
      <c r="L2935" s="34">
        <v>3071.75</v>
      </c>
    </row>
    <row r="2936" spans="2:12" x14ac:dyDescent="0.3">
      <c r="B2936" s="25">
        <v>2948</v>
      </c>
      <c r="C2936" s="33">
        <v>1078</v>
      </c>
      <c r="D2936" s="33" t="s">
        <v>556</v>
      </c>
      <c r="E2936" s="35">
        <v>44980</v>
      </c>
      <c r="F2936" s="33">
        <v>1</v>
      </c>
      <c r="G2936" s="33" t="s">
        <v>124</v>
      </c>
      <c r="H2936" s="33" t="s">
        <v>201</v>
      </c>
      <c r="I2936" s="33" t="s">
        <v>197</v>
      </c>
      <c r="J2936" s="34">
        <v>3000.07</v>
      </c>
      <c r="K2936" s="34"/>
      <c r="L2936" s="34">
        <v>3000.07</v>
      </c>
    </row>
    <row r="2937" spans="2:12" x14ac:dyDescent="0.3">
      <c r="B2937" s="25">
        <v>2949</v>
      </c>
      <c r="C2937" s="33">
        <v>1079</v>
      </c>
      <c r="D2937" s="33" t="s">
        <v>483</v>
      </c>
      <c r="E2937" s="35">
        <v>44980</v>
      </c>
      <c r="F2937" s="33">
        <v>1</v>
      </c>
      <c r="G2937" s="33" t="s">
        <v>628</v>
      </c>
      <c r="H2937" s="33" t="s">
        <v>201</v>
      </c>
      <c r="I2937" s="33" t="s">
        <v>75</v>
      </c>
      <c r="J2937" s="34">
        <v>632.75</v>
      </c>
      <c r="K2937" s="34">
        <v>80</v>
      </c>
      <c r="L2937" s="34">
        <v>552.75</v>
      </c>
    </row>
    <row r="2938" spans="2:12" x14ac:dyDescent="0.3">
      <c r="B2938" s="25">
        <v>2950</v>
      </c>
      <c r="C2938" s="33">
        <v>1083</v>
      </c>
      <c r="D2938" s="33" t="s">
        <v>406</v>
      </c>
      <c r="E2938" s="35">
        <v>44980</v>
      </c>
      <c r="F2938" s="33">
        <v>1</v>
      </c>
      <c r="G2938" s="33" t="s">
        <v>122</v>
      </c>
      <c r="H2938" s="33" t="s">
        <v>201</v>
      </c>
      <c r="I2938" s="33" t="s">
        <v>196</v>
      </c>
      <c r="J2938" s="34">
        <v>3324.6</v>
      </c>
      <c r="K2938" s="34"/>
      <c r="L2938" s="34">
        <v>3324.6</v>
      </c>
    </row>
    <row r="2939" spans="2:12" x14ac:dyDescent="0.3">
      <c r="B2939" s="25">
        <v>2951</v>
      </c>
      <c r="C2939" s="33">
        <v>1085</v>
      </c>
      <c r="D2939" s="33" t="s">
        <v>660</v>
      </c>
      <c r="E2939" s="35">
        <v>44980</v>
      </c>
      <c r="F2939" s="33">
        <v>1</v>
      </c>
      <c r="G2939" s="33" t="s">
        <v>124</v>
      </c>
      <c r="H2939" s="33" t="s">
        <v>201</v>
      </c>
      <c r="I2939" s="33" t="s">
        <v>197</v>
      </c>
      <c r="J2939" s="34">
        <v>444.35</v>
      </c>
      <c r="K2939" s="34"/>
      <c r="L2939" s="34">
        <v>444.35</v>
      </c>
    </row>
    <row r="2940" spans="2:12" x14ac:dyDescent="0.3">
      <c r="B2940" s="25">
        <v>2952</v>
      </c>
      <c r="C2940" s="33">
        <v>1087</v>
      </c>
      <c r="D2940" s="33" t="s">
        <v>411</v>
      </c>
      <c r="E2940" s="35">
        <v>44980</v>
      </c>
      <c r="F2940" s="33">
        <v>1</v>
      </c>
      <c r="G2940" s="33" t="s">
        <v>122</v>
      </c>
      <c r="H2940" s="33" t="s">
        <v>201</v>
      </c>
      <c r="I2940" s="33" t="s">
        <v>196</v>
      </c>
      <c r="J2940" s="34">
        <v>3976.12</v>
      </c>
      <c r="K2940" s="34"/>
      <c r="L2940" s="34">
        <v>3976.12</v>
      </c>
    </row>
    <row r="2941" spans="2:12" x14ac:dyDescent="0.3">
      <c r="B2941" s="25">
        <v>2953</v>
      </c>
      <c r="C2941" s="33">
        <v>1244</v>
      </c>
      <c r="D2941" s="33" t="s">
        <v>759</v>
      </c>
      <c r="E2941" s="35">
        <v>44987</v>
      </c>
      <c r="F2941" s="33">
        <v>1</v>
      </c>
      <c r="G2941" s="33" t="s">
        <v>124</v>
      </c>
      <c r="H2941" s="33" t="s">
        <v>201</v>
      </c>
      <c r="I2941" s="33" t="s">
        <v>197</v>
      </c>
      <c r="J2941" s="34">
        <v>3337.6</v>
      </c>
      <c r="K2941" s="34"/>
      <c r="L2941" s="34">
        <v>3337.6</v>
      </c>
    </row>
    <row r="2942" spans="2:12" x14ac:dyDescent="0.3">
      <c r="B2942" s="25">
        <v>2954</v>
      </c>
      <c r="C2942" s="33" t="s">
        <v>1542</v>
      </c>
      <c r="D2942" s="33" t="s">
        <v>605</v>
      </c>
      <c r="E2942" s="35">
        <v>44987</v>
      </c>
      <c r="F2942" s="33">
        <v>1</v>
      </c>
      <c r="G2942" s="33" t="s">
        <v>628</v>
      </c>
      <c r="H2942" s="33" t="s">
        <v>201</v>
      </c>
      <c r="I2942" s="33" t="s">
        <v>75</v>
      </c>
      <c r="J2942" s="34">
        <v>3132.18</v>
      </c>
      <c r="K2942" s="34"/>
      <c r="L2942" s="34">
        <v>3132.18</v>
      </c>
    </row>
    <row r="2943" spans="2:12" x14ac:dyDescent="0.3">
      <c r="B2943" s="25">
        <v>2955</v>
      </c>
      <c r="C2943" s="33" t="s">
        <v>1543</v>
      </c>
      <c r="D2943" s="33" t="s">
        <v>595</v>
      </c>
      <c r="E2943" s="35">
        <v>44987</v>
      </c>
      <c r="F2943" s="33">
        <v>1</v>
      </c>
      <c r="G2943" s="33" t="s">
        <v>124</v>
      </c>
      <c r="H2943" s="33" t="s">
        <v>201</v>
      </c>
      <c r="I2943" s="33" t="s">
        <v>197</v>
      </c>
      <c r="J2943" s="34">
        <v>249.4</v>
      </c>
      <c r="K2943" s="34">
        <v>80</v>
      </c>
      <c r="L2943" s="34">
        <v>169.4</v>
      </c>
    </row>
    <row r="2944" spans="2:12" x14ac:dyDescent="0.3">
      <c r="B2944" s="25">
        <v>2956</v>
      </c>
      <c r="C2944" s="33">
        <v>1249</v>
      </c>
      <c r="D2944" s="33" t="s">
        <v>473</v>
      </c>
      <c r="E2944" s="35">
        <v>44987</v>
      </c>
      <c r="F2944" s="33">
        <v>1</v>
      </c>
      <c r="G2944" s="33" t="s">
        <v>122</v>
      </c>
      <c r="H2944" s="33" t="s">
        <v>201</v>
      </c>
      <c r="I2944" s="33" t="s">
        <v>196</v>
      </c>
      <c r="J2944" s="34">
        <v>603.20000000000005</v>
      </c>
      <c r="K2944" s="34"/>
      <c r="L2944" s="34">
        <v>603.20000000000005</v>
      </c>
    </row>
    <row r="2945" spans="2:12" x14ac:dyDescent="0.3">
      <c r="B2945" s="25">
        <v>2957</v>
      </c>
      <c r="C2945" s="33">
        <v>1253</v>
      </c>
      <c r="D2945" s="33" t="s">
        <v>584</v>
      </c>
      <c r="E2945" s="35">
        <v>44987</v>
      </c>
      <c r="F2945" s="33">
        <v>1</v>
      </c>
      <c r="G2945" s="33" t="s">
        <v>122</v>
      </c>
      <c r="H2945" s="33" t="s">
        <v>201</v>
      </c>
      <c r="I2945" s="33" t="s">
        <v>196</v>
      </c>
      <c r="J2945" s="34">
        <v>2121.77</v>
      </c>
      <c r="K2945" s="34"/>
      <c r="L2945" s="34">
        <v>2121.77</v>
      </c>
    </row>
    <row r="2946" spans="2:12" x14ac:dyDescent="0.3">
      <c r="B2946" s="25">
        <v>2958</v>
      </c>
      <c r="C2946" s="33">
        <v>1254</v>
      </c>
      <c r="D2946" s="33" t="s">
        <v>584</v>
      </c>
      <c r="E2946" s="35">
        <v>44987</v>
      </c>
      <c r="F2946" s="33">
        <v>1</v>
      </c>
      <c r="G2946" s="33" t="s">
        <v>122</v>
      </c>
      <c r="H2946" s="33" t="s">
        <v>201</v>
      </c>
      <c r="I2946" s="33" t="s">
        <v>196</v>
      </c>
      <c r="J2946" s="34">
        <v>4510.4399999999996</v>
      </c>
      <c r="K2946" s="34"/>
      <c r="L2946" s="34">
        <v>4510.4399999999996</v>
      </c>
    </row>
    <row r="2947" spans="2:12" x14ac:dyDescent="0.3">
      <c r="B2947" s="25">
        <v>2959</v>
      </c>
      <c r="C2947" s="33">
        <v>1259</v>
      </c>
      <c r="D2947" s="33" t="s">
        <v>571</v>
      </c>
      <c r="E2947" s="35">
        <v>44987</v>
      </c>
      <c r="F2947" s="33">
        <v>1</v>
      </c>
      <c r="G2947" s="33" t="s">
        <v>124</v>
      </c>
      <c r="H2947" s="33" t="s">
        <v>201</v>
      </c>
      <c r="I2947" s="33" t="s">
        <v>197</v>
      </c>
      <c r="J2947" s="34">
        <v>4860.8999999999996</v>
      </c>
      <c r="K2947" s="34"/>
      <c r="L2947" s="34">
        <v>4860.8999999999996</v>
      </c>
    </row>
    <row r="2948" spans="2:12" x14ac:dyDescent="0.3">
      <c r="B2948" s="25">
        <v>2960</v>
      </c>
      <c r="C2948" s="33">
        <v>1260</v>
      </c>
      <c r="D2948" s="33" t="s">
        <v>572</v>
      </c>
      <c r="E2948" s="35">
        <v>44987</v>
      </c>
      <c r="F2948" s="33">
        <v>1</v>
      </c>
      <c r="G2948" s="33" t="s">
        <v>122</v>
      </c>
      <c r="H2948" s="33" t="s">
        <v>201</v>
      </c>
      <c r="I2948" s="33" t="s">
        <v>196</v>
      </c>
      <c r="J2948" s="34">
        <v>4282.3999999999996</v>
      </c>
      <c r="K2948" s="34"/>
      <c r="L2948" s="34">
        <v>4282.3999999999996</v>
      </c>
    </row>
    <row r="2949" spans="2:12" x14ac:dyDescent="0.3">
      <c r="B2949" s="25">
        <v>2961</v>
      </c>
      <c r="C2949" s="33" t="s">
        <v>1544</v>
      </c>
      <c r="D2949" s="33" t="s">
        <v>401</v>
      </c>
      <c r="E2949" s="35">
        <v>44987</v>
      </c>
      <c r="F2949" s="33">
        <v>1</v>
      </c>
      <c r="G2949" s="33" t="s">
        <v>231</v>
      </c>
      <c r="H2949" s="33" t="s">
        <v>201</v>
      </c>
      <c r="I2949" s="33" t="s">
        <v>198</v>
      </c>
      <c r="J2949" s="34">
        <v>2929.08</v>
      </c>
      <c r="K2949" s="34"/>
      <c r="L2949" s="34">
        <v>2929.08</v>
      </c>
    </row>
    <row r="2950" spans="2:12" x14ac:dyDescent="0.3">
      <c r="B2950" s="25">
        <v>2962</v>
      </c>
      <c r="C2950" s="33" t="s">
        <v>1456</v>
      </c>
      <c r="D2950" s="33" t="s">
        <v>1545</v>
      </c>
      <c r="E2950" s="35">
        <v>44998</v>
      </c>
      <c r="F2950" s="33">
        <v>1</v>
      </c>
      <c r="G2950" s="33" t="s">
        <v>122</v>
      </c>
      <c r="H2950" s="33" t="s">
        <v>73</v>
      </c>
      <c r="I2950" s="33" t="s">
        <v>196</v>
      </c>
      <c r="J2950" s="34">
        <v>2271.39</v>
      </c>
      <c r="K2950" s="34"/>
      <c r="L2950" s="34">
        <v>2271.39</v>
      </c>
    </row>
    <row r="2951" spans="2:12" x14ac:dyDescent="0.3">
      <c r="B2951" s="25">
        <v>2963</v>
      </c>
      <c r="C2951" s="33">
        <v>1089</v>
      </c>
      <c r="D2951" s="33" t="s">
        <v>1546</v>
      </c>
      <c r="E2951" s="35">
        <v>45001</v>
      </c>
      <c r="F2951" s="33">
        <v>1</v>
      </c>
      <c r="G2951" s="33" t="s">
        <v>122</v>
      </c>
      <c r="H2951" s="33" t="s">
        <v>71</v>
      </c>
      <c r="I2951" s="33" t="s">
        <v>196</v>
      </c>
      <c r="J2951" s="34">
        <v>922.92</v>
      </c>
      <c r="K2951" s="34">
        <v>40</v>
      </c>
      <c r="L2951" s="34">
        <v>882.92</v>
      </c>
    </row>
    <row r="2952" spans="2:12" x14ac:dyDescent="0.3">
      <c r="B2952" s="25">
        <v>2964</v>
      </c>
      <c r="C2952" s="33">
        <v>5392</v>
      </c>
      <c r="D2952" s="33" t="s">
        <v>1126</v>
      </c>
      <c r="E2952" s="35">
        <v>44995</v>
      </c>
      <c r="F2952" s="33">
        <v>1</v>
      </c>
      <c r="G2952" s="33" t="s">
        <v>124</v>
      </c>
      <c r="H2952" s="33" t="s">
        <v>630</v>
      </c>
      <c r="I2952" s="33" t="s">
        <v>197</v>
      </c>
      <c r="J2952" s="34">
        <v>2742</v>
      </c>
      <c r="K2952" s="34"/>
      <c r="L2952" s="34">
        <v>2742</v>
      </c>
    </row>
    <row r="2953" spans="2:12" x14ac:dyDescent="0.3">
      <c r="B2953" s="25">
        <v>2965</v>
      </c>
      <c r="C2953" s="33">
        <v>35443</v>
      </c>
      <c r="D2953" s="33" t="s">
        <v>623</v>
      </c>
      <c r="E2953" s="35">
        <v>44995</v>
      </c>
      <c r="F2953" s="33">
        <v>1</v>
      </c>
      <c r="G2953" s="33" t="s">
        <v>122</v>
      </c>
      <c r="H2953" s="33" t="s">
        <v>72</v>
      </c>
      <c r="I2953" s="33" t="s">
        <v>196</v>
      </c>
      <c r="J2953" s="34">
        <v>7131.7</v>
      </c>
      <c r="K2953" s="34"/>
      <c r="L2953" s="34">
        <v>7131.7</v>
      </c>
    </row>
    <row r="2954" spans="2:12" x14ac:dyDescent="0.3">
      <c r="B2954" s="25">
        <v>2966</v>
      </c>
      <c r="C2954" s="33">
        <v>35448</v>
      </c>
      <c r="D2954" s="33" t="s">
        <v>687</v>
      </c>
      <c r="E2954" s="35">
        <v>44995</v>
      </c>
      <c r="F2954" s="33">
        <v>1</v>
      </c>
      <c r="G2954" s="33" t="s">
        <v>122</v>
      </c>
      <c r="H2954" s="33" t="s">
        <v>72</v>
      </c>
      <c r="I2954" s="33" t="s">
        <v>196</v>
      </c>
      <c r="J2954" s="34">
        <v>2899.6</v>
      </c>
      <c r="K2954" s="34">
        <v>110</v>
      </c>
      <c r="L2954" s="34">
        <v>2789.6</v>
      </c>
    </row>
    <row r="2955" spans="2:12" x14ac:dyDescent="0.3">
      <c r="B2955" s="25">
        <v>2967</v>
      </c>
      <c r="C2955" s="33">
        <v>35451</v>
      </c>
      <c r="D2955" s="33" t="s">
        <v>394</v>
      </c>
      <c r="E2955" s="35">
        <v>44995</v>
      </c>
      <c r="F2955" s="33">
        <v>1</v>
      </c>
      <c r="G2955" s="33" t="s">
        <v>122</v>
      </c>
      <c r="H2955" s="33" t="s">
        <v>72</v>
      </c>
      <c r="I2955" s="33" t="s">
        <v>196</v>
      </c>
      <c r="J2955" s="34">
        <v>30.74</v>
      </c>
      <c r="K2955" s="34"/>
      <c r="L2955" s="34">
        <v>30.74</v>
      </c>
    </row>
    <row r="2956" spans="2:12" x14ac:dyDescent="0.3">
      <c r="B2956" s="25">
        <v>2968</v>
      </c>
      <c r="C2956" s="33">
        <v>35452</v>
      </c>
      <c r="D2956" s="33" t="s">
        <v>394</v>
      </c>
      <c r="E2956" s="35">
        <v>44995</v>
      </c>
      <c r="F2956" s="33">
        <v>1</v>
      </c>
      <c r="G2956" s="33" t="s">
        <v>122</v>
      </c>
      <c r="H2956" s="33" t="s">
        <v>72</v>
      </c>
      <c r="I2956" s="33" t="s">
        <v>196</v>
      </c>
      <c r="J2956" s="34">
        <v>4091.6</v>
      </c>
      <c r="K2956" s="34"/>
      <c r="L2956" s="34">
        <v>4091.6</v>
      </c>
    </row>
    <row r="2957" spans="2:12" x14ac:dyDescent="0.3">
      <c r="B2957" s="25">
        <v>2969</v>
      </c>
      <c r="C2957" s="33">
        <v>35456</v>
      </c>
      <c r="D2957" s="33" t="s">
        <v>394</v>
      </c>
      <c r="E2957" s="35">
        <v>44999</v>
      </c>
      <c r="F2957" s="33">
        <v>1</v>
      </c>
      <c r="G2957" s="33" t="s">
        <v>122</v>
      </c>
      <c r="H2957" s="33" t="s">
        <v>72</v>
      </c>
      <c r="I2957" s="33" t="s">
        <v>196</v>
      </c>
      <c r="J2957" s="34">
        <v>7557</v>
      </c>
      <c r="K2957" s="34"/>
      <c r="L2957" s="34">
        <v>7557</v>
      </c>
    </row>
    <row r="2958" spans="2:12" x14ac:dyDescent="0.3">
      <c r="B2958" s="25">
        <v>2970</v>
      </c>
      <c r="C2958" s="33">
        <v>35468</v>
      </c>
      <c r="D2958" s="33" t="s">
        <v>446</v>
      </c>
      <c r="E2958" s="35">
        <v>45001</v>
      </c>
      <c r="F2958" s="33">
        <v>1</v>
      </c>
      <c r="G2958" s="33" t="s">
        <v>231</v>
      </c>
      <c r="H2958" s="33" t="s">
        <v>72</v>
      </c>
      <c r="I2958" s="33" t="s">
        <v>198</v>
      </c>
      <c r="J2958" s="34">
        <v>5183.3999999999996</v>
      </c>
      <c r="K2958" s="34"/>
      <c r="L2958" s="34">
        <v>5183.3999999999996</v>
      </c>
    </row>
    <row r="2959" spans="2:12" x14ac:dyDescent="0.3">
      <c r="B2959" s="25">
        <v>2971</v>
      </c>
      <c r="C2959" s="33">
        <v>1514</v>
      </c>
      <c r="D2959" s="33" t="s">
        <v>394</v>
      </c>
      <c r="E2959" s="35">
        <v>44994</v>
      </c>
      <c r="F2959" s="33">
        <v>1</v>
      </c>
      <c r="G2959" s="33" t="s">
        <v>122</v>
      </c>
      <c r="H2959" s="33" t="s">
        <v>201</v>
      </c>
      <c r="I2959" s="33" t="s">
        <v>196</v>
      </c>
      <c r="J2959" s="34">
        <v>756.8</v>
      </c>
      <c r="K2959" s="34"/>
      <c r="L2959" s="34">
        <v>756.8</v>
      </c>
    </row>
    <row r="2960" spans="2:12" x14ac:dyDescent="0.3">
      <c r="B2960" s="25">
        <v>2972</v>
      </c>
      <c r="C2960" s="33">
        <v>1515</v>
      </c>
      <c r="D2960" s="33" t="s">
        <v>570</v>
      </c>
      <c r="E2960" s="35">
        <v>44994</v>
      </c>
      <c r="F2960" s="33">
        <v>1</v>
      </c>
      <c r="G2960" s="33" t="s">
        <v>628</v>
      </c>
      <c r="H2960" s="33" t="s">
        <v>201</v>
      </c>
      <c r="I2960" s="33" t="s">
        <v>75</v>
      </c>
      <c r="J2960" s="34">
        <v>2713.7</v>
      </c>
      <c r="K2960" s="34"/>
      <c r="L2960" s="34">
        <v>2713.7</v>
      </c>
    </row>
    <row r="2961" spans="2:12" x14ac:dyDescent="0.3">
      <c r="B2961" s="25">
        <v>2973</v>
      </c>
      <c r="C2961" s="33" t="s">
        <v>1547</v>
      </c>
      <c r="D2961" s="33" t="s">
        <v>606</v>
      </c>
      <c r="E2961" s="35">
        <v>44994</v>
      </c>
      <c r="F2961" s="33">
        <v>1</v>
      </c>
      <c r="G2961" s="33" t="s">
        <v>124</v>
      </c>
      <c r="H2961" s="33" t="s">
        <v>201</v>
      </c>
      <c r="I2961" s="33" t="s">
        <v>197</v>
      </c>
      <c r="J2961" s="34">
        <v>2792.9</v>
      </c>
      <c r="K2961" s="34"/>
      <c r="L2961" s="34">
        <v>2792.9</v>
      </c>
    </row>
    <row r="2962" spans="2:12" x14ac:dyDescent="0.3">
      <c r="B2962" s="25">
        <v>2974</v>
      </c>
      <c r="C2962" s="33">
        <v>1517</v>
      </c>
      <c r="D2962" s="33" t="s">
        <v>362</v>
      </c>
      <c r="E2962" s="35">
        <v>44994</v>
      </c>
      <c r="F2962" s="33">
        <v>1</v>
      </c>
      <c r="G2962" s="33" t="s">
        <v>124</v>
      </c>
      <c r="H2962" s="33" t="s">
        <v>201</v>
      </c>
      <c r="I2962" s="33" t="s">
        <v>197</v>
      </c>
      <c r="J2962" s="34">
        <v>3070.19</v>
      </c>
      <c r="K2962" s="34"/>
      <c r="L2962" s="34">
        <v>3070.19</v>
      </c>
    </row>
    <row r="2963" spans="2:12" x14ac:dyDescent="0.3">
      <c r="B2963" s="25">
        <v>2975</v>
      </c>
      <c r="C2963" s="33">
        <v>1519</v>
      </c>
      <c r="D2963" s="33" t="s">
        <v>411</v>
      </c>
      <c r="E2963" s="35">
        <v>44994</v>
      </c>
      <c r="F2963" s="33">
        <v>1</v>
      </c>
      <c r="G2963" s="33" t="s">
        <v>122</v>
      </c>
      <c r="H2963" s="33" t="s">
        <v>201</v>
      </c>
      <c r="I2963" s="33" t="s">
        <v>196</v>
      </c>
      <c r="J2963" s="34">
        <v>2598.7399999999998</v>
      </c>
      <c r="K2963" s="34"/>
      <c r="L2963" s="34">
        <v>2598.7399999999998</v>
      </c>
    </row>
    <row r="2964" spans="2:12" x14ac:dyDescent="0.3">
      <c r="B2964" s="25">
        <v>2976</v>
      </c>
      <c r="C2964" s="33">
        <v>1520</v>
      </c>
      <c r="D2964" s="33" t="s">
        <v>602</v>
      </c>
      <c r="E2964" s="35">
        <v>44994</v>
      </c>
      <c r="F2964" s="33">
        <v>1</v>
      </c>
      <c r="G2964" s="33" t="s">
        <v>628</v>
      </c>
      <c r="H2964" s="33" t="s">
        <v>201</v>
      </c>
      <c r="I2964" s="33" t="s">
        <v>75</v>
      </c>
      <c r="J2964" s="34">
        <v>1031.8</v>
      </c>
      <c r="K2964" s="34"/>
      <c r="L2964" s="34">
        <v>1031.8</v>
      </c>
    </row>
    <row r="2965" spans="2:12" x14ac:dyDescent="0.3">
      <c r="B2965" s="25">
        <v>2977</v>
      </c>
      <c r="C2965" s="33">
        <v>1521</v>
      </c>
      <c r="D2965" s="33" t="s">
        <v>572</v>
      </c>
      <c r="E2965" s="35">
        <v>44994</v>
      </c>
      <c r="F2965" s="33">
        <v>1</v>
      </c>
      <c r="G2965" s="33" t="s">
        <v>122</v>
      </c>
      <c r="H2965" s="33" t="s">
        <v>201</v>
      </c>
      <c r="I2965" s="33" t="s">
        <v>196</v>
      </c>
      <c r="J2965" s="34">
        <v>1334.4</v>
      </c>
      <c r="K2965" s="34"/>
      <c r="L2965" s="34">
        <v>1334.4</v>
      </c>
    </row>
    <row r="2966" spans="2:12" x14ac:dyDescent="0.3">
      <c r="B2966" s="25">
        <v>2978</v>
      </c>
      <c r="C2966" s="33">
        <v>1522</v>
      </c>
      <c r="D2966" s="33" t="s">
        <v>500</v>
      </c>
      <c r="E2966" s="35">
        <v>44994</v>
      </c>
      <c r="F2966" s="33">
        <v>1</v>
      </c>
      <c r="G2966" s="33" t="s">
        <v>122</v>
      </c>
      <c r="H2966" s="33" t="s">
        <v>201</v>
      </c>
      <c r="I2966" s="33" t="s">
        <v>196</v>
      </c>
      <c r="J2966" s="34">
        <v>1074</v>
      </c>
      <c r="K2966" s="34"/>
      <c r="L2966" s="34">
        <v>1074</v>
      </c>
    </row>
    <row r="2967" spans="2:12" x14ac:dyDescent="0.3">
      <c r="B2967" s="25">
        <v>2979</v>
      </c>
      <c r="C2967" s="33">
        <v>1156</v>
      </c>
      <c r="D2967" s="33" t="s">
        <v>1548</v>
      </c>
      <c r="E2967" s="35">
        <v>45006</v>
      </c>
      <c r="F2967" s="33">
        <v>1</v>
      </c>
      <c r="G2967" s="33" t="s">
        <v>122</v>
      </c>
      <c r="H2967" s="33" t="s">
        <v>71</v>
      </c>
      <c r="I2967" s="33" t="s">
        <v>196</v>
      </c>
      <c r="J2967" s="34">
        <v>4985.01</v>
      </c>
      <c r="K2967" s="34"/>
      <c r="L2967" s="34">
        <v>4985.01</v>
      </c>
    </row>
    <row r="2968" spans="2:12" x14ac:dyDescent="0.3">
      <c r="B2968" s="25">
        <v>2980</v>
      </c>
      <c r="C2968" s="33">
        <v>50570</v>
      </c>
      <c r="D2968" s="33" t="s">
        <v>665</v>
      </c>
      <c r="E2968" s="35">
        <v>44973</v>
      </c>
      <c r="F2968" s="33">
        <v>1</v>
      </c>
      <c r="G2968" s="33" t="s">
        <v>122</v>
      </c>
      <c r="H2968" s="33" t="s">
        <v>73</v>
      </c>
      <c r="I2968" s="33" t="s">
        <v>196</v>
      </c>
      <c r="J2968" s="34">
        <v>721</v>
      </c>
      <c r="K2968" s="34"/>
      <c r="L2968" s="34">
        <v>721</v>
      </c>
    </row>
    <row r="2969" spans="2:12" x14ac:dyDescent="0.3">
      <c r="B2969" s="25">
        <v>2981</v>
      </c>
      <c r="C2969" s="33">
        <v>50582</v>
      </c>
      <c r="D2969" s="33" t="s">
        <v>400</v>
      </c>
      <c r="E2969" s="35">
        <v>44973</v>
      </c>
      <c r="F2969" s="33">
        <v>1</v>
      </c>
      <c r="G2969" s="33" t="s">
        <v>231</v>
      </c>
      <c r="H2969" s="33">
        <v>53</v>
      </c>
      <c r="I2969" s="33" t="s">
        <v>198</v>
      </c>
      <c r="J2969" s="34">
        <v>348.84</v>
      </c>
      <c r="K2969" s="34"/>
      <c r="L2969" s="34">
        <v>348.84</v>
      </c>
    </row>
    <row r="2970" spans="2:12" x14ac:dyDescent="0.3">
      <c r="B2970" s="25">
        <v>2982</v>
      </c>
      <c r="C2970" s="33">
        <v>50583</v>
      </c>
      <c r="D2970" s="33" t="s">
        <v>400</v>
      </c>
      <c r="E2970" s="35">
        <v>44973</v>
      </c>
      <c r="F2970" s="33">
        <v>1</v>
      </c>
      <c r="G2970" s="33" t="s">
        <v>231</v>
      </c>
      <c r="H2970" s="33">
        <v>53</v>
      </c>
      <c r="I2970" s="33" t="s">
        <v>198</v>
      </c>
      <c r="J2970" s="34">
        <v>315.89999999999998</v>
      </c>
      <c r="K2970" s="34"/>
      <c r="L2970" s="34">
        <v>315.89999999999998</v>
      </c>
    </row>
    <row r="2971" spans="2:12" x14ac:dyDescent="0.3">
      <c r="B2971" s="25">
        <v>2983</v>
      </c>
      <c r="C2971" s="33">
        <v>50584</v>
      </c>
      <c r="D2971" s="33" t="s">
        <v>400</v>
      </c>
      <c r="E2971" s="35">
        <v>44973</v>
      </c>
      <c r="F2971" s="33">
        <v>1</v>
      </c>
      <c r="G2971" s="33" t="s">
        <v>231</v>
      </c>
      <c r="H2971" s="33">
        <v>53</v>
      </c>
      <c r="I2971" s="33" t="s">
        <v>198</v>
      </c>
      <c r="J2971" s="34">
        <v>456.5</v>
      </c>
      <c r="K2971" s="34"/>
      <c r="L2971" s="34">
        <v>456.5</v>
      </c>
    </row>
    <row r="2972" spans="2:12" x14ac:dyDescent="0.3">
      <c r="B2972" s="25">
        <v>2984</v>
      </c>
      <c r="C2972" s="33">
        <v>50677</v>
      </c>
      <c r="D2972" s="33" t="s">
        <v>411</v>
      </c>
      <c r="E2972" s="35">
        <v>44980</v>
      </c>
      <c r="F2972" s="33">
        <v>1</v>
      </c>
      <c r="G2972" s="33" t="s">
        <v>122</v>
      </c>
      <c r="H2972" s="33">
        <v>53</v>
      </c>
      <c r="I2972" s="33" t="s">
        <v>196</v>
      </c>
      <c r="J2972" s="34">
        <v>41.5</v>
      </c>
      <c r="K2972" s="34"/>
      <c r="L2972" s="34">
        <v>41.5</v>
      </c>
    </row>
    <row r="2973" spans="2:12" x14ac:dyDescent="0.3">
      <c r="B2973" s="25">
        <v>2985</v>
      </c>
      <c r="C2973" s="33">
        <v>50678</v>
      </c>
      <c r="D2973" s="33" t="s">
        <v>665</v>
      </c>
      <c r="E2973" s="35">
        <v>44980</v>
      </c>
      <c r="F2973" s="33">
        <v>1</v>
      </c>
      <c r="G2973" s="33" t="s">
        <v>122</v>
      </c>
      <c r="H2973" s="33" t="s">
        <v>73</v>
      </c>
      <c r="I2973" s="33" t="s">
        <v>196</v>
      </c>
      <c r="J2973" s="34">
        <v>1228</v>
      </c>
      <c r="K2973" s="34"/>
      <c r="L2973" s="34">
        <v>1228</v>
      </c>
    </row>
    <row r="2974" spans="2:12" x14ac:dyDescent="0.3">
      <c r="B2974" s="25">
        <v>2986</v>
      </c>
      <c r="C2974" s="33" t="s">
        <v>1549</v>
      </c>
      <c r="D2974" s="33" t="s">
        <v>275</v>
      </c>
      <c r="E2974" s="35">
        <v>44980</v>
      </c>
      <c r="F2974" s="33">
        <v>1</v>
      </c>
      <c r="G2974" s="33" t="s">
        <v>124</v>
      </c>
      <c r="H2974" s="33">
        <v>53</v>
      </c>
      <c r="I2974" s="33" t="s">
        <v>197</v>
      </c>
      <c r="J2974" s="34">
        <v>1294.5</v>
      </c>
      <c r="K2974" s="34"/>
      <c r="L2974" s="34">
        <v>1294.5</v>
      </c>
    </row>
    <row r="2975" spans="2:12" x14ac:dyDescent="0.3">
      <c r="B2975" s="25">
        <v>2987</v>
      </c>
      <c r="C2975" s="33">
        <v>50681</v>
      </c>
      <c r="D2975" s="33" t="s">
        <v>400</v>
      </c>
      <c r="E2975" s="35">
        <v>44980</v>
      </c>
      <c r="F2975" s="33">
        <v>1</v>
      </c>
      <c r="G2975" s="33" t="s">
        <v>231</v>
      </c>
      <c r="H2975" s="33">
        <v>53</v>
      </c>
      <c r="I2975" s="33" t="s">
        <v>198</v>
      </c>
      <c r="J2975" s="34">
        <v>2416.9299999999998</v>
      </c>
      <c r="K2975" s="34"/>
      <c r="L2975" s="34">
        <v>2416.9299999999998</v>
      </c>
    </row>
    <row r="2976" spans="2:12" x14ac:dyDescent="0.3">
      <c r="B2976" s="25">
        <v>2988</v>
      </c>
      <c r="C2976" s="33">
        <v>50686</v>
      </c>
      <c r="D2976" s="33" t="s">
        <v>665</v>
      </c>
      <c r="E2976" s="35">
        <v>44980</v>
      </c>
      <c r="F2976" s="33">
        <v>1</v>
      </c>
      <c r="G2976" s="33" t="s">
        <v>122</v>
      </c>
      <c r="H2976" s="33">
        <v>53</v>
      </c>
      <c r="I2976" s="33" t="s">
        <v>196</v>
      </c>
      <c r="J2976" s="34">
        <v>953.5</v>
      </c>
      <c r="K2976" s="34"/>
      <c r="L2976" s="34">
        <v>953.5</v>
      </c>
    </row>
    <row r="2977" spans="2:12" x14ac:dyDescent="0.3">
      <c r="B2977" s="25">
        <v>2989</v>
      </c>
      <c r="C2977" s="33">
        <v>50687</v>
      </c>
      <c r="D2977" s="33" t="s">
        <v>1550</v>
      </c>
      <c r="E2977" s="35">
        <v>44980</v>
      </c>
      <c r="F2977" s="33">
        <v>1</v>
      </c>
      <c r="G2977" s="33" t="s">
        <v>231</v>
      </c>
      <c r="H2977" s="33">
        <v>53</v>
      </c>
      <c r="I2977" s="33" t="s">
        <v>198</v>
      </c>
      <c r="J2977" s="34">
        <v>1467</v>
      </c>
      <c r="K2977" s="34"/>
      <c r="L2977" s="34">
        <v>1467</v>
      </c>
    </row>
    <row r="2978" spans="2:12" x14ac:dyDescent="0.3">
      <c r="B2978" s="25">
        <v>2990</v>
      </c>
      <c r="C2978" s="33">
        <v>50837</v>
      </c>
      <c r="D2978" s="33" t="s">
        <v>401</v>
      </c>
      <c r="E2978" s="35">
        <v>44988</v>
      </c>
      <c r="F2978" s="33">
        <v>1</v>
      </c>
      <c r="G2978" s="33" t="s">
        <v>231</v>
      </c>
      <c r="H2978" s="33">
        <v>53</v>
      </c>
      <c r="I2978" s="33" t="s">
        <v>198</v>
      </c>
      <c r="J2978" s="34">
        <v>1683.5</v>
      </c>
      <c r="K2978" s="34"/>
      <c r="L2978" s="34">
        <v>1683.5</v>
      </c>
    </row>
    <row r="2979" spans="2:12" x14ac:dyDescent="0.3">
      <c r="B2979" s="25">
        <v>2991</v>
      </c>
      <c r="C2979" s="33" t="s">
        <v>1551</v>
      </c>
      <c r="D2979" s="33" t="s">
        <v>402</v>
      </c>
      <c r="E2979" s="35">
        <v>44979</v>
      </c>
      <c r="F2979" s="33">
        <v>1</v>
      </c>
      <c r="G2979" s="33" t="s">
        <v>122</v>
      </c>
      <c r="H2979" s="33" t="s">
        <v>73</v>
      </c>
      <c r="I2979" s="33" t="s">
        <v>196</v>
      </c>
      <c r="J2979" s="34">
        <v>2620.0300000000002</v>
      </c>
      <c r="K2979" s="34"/>
      <c r="L2979" s="34">
        <v>2620.0300000000002</v>
      </c>
    </row>
    <row r="2980" spans="2:12" x14ac:dyDescent="0.3">
      <c r="B2980" s="25">
        <v>2992</v>
      </c>
      <c r="C2980" s="33">
        <v>5277</v>
      </c>
      <c r="D2980" s="33" t="s">
        <v>410</v>
      </c>
      <c r="E2980" s="35">
        <v>44985</v>
      </c>
      <c r="F2980" s="33">
        <v>1</v>
      </c>
      <c r="G2980" s="33" t="s">
        <v>231</v>
      </c>
      <c r="H2980" s="33">
        <v>53</v>
      </c>
      <c r="I2980" s="33" t="s">
        <v>198</v>
      </c>
      <c r="J2980" s="34">
        <v>1235.5</v>
      </c>
      <c r="K2980" s="34"/>
      <c r="L2980" s="34">
        <v>1235.5</v>
      </c>
    </row>
    <row r="2981" spans="2:12" x14ac:dyDescent="0.3">
      <c r="B2981" s="25">
        <v>2993</v>
      </c>
      <c r="C2981" s="33">
        <v>50884</v>
      </c>
      <c r="D2981" s="33" t="s">
        <v>400</v>
      </c>
      <c r="E2981" s="35">
        <v>44993</v>
      </c>
      <c r="F2981" s="33">
        <v>1</v>
      </c>
      <c r="G2981" s="33" t="s">
        <v>231</v>
      </c>
      <c r="H2981" s="33">
        <v>53</v>
      </c>
      <c r="I2981" s="33" t="s">
        <v>198</v>
      </c>
      <c r="J2981" s="34">
        <v>267.3</v>
      </c>
      <c r="K2981" s="34"/>
      <c r="L2981" s="34">
        <v>267.3</v>
      </c>
    </row>
    <row r="2982" spans="2:12" x14ac:dyDescent="0.3">
      <c r="B2982" s="25">
        <v>2994</v>
      </c>
      <c r="C2982" s="33">
        <v>50885</v>
      </c>
      <c r="D2982" s="33" t="s">
        <v>400</v>
      </c>
      <c r="E2982" s="35">
        <v>44993</v>
      </c>
      <c r="F2982" s="33">
        <v>1</v>
      </c>
      <c r="G2982" s="33" t="s">
        <v>231</v>
      </c>
      <c r="H2982" s="33">
        <v>53</v>
      </c>
      <c r="I2982" s="33" t="s">
        <v>198</v>
      </c>
      <c r="J2982" s="34">
        <v>368.1</v>
      </c>
      <c r="K2982" s="34"/>
      <c r="L2982" s="34">
        <v>368.1</v>
      </c>
    </row>
    <row r="2983" spans="2:12" x14ac:dyDescent="0.3">
      <c r="B2983" s="25">
        <v>2995</v>
      </c>
      <c r="C2983" s="33">
        <v>50886</v>
      </c>
      <c r="D2983" s="33" t="s">
        <v>400</v>
      </c>
      <c r="E2983" s="35">
        <v>44993</v>
      </c>
      <c r="F2983" s="33">
        <v>1</v>
      </c>
      <c r="G2983" s="33" t="s">
        <v>231</v>
      </c>
      <c r="H2983" s="33">
        <v>53</v>
      </c>
      <c r="I2983" s="33" t="s">
        <v>198</v>
      </c>
      <c r="J2983" s="34">
        <v>496.8</v>
      </c>
      <c r="K2983" s="34"/>
      <c r="L2983" s="34">
        <v>496.8</v>
      </c>
    </row>
    <row r="2984" spans="2:12" x14ac:dyDescent="0.3">
      <c r="B2984" s="25">
        <v>2996</v>
      </c>
      <c r="C2984" s="33">
        <v>50887</v>
      </c>
      <c r="D2984" s="33" t="s">
        <v>400</v>
      </c>
      <c r="E2984" s="35">
        <v>44993</v>
      </c>
      <c r="F2984" s="33">
        <v>1</v>
      </c>
      <c r="G2984" s="33" t="s">
        <v>231</v>
      </c>
      <c r="H2984" s="33">
        <v>53</v>
      </c>
      <c r="I2984" s="33" t="s">
        <v>198</v>
      </c>
      <c r="J2984" s="34">
        <v>661.05</v>
      </c>
      <c r="K2984" s="34"/>
      <c r="L2984" s="34">
        <v>661.05</v>
      </c>
    </row>
    <row r="2985" spans="2:12" x14ac:dyDescent="0.3">
      <c r="B2985" s="25">
        <v>2997</v>
      </c>
      <c r="C2985" s="33">
        <v>50888</v>
      </c>
      <c r="D2985" s="33" t="s">
        <v>400</v>
      </c>
      <c r="E2985" s="35">
        <v>44993</v>
      </c>
      <c r="F2985" s="33">
        <v>1</v>
      </c>
      <c r="G2985" s="33" t="s">
        <v>231</v>
      </c>
      <c r="H2985" s="33">
        <v>53</v>
      </c>
      <c r="I2985" s="33" t="s">
        <v>198</v>
      </c>
      <c r="J2985" s="34">
        <v>391.95</v>
      </c>
      <c r="K2985" s="34"/>
      <c r="L2985" s="34">
        <v>391.95</v>
      </c>
    </row>
    <row r="2986" spans="2:12" x14ac:dyDescent="0.3">
      <c r="B2986" s="25">
        <v>2998</v>
      </c>
      <c r="C2986" s="33">
        <v>50889</v>
      </c>
      <c r="D2986" s="33" t="s">
        <v>400</v>
      </c>
      <c r="E2986" s="35">
        <v>44993</v>
      </c>
      <c r="F2986" s="33">
        <v>1</v>
      </c>
      <c r="G2986" s="33" t="s">
        <v>231</v>
      </c>
      <c r="H2986" s="33">
        <v>53</v>
      </c>
      <c r="I2986" s="33" t="s">
        <v>198</v>
      </c>
      <c r="J2986" s="34">
        <v>122.85</v>
      </c>
      <c r="K2986" s="34"/>
      <c r="L2986" s="34">
        <v>122.85</v>
      </c>
    </row>
    <row r="2987" spans="2:12" x14ac:dyDescent="0.3">
      <c r="B2987" s="25">
        <v>2999</v>
      </c>
      <c r="C2987" s="33">
        <v>50890</v>
      </c>
      <c r="D2987" s="33" t="s">
        <v>400</v>
      </c>
      <c r="E2987" s="35">
        <v>44993</v>
      </c>
      <c r="F2987" s="33">
        <v>1</v>
      </c>
      <c r="G2987" s="33" t="s">
        <v>231</v>
      </c>
      <c r="H2987" s="33">
        <v>53</v>
      </c>
      <c r="I2987" s="33" t="s">
        <v>198</v>
      </c>
      <c r="J2987" s="34">
        <v>1471.95</v>
      </c>
      <c r="K2987" s="34"/>
      <c r="L2987" s="34">
        <v>1471.95</v>
      </c>
    </row>
    <row r="2988" spans="2:12" x14ac:dyDescent="0.3">
      <c r="B2988" s="25">
        <v>3000</v>
      </c>
      <c r="C2988" s="33">
        <v>50891</v>
      </c>
      <c r="D2988" s="33" t="s">
        <v>400</v>
      </c>
      <c r="E2988" s="35">
        <v>44993</v>
      </c>
      <c r="F2988" s="33">
        <v>1</v>
      </c>
      <c r="G2988" s="33" t="s">
        <v>231</v>
      </c>
      <c r="H2988" s="33">
        <v>53</v>
      </c>
      <c r="I2988" s="33" t="s">
        <v>198</v>
      </c>
      <c r="J2988" s="34">
        <v>905.86</v>
      </c>
      <c r="K2988" s="34"/>
      <c r="L2988" s="34">
        <v>905.86</v>
      </c>
    </row>
    <row r="2989" spans="2:12" x14ac:dyDescent="0.3">
      <c r="B2989" s="25">
        <v>3001</v>
      </c>
      <c r="C2989" s="33">
        <v>50892</v>
      </c>
      <c r="D2989" s="33" t="s">
        <v>400</v>
      </c>
      <c r="E2989" s="35">
        <v>44993</v>
      </c>
      <c r="F2989" s="33">
        <v>1</v>
      </c>
      <c r="G2989" s="33" t="s">
        <v>231</v>
      </c>
      <c r="H2989" s="33">
        <v>53</v>
      </c>
      <c r="I2989" s="33" t="s">
        <v>198</v>
      </c>
      <c r="J2989" s="34">
        <v>1130.02</v>
      </c>
      <c r="K2989" s="34"/>
      <c r="L2989" s="34">
        <v>1130.02</v>
      </c>
    </row>
    <row r="2990" spans="2:12" x14ac:dyDescent="0.3">
      <c r="B2990" s="25">
        <v>3002</v>
      </c>
      <c r="C2990" s="33">
        <v>50893</v>
      </c>
      <c r="D2990" s="33" t="s">
        <v>400</v>
      </c>
      <c r="E2990" s="35">
        <v>44993</v>
      </c>
      <c r="F2990" s="33">
        <v>1</v>
      </c>
      <c r="G2990" s="33" t="s">
        <v>231</v>
      </c>
      <c r="H2990" s="33">
        <v>53</v>
      </c>
      <c r="I2990" s="33" t="s">
        <v>198</v>
      </c>
      <c r="J2990" s="34">
        <v>1037.7</v>
      </c>
      <c r="K2990" s="34"/>
      <c r="L2990" s="34">
        <v>1037.7</v>
      </c>
    </row>
    <row r="2991" spans="2:12" x14ac:dyDescent="0.3">
      <c r="B2991" s="25">
        <v>3003</v>
      </c>
      <c r="C2991" s="33">
        <v>50894</v>
      </c>
      <c r="D2991" s="33" t="s">
        <v>400</v>
      </c>
      <c r="E2991" s="35">
        <v>44993</v>
      </c>
      <c r="F2991" s="33">
        <v>1</v>
      </c>
      <c r="G2991" s="33" t="s">
        <v>231</v>
      </c>
      <c r="H2991" s="33">
        <v>53</v>
      </c>
      <c r="I2991" s="33" t="s">
        <v>198</v>
      </c>
      <c r="J2991" s="34">
        <v>1425.96</v>
      </c>
      <c r="K2991" s="34"/>
      <c r="L2991" s="34">
        <v>1425.96</v>
      </c>
    </row>
    <row r="2992" spans="2:12" x14ac:dyDescent="0.3">
      <c r="B2992" s="25">
        <v>3004</v>
      </c>
      <c r="C2992" s="33">
        <v>50895</v>
      </c>
      <c r="D2992" s="33" t="s">
        <v>400</v>
      </c>
      <c r="E2992" s="35">
        <v>44993</v>
      </c>
      <c r="F2992" s="33">
        <v>1</v>
      </c>
      <c r="G2992" s="33" t="s">
        <v>231</v>
      </c>
      <c r="H2992" s="33">
        <v>53</v>
      </c>
      <c r="I2992" s="33" t="s">
        <v>198</v>
      </c>
      <c r="J2992" s="34">
        <v>356.79</v>
      </c>
      <c r="K2992" s="34"/>
      <c r="L2992" s="34">
        <v>356.79</v>
      </c>
    </row>
    <row r="2993" spans="2:12" x14ac:dyDescent="0.3">
      <c r="B2993" s="25">
        <v>3005</v>
      </c>
      <c r="C2993" s="33">
        <v>50896</v>
      </c>
      <c r="D2993" s="33" t="s">
        <v>369</v>
      </c>
      <c r="E2993" s="35">
        <v>44993</v>
      </c>
      <c r="F2993" s="33">
        <v>1</v>
      </c>
      <c r="G2993" s="33" t="s">
        <v>124</v>
      </c>
      <c r="H2993" s="33" t="s">
        <v>73</v>
      </c>
      <c r="I2993" s="33" t="s">
        <v>197</v>
      </c>
      <c r="J2993" s="34">
        <v>8908.76</v>
      </c>
      <c r="K2993" s="34"/>
      <c r="L2993" s="34">
        <v>8908.76</v>
      </c>
    </row>
    <row r="2994" spans="2:12" x14ac:dyDescent="0.3">
      <c r="B2994" s="25">
        <v>3006</v>
      </c>
      <c r="C2994" s="33">
        <v>50898</v>
      </c>
      <c r="D2994" s="33" t="s">
        <v>411</v>
      </c>
      <c r="E2994" s="35">
        <v>44993</v>
      </c>
      <c r="F2994" s="33">
        <v>1</v>
      </c>
      <c r="G2994" s="33" t="s">
        <v>122</v>
      </c>
      <c r="H2994" s="33">
        <v>53</v>
      </c>
      <c r="I2994" s="33" t="s">
        <v>196</v>
      </c>
      <c r="J2994" s="34">
        <v>928</v>
      </c>
      <c r="K2994" s="34"/>
      <c r="L2994" s="34">
        <v>928</v>
      </c>
    </row>
    <row r="2995" spans="2:12" x14ac:dyDescent="0.3">
      <c r="B2995" s="25">
        <v>3007</v>
      </c>
      <c r="C2995" s="33">
        <v>50900</v>
      </c>
      <c r="D2995" s="33" t="s">
        <v>593</v>
      </c>
      <c r="E2995" s="35">
        <v>44993</v>
      </c>
      <c r="F2995" s="33">
        <v>1</v>
      </c>
      <c r="G2995" s="33" t="s">
        <v>122</v>
      </c>
      <c r="H2995" s="33">
        <v>53</v>
      </c>
      <c r="I2995" s="33" t="s">
        <v>196</v>
      </c>
      <c r="J2995" s="34">
        <v>32</v>
      </c>
      <c r="K2995" s="34"/>
      <c r="L2995" s="34">
        <v>32</v>
      </c>
    </row>
    <row r="2996" spans="2:12" x14ac:dyDescent="0.3">
      <c r="B2996" s="25">
        <v>3008</v>
      </c>
      <c r="C2996" s="33">
        <v>50901</v>
      </c>
      <c r="D2996" s="33" t="s">
        <v>473</v>
      </c>
      <c r="E2996" s="35">
        <v>44993</v>
      </c>
      <c r="F2996" s="33">
        <v>1</v>
      </c>
      <c r="G2996" s="33" t="s">
        <v>122</v>
      </c>
      <c r="H2996" s="33" t="s">
        <v>73</v>
      </c>
      <c r="I2996" s="33" t="s">
        <v>196</v>
      </c>
      <c r="J2996" s="34">
        <v>485.48</v>
      </c>
      <c r="K2996" s="34"/>
      <c r="L2996" s="34">
        <v>485.48</v>
      </c>
    </row>
    <row r="2997" spans="2:12" x14ac:dyDescent="0.3">
      <c r="B2997" s="25">
        <v>3009</v>
      </c>
      <c r="C2997" s="33" t="s">
        <v>1552</v>
      </c>
      <c r="D2997" s="33" t="s">
        <v>282</v>
      </c>
      <c r="E2997" s="35">
        <v>45009</v>
      </c>
      <c r="F2997" s="33">
        <v>1</v>
      </c>
      <c r="G2997" s="33" t="s">
        <v>124</v>
      </c>
      <c r="H2997" s="33" t="s">
        <v>73</v>
      </c>
      <c r="I2997" s="33" t="s">
        <v>197</v>
      </c>
      <c r="J2997" s="34">
        <v>873.5</v>
      </c>
      <c r="K2997" s="34"/>
      <c r="L2997" s="34">
        <v>873.5</v>
      </c>
    </row>
    <row r="2998" spans="2:12" x14ac:dyDescent="0.3">
      <c r="B2998" s="25">
        <v>3011</v>
      </c>
      <c r="C2998" s="33">
        <v>50840</v>
      </c>
      <c r="D2998" s="33" t="s">
        <v>367</v>
      </c>
      <c r="E2998" s="35">
        <v>44973</v>
      </c>
      <c r="F2998" s="33">
        <v>1</v>
      </c>
      <c r="G2998" s="33" t="s">
        <v>124</v>
      </c>
      <c r="H2998" s="33" t="s">
        <v>69</v>
      </c>
      <c r="I2998" s="33" t="s">
        <v>197</v>
      </c>
      <c r="J2998" s="34">
        <v>298.5</v>
      </c>
      <c r="K2998" s="34"/>
      <c r="L2998" s="34">
        <v>298.5</v>
      </c>
    </row>
    <row r="2999" spans="2:12" x14ac:dyDescent="0.3">
      <c r="B2999" s="25">
        <v>3012</v>
      </c>
      <c r="C2999" s="33" t="s">
        <v>1553</v>
      </c>
      <c r="D2999" s="33" t="s">
        <v>281</v>
      </c>
      <c r="E2999" s="35">
        <v>44973</v>
      </c>
      <c r="F2999" s="33">
        <v>1</v>
      </c>
      <c r="G2999" s="33" t="s">
        <v>124</v>
      </c>
      <c r="H2999" s="33" t="s">
        <v>69</v>
      </c>
      <c r="I2999" s="33" t="s">
        <v>197</v>
      </c>
      <c r="J2999" s="34">
        <v>2895.5</v>
      </c>
      <c r="K2999" s="34"/>
      <c r="L2999" s="34">
        <v>2895.5</v>
      </c>
    </row>
    <row r="3000" spans="2:12" x14ac:dyDescent="0.3">
      <c r="B3000" s="25">
        <v>3013</v>
      </c>
      <c r="C3000" s="33" t="s">
        <v>1554</v>
      </c>
      <c r="D3000" s="33" t="s">
        <v>275</v>
      </c>
      <c r="E3000" s="35">
        <v>44973</v>
      </c>
      <c r="F3000" s="33">
        <v>1</v>
      </c>
      <c r="G3000" s="33" t="s">
        <v>124</v>
      </c>
      <c r="H3000" s="33" t="s">
        <v>69</v>
      </c>
      <c r="I3000" s="33" t="s">
        <v>197</v>
      </c>
      <c r="J3000" s="34">
        <v>11761.48</v>
      </c>
      <c r="K3000" s="34"/>
      <c r="L3000" s="34">
        <v>11761.48</v>
      </c>
    </row>
    <row r="3001" spans="2:12" x14ac:dyDescent="0.3">
      <c r="B3001" s="25">
        <v>3014</v>
      </c>
      <c r="C3001" s="33">
        <v>50853</v>
      </c>
      <c r="D3001" s="33" t="s">
        <v>404</v>
      </c>
      <c r="E3001" s="35">
        <v>44973</v>
      </c>
      <c r="F3001" s="33">
        <v>1</v>
      </c>
      <c r="G3001" s="33" t="s">
        <v>122</v>
      </c>
      <c r="H3001" s="33" t="s">
        <v>69</v>
      </c>
      <c r="I3001" s="33" t="s">
        <v>196</v>
      </c>
      <c r="J3001" s="34">
        <v>632.49</v>
      </c>
      <c r="K3001" s="34"/>
      <c r="L3001" s="34">
        <v>632.49</v>
      </c>
    </row>
    <row r="3002" spans="2:12" x14ac:dyDescent="0.3">
      <c r="B3002" s="25">
        <v>3015</v>
      </c>
      <c r="C3002" s="33">
        <v>50857</v>
      </c>
      <c r="D3002" s="33" t="s">
        <v>394</v>
      </c>
      <c r="E3002" s="35">
        <v>44973</v>
      </c>
      <c r="F3002" s="33">
        <v>1</v>
      </c>
      <c r="G3002" s="33" t="s">
        <v>122</v>
      </c>
      <c r="H3002" s="33" t="s">
        <v>69</v>
      </c>
      <c r="I3002" s="33" t="s">
        <v>196</v>
      </c>
      <c r="J3002" s="34">
        <v>4329.51</v>
      </c>
      <c r="K3002" s="34"/>
      <c r="L3002" s="34">
        <v>4329.51</v>
      </c>
    </row>
    <row r="3003" spans="2:12" x14ac:dyDescent="0.3">
      <c r="B3003" s="25">
        <v>3016</v>
      </c>
      <c r="C3003" s="33" t="s">
        <v>1555</v>
      </c>
      <c r="D3003" s="33" t="s">
        <v>400</v>
      </c>
      <c r="E3003" s="35">
        <v>44973</v>
      </c>
      <c r="F3003" s="33">
        <v>1</v>
      </c>
      <c r="G3003" s="33" t="s">
        <v>231</v>
      </c>
      <c r="H3003" s="33" t="s">
        <v>69</v>
      </c>
      <c r="I3003" s="33" t="s">
        <v>198</v>
      </c>
      <c r="J3003" s="34">
        <v>1427.4</v>
      </c>
      <c r="K3003" s="34"/>
      <c r="L3003" s="34">
        <v>1427.4</v>
      </c>
    </row>
    <row r="3004" spans="2:12" x14ac:dyDescent="0.3">
      <c r="B3004" s="25">
        <v>3017</v>
      </c>
      <c r="C3004" s="33" t="s">
        <v>1556</v>
      </c>
      <c r="D3004" s="33" t="s">
        <v>400</v>
      </c>
      <c r="E3004" s="35">
        <v>44973</v>
      </c>
      <c r="F3004" s="33">
        <v>1</v>
      </c>
      <c r="G3004" s="33" t="s">
        <v>231</v>
      </c>
      <c r="H3004" s="33" t="s">
        <v>69</v>
      </c>
      <c r="I3004" s="33" t="s">
        <v>198</v>
      </c>
      <c r="J3004" s="34">
        <v>1234.8</v>
      </c>
      <c r="K3004" s="34"/>
      <c r="L3004" s="34">
        <v>1234.8</v>
      </c>
    </row>
    <row r="3005" spans="2:12" x14ac:dyDescent="0.3">
      <c r="B3005" s="25">
        <v>3018</v>
      </c>
      <c r="C3005" s="33" t="s">
        <v>1557</v>
      </c>
      <c r="D3005" s="33" t="s">
        <v>400</v>
      </c>
      <c r="E3005" s="35">
        <v>44973</v>
      </c>
      <c r="F3005" s="33">
        <v>1</v>
      </c>
      <c r="G3005" s="33" t="s">
        <v>231</v>
      </c>
      <c r="H3005" s="33" t="s">
        <v>69</v>
      </c>
      <c r="I3005" s="33" t="s">
        <v>198</v>
      </c>
      <c r="J3005" s="34">
        <v>2282.4</v>
      </c>
      <c r="K3005" s="34"/>
      <c r="L3005" s="34">
        <v>2282.4</v>
      </c>
    </row>
    <row r="3006" spans="2:12" x14ac:dyDescent="0.3">
      <c r="B3006" s="25">
        <v>3019</v>
      </c>
      <c r="C3006" s="33" t="s">
        <v>1558</v>
      </c>
      <c r="D3006" s="33" t="s">
        <v>400</v>
      </c>
      <c r="E3006" s="35">
        <v>44973</v>
      </c>
      <c r="F3006" s="33">
        <v>1</v>
      </c>
      <c r="G3006" s="33" t="s">
        <v>231</v>
      </c>
      <c r="H3006" s="33" t="s">
        <v>69</v>
      </c>
      <c r="I3006" s="33" t="s">
        <v>198</v>
      </c>
      <c r="J3006" s="34">
        <v>30.55</v>
      </c>
      <c r="K3006" s="34"/>
      <c r="L3006" s="34">
        <v>30.55</v>
      </c>
    </row>
    <row r="3007" spans="2:12" x14ac:dyDescent="0.3">
      <c r="B3007" s="25">
        <v>3020</v>
      </c>
      <c r="C3007" s="33" t="s">
        <v>1559</v>
      </c>
      <c r="D3007" s="33" t="s">
        <v>400</v>
      </c>
      <c r="E3007" s="35">
        <v>44980</v>
      </c>
      <c r="F3007" s="33">
        <v>1</v>
      </c>
      <c r="G3007" s="33" t="s">
        <v>231</v>
      </c>
      <c r="H3007" s="33" t="s">
        <v>69</v>
      </c>
      <c r="I3007" s="33" t="s">
        <v>198</v>
      </c>
      <c r="J3007" s="34">
        <v>212.4</v>
      </c>
      <c r="K3007" s="34"/>
      <c r="L3007" s="34">
        <v>212.4</v>
      </c>
    </row>
    <row r="3008" spans="2:12" x14ac:dyDescent="0.3">
      <c r="B3008" s="25">
        <v>3021</v>
      </c>
      <c r="C3008" s="33" t="s">
        <v>1560</v>
      </c>
      <c r="D3008" s="33" t="s">
        <v>400</v>
      </c>
      <c r="E3008" s="35">
        <v>44980</v>
      </c>
      <c r="F3008" s="33">
        <v>1</v>
      </c>
      <c r="G3008" s="33" t="s">
        <v>231</v>
      </c>
      <c r="H3008" s="33" t="s">
        <v>69</v>
      </c>
      <c r="I3008" s="33" t="s">
        <v>198</v>
      </c>
      <c r="J3008" s="34">
        <v>973.78</v>
      </c>
      <c r="K3008" s="34"/>
      <c r="L3008" s="34">
        <v>973.78</v>
      </c>
    </row>
    <row r="3009" spans="2:12" x14ac:dyDescent="0.3">
      <c r="B3009" s="25">
        <v>3022</v>
      </c>
      <c r="C3009" s="33" t="s">
        <v>1561</v>
      </c>
      <c r="D3009" s="33" t="s">
        <v>400</v>
      </c>
      <c r="E3009" s="35">
        <v>44980</v>
      </c>
      <c r="F3009" s="33">
        <v>1</v>
      </c>
      <c r="G3009" s="33" t="s">
        <v>231</v>
      </c>
      <c r="H3009" s="33" t="s">
        <v>69</v>
      </c>
      <c r="I3009" s="33" t="s">
        <v>198</v>
      </c>
      <c r="J3009" s="34">
        <v>1679.4</v>
      </c>
      <c r="K3009" s="34"/>
      <c r="L3009" s="34">
        <v>1679.4</v>
      </c>
    </row>
    <row r="3010" spans="2:12" x14ac:dyDescent="0.3">
      <c r="B3010" s="25">
        <v>3023</v>
      </c>
      <c r="C3010" s="33">
        <v>50970</v>
      </c>
      <c r="D3010" s="33" t="s">
        <v>400</v>
      </c>
      <c r="E3010" s="35">
        <v>44980</v>
      </c>
      <c r="F3010" s="33">
        <v>1</v>
      </c>
      <c r="G3010" s="33" t="s">
        <v>231</v>
      </c>
      <c r="H3010" s="33" t="s">
        <v>69</v>
      </c>
      <c r="I3010" s="33" t="s">
        <v>198</v>
      </c>
      <c r="J3010" s="34">
        <v>1260.45</v>
      </c>
      <c r="K3010" s="34"/>
      <c r="L3010" s="34">
        <v>1260.45</v>
      </c>
    </row>
    <row r="3011" spans="2:12" x14ac:dyDescent="0.3">
      <c r="B3011" s="25">
        <v>3024</v>
      </c>
      <c r="C3011" s="33" t="s">
        <v>1562</v>
      </c>
      <c r="D3011" s="33" t="s">
        <v>400</v>
      </c>
      <c r="E3011" s="35">
        <v>44980</v>
      </c>
      <c r="F3011" s="33">
        <v>1</v>
      </c>
      <c r="G3011" s="33" t="s">
        <v>231</v>
      </c>
      <c r="H3011" s="33" t="s">
        <v>69</v>
      </c>
      <c r="I3011" s="33" t="s">
        <v>198</v>
      </c>
      <c r="J3011" s="34">
        <v>1564.2</v>
      </c>
      <c r="K3011" s="34"/>
      <c r="L3011" s="34">
        <v>1564.2</v>
      </c>
    </row>
    <row r="3012" spans="2:12" x14ac:dyDescent="0.3">
      <c r="B3012" s="25">
        <v>3025</v>
      </c>
      <c r="C3012" s="33">
        <v>50972</v>
      </c>
      <c r="D3012" s="33" t="s">
        <v>400</v>
      </c>
      <c r="E3012" s="35">
        <v>44980</v>
      </c>
      <c r="F3012" s="33">
        <v>1</v>
      </c>
      <c r="G3012" s="33" t="s">
        <v>231</v>
      </c>
      <c r="H3012" s="33" t="s">
        <v>69</v>
      </c>
      <c r="I3012" s="33" t="s">
        <v>198</v>
      </c>
      <c r="J3012" s="34">
        <v>2256.69</v>
      </c>
      <c r="K3012" s="34"/>
      <c r="L3012" s="34">
        <v>2256.69</v>
      </c>
    </row>
    <row r="3013" spans="2:12" x14ac:dyDescent="0.3">
      <c r="B3013" s="25">
        <v>3026</v>
      </c>
      <c r="C3013" s="33">
        <v>50973</v>
      </c>
      <c r="D3013" s="33" t="s">
        <v>400</v>
      </c>
      <c r="E3013" s="35">
        <v>44980</v>
      </c>
      <c r="F3013" s="33">
        <v>1</v>
      </c>
      <c r="G3013" s="33" t="s">
        <v>231</v>
      </c>
      <c r="H3013" s="33" t="s">
        <v>69</v>
      </c>
      <c r="I3013" s="33" t="s">
        <v>198</v>
      </c>
      <c r="J3013" s="34">
        <v>1043.18</v>
      </c>
      <c r="K3013" s="34"/>
      <c r="L3013" s="34">
        <v>1043.18</v>
      </c>
    </row>
    <row r="3014" spans="2:12" x14ac:dyDescent="0.3">
      <c r="B3014" s="25">
        <v>3027</v>
      </c>
      <c r="C3014" s="33">
        <v>50974</v>
      </c>
      <c r="D3014" s="33" t="s">
        <v>400</v>
      </c>
      <c r="E3014" s="35">
        <v>44980</v>
      </c>
      <c r="F3014" s="33">
        <v>1</v>
      </c>
      <c r="G3014" s="33" t="s">
        <v>231</v>
      </c>
      <c r="H3014" s="33" t="s">
        <v>69</v>
      </c>
      <c r="I3014" s="33" t="s">
        <v>198</v>
      </c>
      <c r="J3014" s="34">
        <v>795.84</v>
      </c>
      <c r="K3014" s="34"/>
      <c r="L3014" s="34">
        <v>795.84</v>
      </c>
    </row>
    <row r="3015" spans="2:12" x14ac:dyDescent="0.3">
      <c r="B3015" s="25">
        <v>3028</v>
      </c>
      <c r="C3015" s="33">
        <v>50975</v>
      </c>
      <c r="D3015" s="33" t="s">
        <v>400</v>
      </c>
      <c r="E3015" s="35">
        <v>44980</v>
      </c>
      <c r="F3015" s="33">
        <v>1</v>
      </c>
      <c r="G3015" s="33" t="s">
        <v>231</v>
      </c>
      <c r="H3015" s="33" t="s">
        <v>69</v>
      </c>
      <c r="I3015" s="33" t="s">
        <v>198</v>
      </c>
      <c r="J3015" s="34">
        <v>290.7</v>
      </c>
      <c r="K3015" s="34"/>
      <c r="L3015" s="34">
        <v>290.7</v>
      </c>
    </row>
    <row r="3016" spans="2:12" x14ac:dyDescent="0.3">
      <c r="B3016" s="25">
        <v>3029</v>
      </c>
      <c r="C3016" s="33">
        <v>50976</v>
      </c>
      <c r="D3016" s="33" t="s">
        <v>593</v>
      </c>
      <c r="E3016" s="35">
        <v>44980</v>
      </c>
      <c r="F3016" s="33">
        <v>1</v>
      </c>
      <c r="G3016" s="33" t="s">
        <v>122</v>
      </c>
      <c r="H3016" s="33" t="s">
        <v>69</v>
      </c>
      <c r="I3016" s="33" t="s">
        <v>196</v>
      </c>
      <c r="J3016" s="34">
        <v>100.5</v>
      </c>
      <c r="K3016" s="34"/>
      <c r="L3016" s="34">
        <v>100.5</v>
      </c>
    </row>
    <row r="3017" spans="2:12" x14ac:dyDescent="0.3">
      <c r="B3017" s="25">
        <v>3030</v>
      </c>
      <c r="C3017" s="33">
        <v>50977</v>
      </c>
      <c r="D3017" s="33" t="s">
        <v>404</v>
      </c>
      <c r="E3017" s="35">
        <v>44980</v>
      </c>
      <c r="F3017" s="33">
        <v>1</v>
      </c>
      <c r="G3017" s="33" t="s">
        <v>122</v>
      </c>
      <c r="H3017" s="33" t="s">
        <v>69</v>
      </c>
      <c r="I3017" s="33" t="s">
        <v>196</v>
      </c>
      <c r="J3017" s="34">
        <v>1851</v>
      </c>
      <c r="K3017" s="34"/>
      <c r="L3017" s="34">
        <v>1851</v>
      </c>
    </row>
    <row r="3018" spans="2:12" x14ac:dyDescent="0.3">
      <c r="B3018" s="25">
        <v>3031</v>
      </c>
      <c r="C3018" s="33">
        <v>50978</v>
      </c>
      <c r="D3018" s="33" t="s">
        <v>414</v>
      </c>
      <c r="E3018" s="35">
        <v>44980</v>
      </c>
      <c r="F3018" s="33">
        <v>1</v>
      </c>
      <c r="G3018" s="33" t="s">
        <v>122</v>
      </c>
      <c r="H3018" s="33" t="s">
        <v>69</v>
      </c>
      <c r="I3018" s="33" t="s">
        <v>196</v>
      </c>
      <c r="J3018" s="34">
        <v>3548</v>
      </c>
      <c r="K3018" s="34"/>
      <c r="L3018" s="34">
        <v>3548</v>
      </c>
    </row>
    <row r="3019" spans="2:12" x14ac:dyDescent="0.3">
      <c r="B3019" s="25">
        <v>3032</v>
      </c>
      <c r="C3019" s="33">
        <v>50979</v>
      </c>
      <c r="D3019" s="33" t="s">
        <v>411</v>
      </c>
      <c r="E3019" s="35">
        <v>44980</v>
      </c>
      <c r="F3019" s="33">
        <v>1</v>
      </c>
      <c r="G3019" s="33" t="s">
        <v>122</v>
      </c>
      <c r="H3019" s="33" t="s">
        <v>69</v>
      </c>
      <c r="I3019" s="33" t="s">
        <v>196</v>
      </c>
      <c r="J3019" s="34">
        <v>2177.5100000000002</v>
      </c>
      <c r="K3019" s="34"/>
      <c r="L3019" s="34">
        <v>2177.5100000000002</v>
      </c>
    </row>
    <row r="3020" spans="2:12" x14ac:dyDescent="0.3">
      <c r="B3020" s="25">
        <v>3033</v>
      </c>
      <c r="C3020" s="33">
        <v>50980</v>
      </c>
      <c r="D3020" s="33" t="s">
        <v>655</v>
      </c>
      <c r="E3020" s="35">
        <v>44980</v>
      </c>
      <c r="F3020" s="33">
        <v>1</v>
      </c>
      <c r="G3020" s="33" t="s">
        <v>122</v>
      </c>
      <c r="H3020" s="33" t="s">
        <v>69</v>
      </c>
      <c r="I3020" s="33" t="s">
        <v>196</v>
      </c>
      <c r="J3020" s="34">
        <v>2382</v>
      </c>
      <c r="K3020" s="34"/>
      <c r="L3020" s="34">
        <v>2382</v>
      </c>
    </row>
    <row r="3021" spans="2:12" x14ac:dyDescent="0.3">
      <c r="B3021" s="25">
        <v>3034</v>
      </c>
      <c r="C3021" s="33">
        <v>51125</v>
      </c>
      <c r="D3021" s="33" t="s">
        <v>416</v>
      </c>
      <c r="E3021" s="35">
        <v>44987</v>
      </c>
      <c r="F3021" s="33">
        <v>1</v>
      </c>
      <c r="G3021" s="33" t="s">
        <v>231</v>
      </c>
      <c r="H3021" s="33" t="s">
        <v>69</v>
      </c>
      <c r="I3021" s="33" t="s">
        <v>198</v>
      </c>
      <c r="J3021" s="34">
        <v>751.5</v>
      </c>
      <c r="K3021" s="34"/>
      <c r="L3021" s="34">
        <v>751.5</v>
      </c>
    </row>
    <row r="3022" spans="2:12" x14ac:dyDescent="0.3">
      <c r="B3022" s="25">
        <v>3035</v>
      </c>
      <c r="C3022" s="33">
        <v>51135</v>
      </c>
      <c r="D3022" s="33" t="s">
        <v>415</v>
      </c>
      <c r="E3022" s="35">
        <v>44987</v>
      </c>
      <c r="F3022" s="33">
        <v>1</v>
      </c>
      <c r="G3022" s="33" t="s">
        <v>122</v>
      </c>
      <c r="H3022" s="33" t="s">
        <v>69</v>
      </c>
      <c r="I3022" s="33" t="s">
        <v>196</v>
      </c>
      <c r="J3022" s="34">
        <v>4496</v>
      </c>
      <c r="K3022" s="34"/>
      <c r="L3022" s="34">
        <v>4496</v>
      </c>
    </row>
    <row r="3023" spans="2:12" x14ac:dyDescent="0.3">
      <c r="B3023" s="25">
        <v>3036</v>
      </c>
      <c r="C3023" s="33">
        <v>51136</v>
      </c>
      <c r="D3023" s="33" t="s">
        <v>805</v>
      </c>
      <c r="E3023" s="35">
        <v>44987</v>
      </c>
      <c r="F3023" s="33">
        <v>1</v>
      </c>
      <c r="G3023" s="33" t="s">
        <v>231</v>
      </c>
      <c r="H3023" s="33" t="s">
        <v>69</v>
      </c>
      <c r="I3023" s="33" t="s">
        <v>198</v>
      </c>
      <c r="J3023" s="34">
        <v>1675.02</v>
      </c>
      <c r="K3023" s="34"/>
      <c r="L3023" s="34">
        <v>1675.02</v>
      </c>
    </row>
    <row r="3024" spans="2:12" x14ac:dyDescent="0.3">
      <c r="B3024" s="25">
        <v>3037</v>
      </c>
      <c r="C3024" s="33">
        <v>51139</v>
      </c>
      <c r="D3024" s="33" t="s">
        <v>362</v>
      </c>
      <c r="E3024" s="35">
        <v>44987</v>
      </c>
      <c r="F3024" s="33">
        <v>1</v>
      </c>
      <c r="G3024" s="33" t="s">
        <v>124</v>
      </c>
      <c r="H3024" s="33" t="s">
        <v>69</v>
      </c>
      <c r="I3024" s="33" t="s">
        <v>197</v>
      </c>
      <c r="J3024" s="34">
        <v>7266</v>
      </c>
      <c r="K3024" s="34"/>
      <c r="L3024" s="34">
        <v>7266</v>
      </c>
    </row>
    <row r="3025" spans="2:12" x14ac:dyDescent="0.3">
      <c r="B3025" s="25">
        <v>3038</v>
      </c>
      <c r="C3025" s="33">
        <v>51202</v>
      </c>
      <c r="D3025" s="33" t="s">
        <v>404</v>
      </c>
      <c r="E3025" s="35">
        <v>44988</v>
      </c>
      <c r="F3025" s="33">
        <v>1</v>
      </c>
      <c r="G3025" s="33" t="s">
        <v>122</v>
      </c>
      <c r="H3025" s="33" t="s">
        <v>69</v>
      </c>
      <c r="I3025" s="33" t="s">
        <v>196</v>
      </c>
      <c r="J3025" s="34">
        <v>3853</v>
      </c>
      <c r="K3025" s="34"/>
      <c r="L3025" s="34">
        <v>3853</v>
      </c>
    </row>
    <row r="3026" spans="2:12" x14ac:dyDescent="0.3">
      <c r="B3026" s="25">
        <v>3039</v>
      </c>
      <c r="C3026" s="33">
        <v>51203</v>
      </c>
      <c r="D3026" s="33" t="s">
        <v>400</v>
      </c>
      <c r="E3026" s="35">
        <v>44988</v>
      </c>
      <c r="F3026" s="33">
        <v>1</v>
      </c>
      <c r="G3026" s="33" t="s">
        <v>231</v>
      </c>
      <c r="H3026" s="33" t="s">
        <v>69</v>
      </c>
      <c r="I3026" s="33" t="s">
        <v>198</v>
      </c>
      <c r="J3026" s="34">
        <v>2775.17</v>
      </c>
      <c r="K3026" s="34"/>
      <c r="L3026" s="34">
        <v>2775.17</v>
      </c>
    </row>
    <row r="3027" spans="2:12" x14ac:dyDescent="0.3">
      <c r="B3027" s="25">
        <v>3040</v>
      </c>
      <c r="C3027" s="33" t="s">
        <v>1563</v>
      </c>
      <c r="D3027" s="33" t="s">
        <v>400</v>
      </c>
      <c r="E3027" s="35">
        <v>44988</v>
      </c>
      <c r="F3027" s="33">
        <v>1</v>
      </c>
      <c r="G3027" s="33" t="s">
        <v>231</v>
      </c>
      <c r="H3027" s="33" t="s">
        <v>69</v>
      </c>
      <c r="I3027" s="33" t="s">
        <v>198</v>
      </c>
      <c r="J3027" s="34">
        <v>925.36</v>
      </c>
      <c r="K3027" s="34"/>
      <c r="L3027" s="34">
        <v>925.36</v>
      </c>
    </row>
    <row r="3028" spans="2:12" x14ac:dyDescent="0.3">
      <c r="B3028" s="25">
        <v>3041</v>
      </c>
      <c r="C3028" s="33" t="s">
        <v>1564</v>
      </c>
      <c r="D3028" s="33" t="s">
        <v>400</v>
      </c>
      <c r="E3028" s="35">
        <v>44988</v>
      </c>
      <c r="F3028" s="33">
        <v>1</v>
      </c>
      <c r="G3028" s="33" t="s">
        <v>231</v>
      </c>
      <c r="H3028" s="33" t="s">
        <v>69</v>
      </c>
      <c r="I3028" s="33" t="s">
        <v>198</v>
      </c>
      <c r="J3028" s="34">
        <v>1222</v>
      </c>
      <c r="K3028" s="34"/>
      <c r="L3028" s="34">
        <v>1222</v>
      </c>
    </row>
    <row r="3029" spans="2:12" x14ac:dyDescent="0.3">
      <c r="B3029" s="25">
        <v>3042</v>
      </c>
      <c r="C3029" s="33">
        <v>3580</v>
      </c>
      <c r="D3029" s="33" t="s">
        <v>410</v>
      </c>
      <c r="E3029" s="35">
        <v>44993</v>
      </c>
      <c r="F3029" s="33">
        <v>1</v>
      </c>
      <c r="G3029" s="33" t="s">
        <v>231</v>
      </c>
      <c r="H3029" s="33" t="s">
        <v>69</v>
      </c>
      <c r="I3029" s="33" t="s">
        <v>198</v>
      </c>
      <c r="J3029" s="34">
        <v>6875.53</v>
      </c>
      <c r="K3029" s="34"/>
      <c r="L3029" s="34">
        <v>6875.53</v>
      </c>
    </row>
    <row r="3030" spans="2:12" x14ac:dyDescent="0.3">
      <c r="B3030" s="25">
        <v>3043</v>
      </c>
      <c r="C3030" s="33">
        <v>51270</v>
      </c>
      <c r="D3030" s="33" t="s">
        <v>400</v>
      </c>
      <c r="E3030" s="35">
        <v>45055</v>
      </c>
      <c r="F3030" s="33">
        <v>2</v>
      </c>
      <c r="G3030" s="33" t="s">
        <v>231</v>
      </c>
      <c r="H3030" s="33" t="s">
        <v>69</v>
      </c>
      <c r="I3030" s="33" t="s">
        <v>198</v>
      </c>
      <c r="J3030" s="34">
        <v>1240.2</v>
      </c>
      <c r="K3030" s="34"/>
      <c r="L3030" s="34">
        <v>1240.2</v>
      </c>
    </row>
    <row r="3031" spans="2:12" x14ac:dyDescent="0.3">
      <c r="B3031" s="25">
        <v>3044</v>
      </c>
      <c r="C3031" s="33">
        <v>51271</v>
      </c>
      <c r="D3031" s="33" t="s">
        <v>400</v>
      </c>
      <c r="E3031" s="35">
        <v>44994</v>
      </c>
      <c r="F3031" s="33">
        <v>1</v>
      </c>
      <c r="G3031" s="33" t="s">
        <v>231</v>
      </c>
      <c r="H3031" s="33" t="s">
        <v>69</v>
      </c>
      <c r="I3031" s="33" t="s">
        <v>198</v>
      </c>
      <c r="J3031" s="34">
        <v>1417.5</v>
      </c>
      <c r="K3031" s="34"/>
      <c r="L3031" s="34">
        <v>1417.5</v>
      </c>
    </row>
    <row r="3032" spans="2:12" x14ac:dyDescent="0.3">
      <c r="B3032" s="25">
        <v>3045</v>
      </c>
      <c r="C3032" s="33">
        <v>51272</v>
      </c>
      <c r="D3032" s="33" t="s">
        <v>400</v>
      </c>
      <c r="E3032" s="35">
        <v>44994</v>
      </c>
      <c r="F3032" s="33">
        <v>1</v>
      </c>
      <c r="G3032" s="33" t="s">
        <v>231</v>
      </c>
      <c r="H3032" s="33" t="s">
        <v>69</v>
      </c>
      <c r="I3032" s="33" t="s">
        <v>198</v>
      </c>
      <c r="J3032" s="34">
        <v>1737.9</v>
      </c>
      <c r="K3032" s="34"/>
      <c r="L3032" s="34">
        <v>1737.9</v>
      </c>
    </row>
    <row r="3033" spans="2:12" x14ac:dyDescent="0.3">
      <c r="B3033" s="25">
        <v>3046</v>
      </c>
      <c r="C3033" s="33">
        <v>51273</v>
      </c>
      <c r="D3033" s="33" t="s">
        <v>400</v>
      </c>
      <c r="E3033" s="35">
        <v>44994</v>
      </c>
      <c r="F3033" s="33">
        <v>1</v>
      </c>
      <c r="G3033" s="33" t="s">
        <v>231</v>
      </c>
      <c r="H3033" s="33" t="s">
        <v>69</v>
      </c>
      <c r="I3033" s="33" t="s">
        <v>198</v>
      </c>
      <c r="J3033" s="34">
        <v>27.64</v>
      </c>
      <c r="K3033" s="34"/>
      <c r="L3033" s="34">
        <v>27.64</v>
      </c>
    </row>
    <row r="3034" spans="2:12" x14ac:dyDescent="0.3">
      <c r="B3034" s="25">
        <v>3047</v>
      </c>
      <c r="C3034" s="33">
        <v>51274</v>
      </c>
      <c r="D3034" s="33" t="s">
        <v>401</v>
      </c>
      <c r="E3034" s="35">
        <v>44994</v>
      </c>
      <c r="F3034" s="33">
        <v>1</v>
      </c>
      <c r="G3034" s="33" t="s">
        <v>231</v>
      </c>
      <c r="H3034" s="33" t="s">
        <v>69</v>
      </c>
      <c r="I3034" s="33" t="s">
        <v>198</v>
      </c>
      <c r="J3034" s="34">
        <v>1392</v>
      </c>
      <c r="K3034" s="34"/>
      <c r="L3034" s="34">
        <v>1392</v>
      </c>
    </row>
    <row r="3035" spans="2:12" x14ac:dyDescent="0.3">
      <c r="B3035" s="25">
        <v>3048</v>
      </c>
      <c r="C3035" s="33">
        <v>51277</v>
      </c>
      <c r="D3035" s="33" t="s">
        <v>404</v>
      </c>
      <c r="E3035" s="35">
        <v>44994</v>
      </c>
      <c r="F3035" s="33">
        <v>1</v>
      </c>
      <c r="G3035" s="33" t="s">
        <v>122</v>
      </c>
      <c r="H3035" s="33" t="s">
        <v>69</v>
      </c>
      <c r="I3035" s="33" t="s">
        <v>196</v>
      </c>
      <c r="J3035" s="34">
        <v>359</v>
      </c>
      <c r="K3035" s="34"/>
      <c r="L3035" s="34">
        <v>359</v>
      </c>
    </row>
    <row r="3036" spans="2:12" x14ac:dyDescent="0.3">
      <c r="B3036" s="25">
        <v>3049</v>
      </c>
      <c r="C3036" s="33">
        <v>51282</v>
      </c>
      <c r="D3036" s="33" t="s">
        <v>281</v>
      </c>
      <c r="E3036" s="35">
        <v>44994</v>
      </c>
      <c r="F3036" s="33">
        <v>1</v>
      </c>
      <c r="G3036" s="33" t="s">
        <v>124</v>
      </c>
      <c r="H3036" s="33" t="s">
        <v>69</v>
      </c>
      <c r="I3036" s="33" t="s">
        <v>197</v>
      </c>
      <c r="J3036" s="34">
        <v>1678.99</v>
      </c>
      <c r="K3036" s="34"/>
      <c r="L3036" s="34">
        <v>1678.99</v>
      </c>
    </row>
    <row r="3037" spans="2:12" x14ac:dyDescent="0.3">
      <c r="B3037" s="25">
        <v>3050</v>
      </c>
      <c r="C3037" s="33">
        <v>51343</v>
      </c>
      <c r="D3037" s="33" t="s">
        <v>805</v>
      </c>
      <c r="E3037" s="35">
        <v>44995</v>
      </c>
      <c r="F3037" s="33">
        <v>1</v>
      </c>
      <c r="G3037" s="33" t="s">
        <v>231</v>
      </c>
      <c r="H3037" s="33" t="s">
        <v>69</v>
      </c>
      <c r="I3037" s="33" t="s">
        <v>198</v>
      </c>
      <c r="J3037" s="34">
        <v>3340.5</v>
      </c>
      <c r="K3037" s="34"/>
      <c r="L3037" s="34">
        <v>3340.5</v>
      </c>
    </row>
    <row r="3038" spans="2:12" x14ac:dyDescent="0.3">
      <c r="B3038" s="25">
        <v>3051</v>
      </c>
      <c r="C3038" s="33">
        <v>51367</v>
      </c>
      <c r="D3038" s="33" t="s">
        <v>414</v>
      </c>
      <c r="E3038" s="35">
        <v>44995</v>
      </c>
      <c r="F3038" s="33">
        <v>1</v>
      </c>
      <c r="G3038" s="33" t="s">
        <v>122</v>
      </c>
      <c r="H3038" s="33" t="s">
        <v>69</v>
      </c>
      <c r="I3038" s="33" t="s">
        <v>196</v>
      </c>
      <c r="J3038" s="34">
        <v>39.5</v>
      </c>
      <c r="K3038" s="34"/>
      <c r="L3038" s="34">
        <v>39.5</v>
      </c>
    </row>
    <row r="3039" spans="2:12" x14ac:dyDescent="0.3">
      <c r="B3039" s="25">
        <v>3052</v>
      </c>
      <c r="C3039" s="33">
        <v>51420</v>
      </c>
      <c r="D3039" s="33" t="s">
        <v>281</v>
      </c>
      <c r="E3039" s="35">
        <v>45001</v>
      </c>
      <c r="F3039" s="33">
        <v>1</v>
      </c>
      <c r="G3039" s="33" t="s">
        <v>124</v>
      </c>
      <c r="H3039" s="33" t="s">
        <v>69</v>
      </c>
      <c r="I3039" s="33" t="s">
        <v>197</v>
      </c>
      <c r="J3039" s="34">
        <v>4127.8999999999996</v>
      </c>
      <c r="K3039" s="34"/>
      <c r="L3039" s="34">
        <v>4127.8999999999996</v>
      </c>
    </row>
    <row r="3040" spans="2:12" x14ac:dyDescent="0.3">
      <c r="B3040" s="25">
        <v>3053</v>
      </c>
      <c r="C3040" s="33">
        <v>51527</v>
      </c>
      <c r="D3040" s="33" t="s">
        <v>404</v>
      </c>
      <c r="E3040" s="35">
        <v>45002</v>
      </c>
      <c r="F3040" s="33">
        <v>1</v>
      </c>
      <c r="G3040" s="33" t="s">
        <v>122</v>
      </c>
      <c r="H3040" s="33" t="s">
        <v>69</v>
      </c>
      <c r="I3040" s="33" t="s">
        <v>196</v>
      </c>
      <c r="J3040" s="34">
        <v>3072</v>
      </c>
      <c r="K3040" s="34"/>
      <c r="L3040" s="34">
        <v>3072</v>
      </c>
    </row>
    <row r="3041" spans="2:12" x14ac:dyDescent="0.3">
      <c r="B3041" s="25">
        <v>3054</v>
      </c>
      <c r="C3041" s="33" t="s">
        <v>1565</v>
      </c>
      <c r="D3041" s="33" t="s">
        <v>234</v>
      </c>
      <c r="E3041" s="35">
        <v>45002</v>
      </c>
      <c r="F3041" s="33">
        <v>1</v>
      </c>
      <c r="G3041" s="33" t="s">
        <v>122</v>
      </c>
      <c r="H3041" s="33" t="s">
        <v>69</v>
      </c>
      <c r="I3041" s="33" t="s">
        <v>196</v>
      </c>
      <c r="J3041" s="34">
        <v>5706.46</v>
      </c>
      <c r="K3041" s="34"/>
      <c r="L3041" s="34">
        <v>5706.46</v>
      </c>
    </row>
    <row r="3042" spans="2:12" x14ac:dyDescent="0.3">
      <c r="B3042" s="25">
        <v>3055</v>
      </c>
      <c r="C3042" s="33" t="s">
        <v>1566</v>
      </c>
      <c r="D3042" s="33" t="s">
        <v>410</v>
      </c>
      <c r="E3042" s="35">
        <v>45007</v>
      </c>
      <c r="F3042" s="33">
        <v>1</v>
      </c>
      <c r="G3042" s="33" t="s">
        <v>231</v>
      </c>
      <c r="H3042" s="33" t="s">
        <v>69</v>
      </c>
      <c r="I3042" s="33" t="s">
        <v>198</v>
      </c>
      <c r="J3042" s="34">
        <v>5434.5</v>
      </c>
      <c r="K3042" s="34"/>
      <c r="L3042" s="34">
        <v>5434.5</v>
      </c>
    </row>
    <row r="3043" spans="2:12" x14ac:dyDescent="0.3">
      <c r="B3043" s="25">
        <v>3056</v>
      </c>
      <c r="C3043" s="33">
        <v>51599</v>
      </c>
      <c r="D3043" s="33" t="s">
        <v>411</v>
      </c>
      <c r="E3043" s="35">
        <v>45008</v>
      </c>
      <c r="F3043" s="33">
        <v>1</v>
      </c>
      <c r="G3043" s="33" t="s">
        <v>122</v>
      </c>
      <c r="H3043" s="33" t="s">
        <v>69</v>
      </c>
      <c r="I3043" s="33" t="s">
        <v>196</v>
      </c>
      <c r="J3043" s="34">
        <v>6136.5</v>
      </c>
      <c r="K3043" s="34"/>
      <c r="L3043" s="34">
        <v>6136.5</v>
      </c>
    </row>
    <row r="3044" spans="2:12" x14ac:dyDescent="0.3">
      <c r="B3044" s="25">
        <v>3057</v>
      </c>
      <c r="C3044" s="33" t="s">
        <v>1567</v>
      </c>
      <c r="D3044" s="33" t="s">
        <v>400</v>
      </c>
      <c r="E3044" s="35">
        <v>45009</v>
      </c>
      <c r="F3044" s="33">
        <v>1</v>
      </c>
      <c r="G3044" s="33" t="s">
        <v>231</v>
      </c>
      <c r="H3044" s="33" t="s">
        <v>69</v>
      </c>
      <c r="I3044" s="33" t="s">
        <v>198</v>
      </c>
      <c r="J3044" s="34">
        <v>492.75</v>
      </c>
      <c r="K3044" s="34"/>
      <c r="L3044" s="34">
        <v>492.75</v>
      </c>
    </row>
    <row r="3045" spans="2:12" x14ac:dyDescent="0.3">
      <c r="B3045" s="25">
        <v>3058</v>
      </c>
      <c r="C3045" s="33">
        <v>51627</v>
      </c>
      <c r="D3045" s="33" t="s">
        <v>400</v>
      </c>
      <c r="E3045" s="35">
        <v>45009</v>
      </c>
      <c r="F3045" s="33">
        <v>1</v>
      </c>
      <c r="G3045" s="33" t="s">
        <v>231</v>
      </c>
      <c r="H3045" s="33" t="s">
        <v>69</v>
      </c>
      <c r="I3045" s="33" t="s">
        <v>198</v>
      </c>
      <c r="J3045" s="34">
        <v>3420.9</v>
      </c>
      <c r="K3045" s="34"/>
      <c r="L3045" s="34">
        <v>3420.9</v>
      </c>
    </row>
    <row r="3046" spans="2:12" x14ac:dyDescent="0.3">
      <c r="B3046" s="25">
        <v>3059</v>
      </c>
      <c r="C3046" s="33">
        <v>51628</v>
      </c>
      <c r="D3046" s="33" t="s">
        <v>400</v>
      </c>
      <c r="E3046" s="35">
        <v>45009</v>
      </c>
      <c r="F3046" s="33">
        <v>1</v>
      </c>
      <c r="G3046" s="33" t="s">
        <v>231</v>
      </c>
      <c r="H3046" s="33" t="s">
        <v>69</v>
      </c>
      <c r="I3046" s="33" t="s">
        <v>198</v>
      </c>
      <c r="J3046" s="34">
        <v>2069.4699999999998</v>
      </c>
      <c r="K3046" s="34"/>
      <c r="L3046" s="34">
        <v>2069.4699999999998</v>
      </c>
    </row>
    <row r="3047" spans="2:12" x14ac:dyDescent="0.3">
      <c r="B3047" s="25">
        <v>3060</v>
      </c>
      <c r="C3047" s="33">
        <v>51629</v>
      </c>
      <c r="D3047" s="33" t="s">
        <v>400</v>
      </c>
      <c r="E3047" s="35">
        <v>45009</v>
      </c>
      <c r="F3047" s="33">
        <v>1</v>
      </c>
      <c r="G3047" s="33" t="s">
        <v>231</v>
      </c>
      <c r="H3047" s="33" t="s">
        <v>69</v>
      </c>
      <c r="I3047" s="33" t="s">
        <v>198</v>
      </c>
      <c r="J3047" s="34">
        <v>190.35</v>
      </c>
      <c r="K3047" s="34"/>
      <c r="L3047" s="34">
        <v>190.35</v>
      </c>
    </row>
    <row r="3048" spans="2:12" x14ac:dyDescent="0.3">
      <c r="B3048" s="25">
        <v>3061</v>
      </c>
      <c r="C3048" s="33">
        <v>51630</v>
      </c>
      <c r="D3048" s="33" t="s">
        <v>400</v>
      </c>
      <c r="E3048" s="35">
        <v>45009</v>
      </c>
      <c r="F3048" s="33">
        <v>1</v>
      </c>
      <c r="G3048" s="33" t="s">
        <v>231</v>
      </c>
      <c r="H3048" s="33" t="s">
        <v>69</v>
      </c>
      <c r="I3048" s="33" t="s">
        <v>198</v>
      </c>
      <c r="J3048" s="34">
        <v>2563.1999999999998</v>
      </c>
      <c r="K3048" s="34"/>
      <c r="L3048" s="34">
        <v>2563.1999999999998</v>
      </c>
    </row>
    <row r="3049" spans="2:12" x14ac:dyDescent="0.3">
      <c r="B3049" s="25">
        <v>3062</v>
      </c>
      <c r="C3049" s="33">
        <v>51631</v>
      </c>
      <c r="D3049" s="33" t="s">
        <v>400</v>
      </c>
      <c r="E3049" s="35">
        <v>45009</v>
      </c>
      <c r="F3049" s="33">
        <v>1</v>
      </c>
      <c r="G3049" s="33" t="s">
        <v>231</v>
      </c>
      <c r="H3049" s="33" t="s">
        <v>69</v>
      </c>
      <c r="I3049" s="33" t="s">
        <v>198</v>
      </c>
      <c r="J3049" s="34">
        <v>56.74</v>
      </c>
      <c r="K3049" s="34"/>
      <c r="L3049" s="34">
        <v>56.74</v>
      </c>
    </row>
    <row r="3050" spans="2:12" x14ac:dyDescent="0.3">
      <c r="B3050" s="25">
        <v>3063</v>
      </c>
      <c r="C3050" s="33">
        <v>51632</v>
      </c>
      <c r="D3050" s="33" t="s">
        <v>400</v>
      </c>
      <c r="E3050" s="35">
        <v>45009</v>
      </c>
      <c r="F3050" s="33">
        <v>1</v>
      </c>
      <c r="G3050" s="33" t="s">
        <v>231</v>
      </c>
      <c r="H3050" s="33" t="s">
        <v>69</v>
      </c>
      <c r="I3050" s="33" t="s">
        <v>198</v>
      </c>
      <c r="J3050" s="34">
        <v>298.26</v>
      </c>
      <c r="K3050" s="34"/>
      <c r="L3050" s="34">
        <v>298.26</v>
      </c>
    </row>
    <row r="3051" spans="2:12" x14ac:dyDescent="0.3">
      <c r="B3051" s="25">
        <v>3064</v>
      </c>
      <c r="C3051" s="33">
        <v>51633</v>
      </c>
      <c r="D3051" s="33" t="s">
        <v>400</v>
      </c>
      <c r="E3051" s="35">
        <v>45009</v>
      </c>
      <c r="F3051" s="33">
        <v>1</v>
      </c>
      <c r="G3051" s="33" t="s">
        <v>231</v>
      </c>
      <c r="H3051" s="33" t="s">
        <v>69</v>
      </c>
      <c r="I3051" s="33" t="s">
        <v>198</v>
      </c>
      <c r="J3051" s="34">
        <v>288.56</v>
      </c>
      <c r="K3051" s="34"/>
      <c r="L3051" s="34">
        <v>288.56</v>
      </c>
    </row>
    <row r="3052" spans="2:12" x14ac:dyDescent="0.3">
      <c r="B3052" s="25">
        <v>3065</v>
      </c>
      <c r="C3052" s="33">
        <v>51634</v>
      </c>
      <c r="D3052" s="33" t="s">
        <v>400</v>
      </c>
      <c r="E3052" s="35">
        <v>45009</v>
      </c>
      <c r="F3052" s="33">
        <v>1</v>
      </c>
      <c r="G3052" s="33" t="s">
        <v>231</v>
      </c>
      <c r="H3052" s="33" t="s">
        <v>69</v>
      </c>
      <c r="I3052" s="33" t="s">
        <v>198</v>
      </c>
      <c r="J3052" s="34">
        <v>154.21</v>
      </c>
      <c r="K3052" s="34"/>
      <c r="L3052" s="34">
        <v>154.21</v>
      </c>
    </row>
    <row r="3053" spans="2:12" x14ac:dyDescent="0.3">
      <c r="B3053" s="25">
        <v>3066</v>
      </c>
      <c r="C3053" s="33" t="s">
        <v>1568</v>
      </c>
      <c r="D3053" s="33" t="s">
        <v>400</v>
      </c>
      <c r="E3053" s="35">
        <v>45009</v>
      </c>
      <c r="F3053" s="33">
        <v>1</v>
      </c>
      <c r="G3053" s="33" t="s">
        <v>231</v>
      </c>
      <c r="H3053" s="33" t="s">
        <v>69</v>
      </c>
      <c r="I3053" s="33" t="s">
        <v>198</v>
      </c>
      <c r="J3053" s="34">
        <v>68.37</v>
      </c>
      <c r="K3053" s="34"/>
      <c r="L3053" s="34">
        <v>68.37</v>
      </c>
    </row>
    <row r="3054" spans="2:12" x14ac:dyDescent="0.3">
      <c r="B3054" s="25">
        <v>3067</v>
      </c>
      <c r="C3054" s="33">
        <v>51636</v>
      </c>
      <c r="D3054" s="33" t="s">
        <v>409</v>
      </c>
      <c r="E3054" s="35">
        <v>45009</v>
      </c>
      <c r="F3054" s="33">
        <v>1</v>
      </c>
      <c r="G3054" s="33" t="s">
        <v>231</v>
      </c>
      <c r="H3054" s="33" t="s">
        <v>69</v>
      </c>
      <c r="I3054" s="33" t="s">
        <v>198</v>
      </c>
      <c r="J3054" s="34">
        <v>813.66</v>
      </c>
      <c r="K3054" s="34"/>
      <c r="L3054" s="34">
        <v>813.66</v>
      </c>
    </row>
    <row r="3055" spans="2:12" x14ac:dyDescent="0.3">
      <c r="B3055" s="25">
        <v>3068</v>
      </c>
      <c r="C3055" s="33">
        <v>51638</v>
      </c>
      <c r="D3055" s="33" t="s">
        <v>805</v>
      </c>
      <c r="E3055" s="35">
        <v>45009</v>
      </c>
      <c r="F3055" s="33">
        <v>1</v>
      </c>
      <c r="G3055" s="33" t="s">
        <v>231</v>
      </c>
      <c r="H3055" s="33" t="s">
        <v>69</v>
      </c>
      <c r="I3055" s="33" t="s">
        <v>198</v>
      </c>
      <c r="J3055" s="34">
        <v>3199</v>
      </c>
      <c r="K3055" s="34"/>
      <c r="L3055" s="34">
        <v>3199</v>
      </c>
    </row>
    <row r="3056" spans="2:12" x14ac:dyDescent="0.3">
      <c r="B3056" s="25">
        <v>3069</v>
      </c>
      <c r="C3056" s="33" t="s">
        <v>1569</v>
      </c>
      <c r="D3056" s="33" t="s">
        <v>410</v>
      </c>
      <c r="E3056" s="35">
        <v>45014</v>
      </c>
      <c r="F3056" s="33">
        <v>1</v>
      </c>
      <c r="G3056" s="33" t="s">
        <v>231</v>
      </c>
      <c r="H3056" s="33" t="s">
        <v>69</v>
      </c>
      <c r="I3056" s="33" t="s">
        <v>198</v>
      </c>
      <c r="J3056" s="34">
        <v>4759.5</v>
      </c>
      <c r="K3056" s="34"/>
      <c r="L3056" s="34">
        <v>4759.5</v>
      </c>
    </row>
    <row r="3057" spans="2:12" x14ac:dyDescent="0.3">
      <c r="B3057" s="25">
        <v>3070</v>
      </c>
      <c r="C3057" s="33" t="s">
        <v>1570</v>
      </c>
      <c r="D3057" s="33" t="s">
        <v>1571</v>
      </c>
      <c r="E3057" s="35">
        <v>44953</v>
      </c>
      <c r="F3057" s="33">
        <v>1</v>
      </c>
      <c r="G3057" s="33" t="s">
        <v>122</v>
      </c>
      <c r="H3057" s="33" t="s">
        <v>630</v>
      </c>
      <c r="I3057" s="33" t="s">
        <v>196</v>
      </c>
      <c r="J3057" s="34">
        <v>1488</v>
      </c>
      <c r="K3057" s="34"/>
      <c r="L3057" s="34">
        <v>1488</v>
      </c>
    </row>
    <row r="3058" spans="2:12" x14ac:dyDescent="0.3">
      <c r="B3058" s="25">
        <v>3071</v>
      </c>
      <c r="C3058" s="33">
        <v>384240</v>
      </c>
      <c r="D3058" s="33" t="s">
        <v>921</v>
      </c>
      <c r="E3058" s="35">
        <v>45020</v>
      </c>
      <c r="F3058" s="33">
        <v>2</v>
      </c>
      <c r="G3058" s="33" t="s">
        <v>122</v>
      </c>
      <c r="H3058" s="33" t="s">
        <v>200</v>
      </c>
      <c r="I3058" s="33" t="s">
        <v>196</v>
      </c>
      <c r="J3058" s="34">
        <v>1043.46</v>
      </c>
      <c r="K3058" s="34"/>
      <c r="L3058" s="34">
        <v>1043.46</v>
      </c>
    </row>
    <row r="3059" spans="2:12" x14ac:dyDescent="0.3">
      <c r="B3059" s="25">
        <v>3072</v>
      </c>
      <c r="C3059" s="33" t="s">
        <v>1457</v>
      </c>
      <c r="D3059" s="33" t="s">
        <v>921</v>
      </c>
      <c r="E3059" s="35">
        <v>45000</v>
      </c>
      <c r="F3059" s="33">
        <v>1</v>
      </c>
      <c r="G3059" s="33" t="s">
        <v>231</v>
      </c>
      <c r="H3059" s="33" t="s">
        <v>200</v>
      </c>
      <c r="I3059" s="33" t="s">
        <v>198</v>
      </c>
      <c r="J3059" s="34">
        <v>1517.76</v>
      </c>
      <c r="K3059" s="34"/>
      <c r="L3059" s="34">
        <v>1517.76</v>
      </c>
    </row>
    <row r="3060" spans="2:12" x14ac:dyDescent="0.3">
      <c r="B3060" s="25">
        <v>3073</v>
      </c>
      <c r="C3060" s="33">
        <v>1189</v>
      </c>
      <c r="D3060" s="33" t="s">
        <v>1572</v>
      </c>
      <c r="E3060" s="35">
        <v>45008</v>
      </c>
      <c r="F3060" s="33">
        <v>1</v>
      </c>
      <c r="G3060" s="33" t="s">
        <v>122</v>
      </c>
      <c r="H3060" s="33" t="s">
        <v>71</v>
      </c>
      <c r="I3060" s="33" t="s">
        <v>196</v>
      </c>
      <c r="J3060" s="34">
        <v>1755.72</v>
      </c>
      <c r="K3060" s="34"/>
      <c r="L3060" s="34">
        <v>1755.72</v>
      </c>
    </row>
    <row r="3061" spans="2:12" x14ac:dyDescent="0.3">
      <c r="B3061" s="25">
        <v>3074</v>
      </c>
      <c r="C3061" s="33">
        <v>8190</v>
      </c>
      <c r="D3061" s="33" t="s">
        <v>1573</v>
      </c>
      <c r="E3061" s="35">
        <v>45028</v>
      </c>
      <c r="F3061" s="33">
        <v>2</v>
      </c>
      <c r="G3061" s="33" t="s">
        <v>122</v>
      </c>
      <c r="H3061" s="33" t="s">
        <v>73</v>
      </c>
      <c r="I3061" s="33" t="s">
        <v>196</v>
      </c>
      <c r="J3061" s="34">
        <v>1751.29</v>
      </c>
      <c r="K3061" s="34"/>
      <c r="L3061" s="34">
        <v>1751.29</v>
      </c>
    </row>
    <row r="3062" spans="2:12" x14ac:dyDescent="0.3">
      <c r="B3062" s="25">
        <v>3075</v>
      </c>
      <c r="C3062" s="33">
        <v>1687</v>
      </c>
      <c r="D3062" s="33" t="s">
        <v>1574</v>
      </c>
      <c r="E3062" s="35">
        <v>45001</v>
      </c>
      <c r="F3062" s="33">
        <v>1</v>
      </c>
      <c r="G3062" s="33" t="s">
        <v>122</v>
      </c>
      <c r="H3062" s="33" t="s">
        <v>201</v>
      </c>
      <c r="I3062" s="33" t="s">
        <v>196</v>
      </c>
      <c r="J3062" s="34">
        <v>4691.3900000000003</v>
      </c>
      <c r="K3062" s="34"/>
      <c r="L3062" s="34">
        <v>4691.3900000000003</v>
      </c>
    </row>
    <row r="3063" spans="2:12" x14ac:dyDescent="0.3">
      <c r="B3063" s="25">
        <v>3076</v>
      </c>
      <c r="C3063" s="33" t="s">
        <v>1465</v>
      </c>
      <c r="D3063" s="33" t="s">
        <v>1575</v>
      </c>
      <c r="E3063" s="35">
        <v>45030</v>
      </c>
      <c r="F3063" s="33">
        <v>2</v>
      </c>
      <c r="G3063" s="33" t="s">
        <v>122</v>
      </c>
      <c r="H3063" s="33" t="s">
        <v>629</v>
      </c>
      <c r="I3063" s="33" t="s">
        <v>196</v>
      </c>
      <c r="J3063" s="34">
        <v>1808</v>
      </c>
      <c r="K3063" s="34">
        <v>80</v>
      </c>
      <c r="L3063" s="34">
        <v>1728</v>
      </c>
    </row>
    <row r="3064" spans="2:12" x14ac:dyDescent="0.3">
      <c r="B3064" s="25">
        <v>3077</v>
      </c>
      <c r="C3064" s="33" t="s">
        <v>1463</v>
      </c>
      <c r="D3064" s="33" t="s">
        <v>1575</v>
      </c>
      <c r="E3064" s="35">
        <v>45028</v>
      </c>
      <c r="F3064" s="33">
        <v>2</v>
      </c>
      <c r="G3064" s="33" t="s">
        <v>628</v>
      </c>
      <c r="H3064" s="33" t="s">
        <v>629</v>
      </c>
      <c r="I3064" s="33" t="s">
        <v>75</v>
      </c>
      <c r="J3064" s="34">
        <v>22491.5</v>
      </c>
      <c r="K3064" s="34">
        <v>80</v>
      </c>
      <c r="L3064" s="34">
        <v>22411.5</v>
      </c>
    </row>
    <row r="3065" spans="2:12" x14ac:dyDescent="0.3">
      <c r="B3065" s="25">
        <v>3078</v>
      </c>
      <c r="C3065" s="33">
        <v>892</v>
      </c>
      <c r="D3065" s="33" t="s">
        <v>1069</v>
      </c>
      <c r="E3065" s="35">
        <v>44986</v>
      </c>
      <c r="F3065" s="33">
        <v>1</v>
      </c>
      <c r="G3065" s="33" t="s">
        <v>122</v>
      </c>
      <c r="H3065" s="33" t="s">
        <v>71</v>
      </c>
      <c r="I3065" s="33" t="s">
        <v>196</v>
      </c>
      <c r="J3065" s="34">
        <v>459.47</v>
      </c>
      <c r="K3065" s="34">
        <v>80</v>
      </c>
      <c r="L3065" s="34">
        <v>379.47</v>
      </c>
    </row>
    <row r="3066" spans="2:12" x14ac:dyDescent="0.3">
      <c r="B3066" s="25">
        <v>3079</v>
      </c>
      <c r="C3066" s="33">
        <v>897</v>
      </c>
      <c r="D3066" s="33" t="s">
        <v>277</v>
      </c>
      <c r="E3066" s="35">
        <v>44986</v>
      </c>
      <c r="F3066" s="33">
        <v>1</v>
      </c>
      <c r="G3066" s="33" t="s">
        <v>124</v>
      </c>
      <c r="H3066" s="33" t="s">
        <v>71</v>
      </c>
      <c r="I3066" s="33" t="s">
        <v>197</v>
      </c>
      <c r="J3066" s="34">
        <v>1411.38</v>
      </c>
      <c r="K3066" s="34">
        <v>40</v>
      </c>
      <c r="L3066" s="34">
        <v>1371.38</v>
      </c>
    </row>
    <row r="3067" spans="2:12" x14ac:dyDescent="0.3">
      <c r="B3067" s="25">
        <v>3080</v>
      </c>
      <c r="C3067" s="33" t="s">
        <v>1576</v>
      </c>
      <c r="D3067" s="33" t="s">
        <v>1577</v>
      </c>
      <c r="E3067" s="35">
        <v>44987</v>
      </c>
      <c r="F3067" s="33">
        <v>1</v>
      </c>
      <c r="G3067" s="33" t="s">
        <v>628</v>
      </c>
      <c r="H3067" s="33" t="s">
        <v>71</v>
      </c>
      <c r="I3067" s="33" t="s">
        <v>75</v>
      </c>
      <c r="J3067" s="34">
        <v>689.88</v>
      </c>
      <c r="K3067" s="34">
        <v>80</v>
      </c>
      <c r="L3067" s="34">
        <v>609.88</v>
      </c>
    </row>
    <row r="3068" spans="2:12" x14ac:dyDescent="0.3">
      <c r="B3068" s="25">
        <v>3081</v>
      </c>
      <c r="C3068" s="33">
        <v>949</v>
      </c>
      <c r="D3068" s="33" t="s">
        <v>1495</v>
      </c>
      <c r="E3068" s="35">
        <v>44988</v>
      </c>
      <c r="F3068" s="33">
        <v>1</v>
      </c>
      <c r="G3068" s="33" t="s">
        <v>124</v>
      </c>
      <c r="H3068" s="33" t="s">
        <v>71</v>
      </c>
      <c r="I3068" s="33" t="s">
        <v>197</v>
      </c>
      <c r="J3068" s="34">
        <v>626.54999999999995</v>
      </c>
      <c r="K3068" s="34">
        <v>80</v>
      </c>
      <c r="L3068" s="34">
        <v>546.54999999999995</v>
      </c>
    </row>
    <row r="3069" spans="2:12" x14ac:dyDescent="0.3">
      <c r="B3069" s="25">
        <v>3082</v>
      </c>
      <c r="C3069" s="33" t="s">
        <v>1578</v>
      </c>
      <c r="D3069" s="33" t="s">
        <v>1579</v>
      </c>
      <c r="E3069" s="35">
        <v>44993</v>
      </c>
      <c r="F3069" s="33">
        <v>1</v>
      </c>
      <c r="G3069" s="33" t="s">
        <v>124</v>
      </c>
      <c r="H3069" s="33" t="s">
        <v>71</v>
      </c>
      <c r="I3069" s="33" t="s">
        <v>197</v>
      </c>
      <c r="J3069" s="34">
        <v>1125.3</v>
      </c>
      <c r="K3069" s="34"/>
      <c r="L3069" s="34">
        <v>1125.3</v>
      </c>
    </row>
    <row r="3070" spans="2:12" x14ac:dyDescent="0.3">
      <c r="B3070" s="25">
        <v>3083</v>
      </c>
      <c r="C3070" s="33">
        <v>1013</v>
      </c>
      <c r="D3070" s="33" t="s">
        <v>1580</v>
      </c>
      <c r="E3070" s="35">
        <v>44995</v>
      </c>
      <c r="F3070" s="33">
        <v>1</v>
      </c>
      <c r="G3070" s="33" t="s">
        <v>628</v>
      </c>
      <c r="H3070" s="33" t="s">
        <v>71</v>
      </c>
      <c r="I3070" s="33" t="s">
        <v>75</v>
      </c>
      <c r="J3070" s="34">
        <v>594.51</v>
      </c>
      <c r="K3070" s="34">
        <v>80</v>
      </c>
      <c r="L3070" s="34">
        <v>514.51</v>
      </c>
    </row>
    <row r="3071" spans="2:12" x14ac:dyDescent="0.3">
      <c r="B3071" s="25">
        <v>3084</v>
      </c>
      <c r="C3071" s="33">
        <v>1018</v>
      </c>
      <c r="D3071" s="33" t="s">
        <v>839</v>
      </c>
      <c r="E3071" s="35">
        <v>44995</v>
      </c>
      <c r="F3071" s="33">
        <v>1</v>
      </c>
      <c r="G3071" s="33" t="s">
        <v>124</v>
      </c>
      <c r="H3071" s="33" t="s">
        <v>71</v>
      </c>
      <c r="I3071" s="33" t="s">
        <v>197</v>
      </c>
      <c r="J3071" s="34">
        <v>1241.47</v>
      </c>
      <c r="K3071" s="34">
        <v>40</v>
      </c>
      <c r="L3071" s="34">
        <v>1201.47</v>
      </c>
    </row>
    <row r="3072" spans="2:12" x14ac:dyDescent="0.3">
      <c r="B3072" s="25">
        <v>3085</v>
      </c>
      <c r="C3072" s="33">
        <v>1033</v>
      </c>
      <c r="D3072" s="33" t="s">
        <v>1581</v>
      </c>
      <c r="E3072" s="35">
        <v>44998</v>
      </c>
      <c r="F3072" s="33">
        <v>1</v>
      </c>
      <c r="G3072" s="33" t="s">
        <v>122</v>
      </c>
      <c r="H3072" s="33" t="s">
        <v>71</v>
      </c>
      <c r="I3072" s="33" t="s">
        <v>196</v>
      </c>
      <c r="J3072" s="34">
        <v>2030.17</v>
      </c>
      <c r="K3072" s="34">
        <v>40</v>
      </c>
      <c r="L3072" s="34">
        <v>1990.17</v>
      </c>
    </row>
    <row r="3073" spans="2:12" x14ac:dyDescent="0.3">
      <c r="B3073" s="25">
        <v>3086</v>
      </c>
      <c r="C3073" s="33">
        <v>1037</v>
      </c>
      <c r="D3073" s="33" t="s">
        <v>470</v>
      </c>
      <c r="E3073" s="35">
        <v>44998</v>
      </c>
      <c r="F3073" s="33">
        <v>1</v>
      </c>
      <c r="G3073" s="33" t="s">
        <v>628</v>
      </c>
      <c r="H3073" s="33" t="s">
        <v>71</v>
      </c>
      <c r="I3073" s="33" t="s">
        <v>75</v>
      </c>
      <c r="J3073" s="34">
        <v>1466.93</v>
      </c>
      <c r="K3073" s="34">
        <v>40</v>
      </c>
      <c r="L3073" s="34">
        <v>1426.93</v>
      </c>
    </row>
    <row r="3074" spans="2:12" x14ac:dyDescent="0.3">
      <c r="B3074" s="25">
        <v>3087</v>
      </c>
      <c r="C3074" s="33">
        <v>1040</v>
      </c>
      <c r="D3074" s="33" t="s">
        <v>385</v>
      </c>
      <c r="E3074" s="35">
        <v>44998</v>
      </c>
      <c r="F3074" s="33">
        <v>1</v>
      </c>
      <c r="G3074" s="33" t="s">
        <v>124</v>
      </c>
      <c r="H3074" s="33" t="s">
        <v>71</v>
      </c>
      <c r="I3074" s="33" t="s">
        <v>197</v>
      </c>
      <c r="J3074" s="34">
        <v>1782.84</v>
      </c>
      <c r="K3074" s="34">
        <v>40</v>
      </c>
      <c r="L3074" s="34">
        <v>1742.84</v>
      </c>
    </row>
    <row r="3075" spans="2:12" x14ac:dyDescent="0.3">
      <c r="B3075" s="25">
        <v>3088</v>
      </c>
      <c r="C3075" s="33" t="s">
        <v>1582</v>
      </c>
      <c r="D3075" s="33" t="s">
        <v>384</v>
      </c>
      <c r="E3075" s="35">
        <v>45001</v>
      </c>
      <c r="F3075" s="33">
        <v>1</v>
      </c>
      <c r="G3075" s="33" t="s">
        <v>124</v>
      </c>
      <c r="H3075" s="33" t="s">
        <v>71</v>
      </c>
      <c r="I3075" s="33" t="s">
        <v>197</v>
      </c>
      <c r="J3075" s="34">
        <v>567.58000000000004</v>
      </c>
      <c r="K3075" s="34">
        <v>80</v>
      </c>
      <c r="L3075" s="34">
        <v>487.58</v>
      </c>
    </row>
    <row r="3076" spans="2:12" x14ac:dyDescent="0.3">
      <c r="B3076" s="25">
        <v>3089</v>
      </c>
      <c r="C3076" s="33" t="s">
        <v>1583</v>
      </c>
      <c r="D3076" s="33" t="s">
        <v>651</v>
      </c>
      <c r="E3076" s="35">
        <v>44998</v>
      </c>
      <c r="F3076" s="33">
        <v>1</v>
      </c>
      <c r="G3076" s="33" t="s">
        <v>231</v>
      </c>
      <c r="H3076" s="33" t="s">
        <v>71</v>
      </c>
      <c r="I3076" s="33" t="s">
        <v>198</v>
      </c>
      <c r="J3076" s="34">
        <v>1275</v>
      </c>
      <c r="K3076" s="34">
        <v>100</v>
      </c>
      <c r="L3076" s="34">
        <v>1175</v>
      </c>
    </row>
    <row r="3077" spans="2:12" x14ac:dyDescent="0.3">
      <c r="B3077" s="25">
        <v>3090</v>
      </c>
      <c r="C3077" s="33" t="s">
        <v>1584</v>
      </c>
      <c r="D3077" s="33" t="s">
        <v>651</v>
      </c>
      <c r="E3077" s="35">
        <v>44998</v>
      </c>
      <c r="F3077" s="33">
        <v>1</v>
      </c>
      <c r="G3077" s="33" t="s">
        <v>231</v>
      </c>
      <c r="H3077" s="33" t="s">
        <v>71</v>
      </c>
      <c r="I3077" s="33" t="s">
        <v>198</v>
      </c>
      <c r="J3077" s="34">
        <v>1409.78</v>
      </c>
      <c r="K3077" s="34">
        <v>160</v>
      </c>
      <c r="L3077" s="34">
        <v>1249.78</v>
      </c>
    </row>
    <row r="3078" spans="2:12" x14ac:dyDescent="0.3">
      <c r="B3078" s="25">
        <v>3091</v>
      </c>
      <c r="C3078" s="33" t="s">
        <v>1585</v>
      </c>
      <c r="D3078" s="33" t="s">
        <v>996</v>
      </c>
      <c r="E3078" s="35">
        <v>45000</v>
      </c>
      <c r="F3078" s="33">
        <v>1</v>
      </c>
      <c r="G3078" s="33" t="s">
        <v>231</v>
      </c>
      <c r="H3078" s="33" t="s">
        <v>71</v>
      </c>
      <c r="I3078" s="33" t="s">
        <v>198</v>
      </c>
      <c r="J3078" s="34">
        <v>1277.67</v>
      </c>
      <c r="K3078" s="34"/>
      <c r="L3078" s="34">
        <v>1277.67</v>
      </c>
    </row>
    <row r="3079" spans="2:12" x14ac:dyDescent="0.3">
      <c r="B3079" s="25">
        <v>3092</v>
      </c>
      <c r="C3079" s="33" t="s">
        <v>1586</v>
      </c>
      <c r="D3079" s="33" t="s">
        <v>651</v>
      </c>
      <c r="E3079" s="35">
        <v>45002</v>
      </c>
      <c r="F3079" s="33">
        <v>1</v>
      </c>
      <c r="G3079" s="33" t="s">
        <v>231</v>
      </c>
      <c r="H3079" s="33" t="s">
        <v>71</v>
      </c>
      <c r="I3079" s="33" t="s">
        <v>198</v>
      </c>
      <c r="J3079" s="34">
        <v>4327.3</v>
      </c>
      <c r="K3079" s="34"/>
      <c r="L3079" s="34">
        <v>4327.3</v>
      </c>
    </row>
    <row r="3080" spans="2:12" x14ac:dyDescent="0.3">
      <c r="B3080" s="25">
        <v>3093</v>
      </c>
      <c r="C3080" s="33">
        <v>1149</v>
      </c>
      <c r="D3080" s="33" t="s">
        <v>377</v>
      </c>
      <c r="E3080" s="35">
        <v>45005</v>
      </c>
      <c r="F3080" s="33">
        <v>1</v>
      </c>
      <c r="G3080" s="33" t="s">
        <v>124</v>
      </c>
      <c r="H3080" s="33" t="s">
        <v>71</v>
      </c>
      <c r="I3080" s="33" t="s">
        <v>197</v>
      </c>
      <c r="J3080" s="34">
        <v>1155.6099999999999</v>
      </c>
      <c r="K3080" s="34">
        <v>40</v>
      </c>
      <c r="L3080" s="34">
        <v>1115.6099999999999</v>
      </c>
    </row>
    <row r="3081" spans="2:12" x14ac:dyDescent="0.3">
      <c r="B3081" s="25">
        <v>3094</v>
      </c>
      <c r="C3081" s="33">
        <v>1123</v>
      </c>
      <c r="D3081" s="33" t="s">
        <v>656</v>
      </c>
      <c r="E3081" s="35">
        <v>45002</v>
      </c>
      <c r="F3081" s="33">
        <v>1</v>
      </c>
      <c r="G3081" s="33" t="s">
        <v>124</v>
      </c>
      <c r="H3081" s="33" t="s">
        <v>71</v>
      </c>
      <c r="I3081" s="33" t="s">
        <v>197</v>
      </c>
      <c r="J3081" s="34">
        <v>475.72</v>
      </c>
      <c r="K3081" s="34">
        <v>80</v>
      </c>
      <c r="L3081" s="34">
        <v>395.72</v>
      </c>
    </row>
    <row r="3082" spans="2:12" x14ac:dyDescent="0.3">
      <c r="B3082" s="25">
        <v>3095</v>
      </c>
      <c r="C3082" s="33">
        <v>1183</v>
      </c>
      <c r="D3082" s="33" t="s">
        <v>277</v>
      </c>
      <c r="E3082" s="35">
        <v>45008</v>
      </c>
      <c r="F3082" s="33">
        <v>1</v>
      </c>
      <c r="G3082" s="33" t="s">
        <v>124</v>
      </c>
      <c r="H3082" s="33" t="s">
        <v>71</v>
      </c>
      <c r="I3082" s="33" t="s">
        <v>197</v>
      </c>
      <c r="J3082" s="34">
        <v>945.44</v>
      </c>
      <c r="K3082" s="34"/>
      <c r="L3082" s="34">
        <v>945.44</v>
      </c>
    </row>
    <row r="3083" spans="2:12" x14ac:dyDescent="0.3">
      <c r="B3083" s="25">
        <v>3096</v>
      </c>
      <c r="C3083" s="33">
        <v>1185</v>
      </c>
      <c r="D3083" s="33" t="s">
        <v>281</v>
      </c>
      <c r="E3083" s="35">
        <v>45008</v>
      </c>
      <c r="F3083" s="33">
        <v>1</v>
      </c>
      <c r="G3083" s="33" t="s">
        <v>124</v>
      </c>
      <c r="H3083" s="33" t="s">
        <v>71</v>
      </c>
      <c r="I3083" s="33" t="s">
        <v>197</v>
      </c>
      <c r="J3083" s="34">
        <v>164.08</v>
      </c>
      <c r="K3083" s="34">
        <v>80</v>
      </c>
      <c r="L3083" s="34">
        <v>84.08</v>
      </c>
    </row>
    <row r="3084" spans="2:12" x14ac:dyDescent="0.3">
      <c r="B3084" s="25">
        <v>3097</v>
      </c>
      <c r="C3084" s="33">
        <v>1210</v>
      </c>
      <c r="D3084" s="33" t="s">
        <v>1587</v>
      </c>
      <c r="E3084" s="35">
        <v>45009</v>
      </c>
      <c r="F3084" s="33">
        <v>1</v>
      </c>
      <c r="G3084" s="33" t="s">
        <v>231</v>
      </c>
      <c r="H3084" s="33" t="s">
        <v>71</v>
      </c>
      <c r="I3084" s="33" t="s">
        <v>198</v>
      </c>
      <c r="J3084" s="34">
        <v>610.88</v>
      </c>
      <c r="K3084" s="34">
        <v>80</v>
      </c>
      <c r="L3084" s="34">
        <v>530.88</v>
      </c>
    </row>
    <row r="3085" spans="2:12" x14ac:dyDescent="0.3">
      <c r="B3085" s="25">
        <v>3098</v>
      </c>
      <c r="C3085" s="33">
        <v>1217</v>
      </c>
      <c r="D3085" s="33" t="s">
        <v>275</v>
      </c>
      <c r="E3085" s="35">
        <v>45009</v>
      </c>
      <c r="F3085" s="33">
        <v>1</v>
      </c>
      <c r="G3085" s="33" t="s">
        <v>124</v>
      </c>
      <c r="H3085" s="33" t="s">
        <v>71</v>
      </c>
      <c r="I3085" s="33" t="s">
        <v>197</v>
      </c>
      <c r="J3085" s="34">
        <v>447.87</v>
      </c>
      <c r="K3085" s="34">
        <v>80</v>
      </c>
      <c r="L3085" s="34">
        <v>367.87</v>
      </c>
    </row>
    <row r="3086" spans="2:12" x14ac:dyDescent="0.3">
      <c r="B3086" s="25">
        <v>3099</v>
      </c>
      <c r="C3086" s="33">
        <v>1363</v>
      </c>
      <c r="D3086" s="33" t="s">
        <v>372</v>
      </c>
      <c r="E3086" s="35">
        <v>45013</v>
      </c>
      <c r="F3086" s="33">
        <v>1</v>
      </c>
      <c r="G3086" s="33" t="s">
        <v>124</v>
      </c>
      <c r="H3086" s="33" t="s">
        <v>71</v>
      </c>
      <c r="I3086" s="33" t="s">
        <v>197</v>
      </c>
      <c r="J3086" s="34">
        <v>1604.45</v>
      </c>
      <c r="K3086" s="34">
        <v>40</v>
      </c>
      <c r="L3086" s="34">
        <v>1564.45</v>
      </c>
    </row>
    <row r="3087" spans="2:12" x14ac:dyDescent="0.3">
      <c r="B3087" s="25">
        <v>3100</v>
      </c>
      <c r="C3087" s="33">
        <v>1366</v>
      </c>
      <c r="D3087" s="33" t="s">
        <v>419</v>
      </c>
      <c r="E3087" s="35">
        <v>45013</v>
      </c>
      <c r="F3087" s="33">
        <v>1</v>
      </c>
      <c r="G3087" s="33" t="s">
        <v>628</v>
      </c>
      <c r="H3087" s="33" t="s">
        <v>71</v>
      </c>
      <c r="I3087" s="33" t="s">
        <v>75</v>
      </c>
      <c r="J3087" s="34">
        <v>1392.49</v>
      </c>
      <c r="K3087" s="34">
        <v>40</v>
      </c>
      <c r="L3087" s="34">
        <v>1352.49</v>
      </c>
    </row>
    <row r="3088" spans="2:12" x14ac:dyDescent="0.3">
      <c r="B3088" s="25">
        <v>3101</v>
      </c>
      <c r="C3088" s="33" t="s">
        <v>1588</v>
      </c>
      <c r="D3088" s="33" t="s">
        <v>403</v>
      </c>
      <c r="E3088" s="35">
        <v>45013</v>
      </c>
      <c r="F3088" s="33">
        <v>1</v>
      </c>
      <c r="G3088" s="33" t="s">
        <v>122</v>
      </c>
      <c r="H3088" s="33" t="s">
        <v>71</v>
      </c>
      <c r="I3088" s="33" t="s">
        <v>196</v>
      </c>
      <c r="J3088" s="34">
        <v>400.76</v>
      </c>
      <c r="K3088" s="34">
        <v>80</v>
      </c>
      <c r="L3088" s="34">
        <v>320.76</v>
      </c>
    </row>
    <row r="3089" spans="2:12" x14ac:dyDescent="0.3">
      <c r="B3089" s="25">
        <v>3102</v>
      </c>
      <c r="C3089" s="33">
        <v>1411</v>
      </c>
      <c r="D3089" s="33" t="s">
        <v>429</v>
      </c>
      <c r="E3089" s="35">
        <v>45014</v>
      </c>
      <c r="F3089" s="33">
        <v>1</v>
      </c>
      <c r="G3089" s="33" t="s">
        <v>628</v>
      </c>
      <c r="H3089" s="33" t="s">
        <v>71</v>
      </c>
      <c r="I3089" s="33" t="s">
        <v>75</v>
      </c>
      <c r="J3089" s="34">
        <v>664.58</v>
      </c>
      <c r="K3089" s="34">
        <v>80</v>
      </c>
      <c r="L3089" s="34">
        <v>584.58000000000004</v>
      </c>
    </row>
    <row r="3090" spans="2:12" x14ac:dyDescent="0.3">
      <c r="B3090" s="25">
        <v>3103</v>
      </c>
      <c r="C3090" s="33">
        <v>1428</v>
      </c>
      <c r="D3090" s="33" t="s">
        <v>364</v>
      </c>
      <c r="E3090" s="35">
        <v>45016</v>
      </c>
      <c r="F3090" s="33">
        <v>1</v>
      </c>
      <c r="G3090" s="33" t="s">
        <v>124</v>
      </c>
      <c r="H3090" s="33" t="s">
        <v>71</v>
      </c>
      <c r="I3090" s="33" t="s">
        <v>197</v>
      </c>
      <c r="J3090" s="34">
        <v>451.28</v>
      </c>
      <c r="K3090" s="34">
        <v>80</v>
      </c>
      <c r="L3090" s="34">
        <v>371.28</v>
      </c>
    </row>
    <row r="3091" spans="2:12" x14ac:dyDescent="0.3">
      <c r="B3091" s="25">
        <v>3104</v>
      </c>
      <c r="C3091" s="33" t="s">
        <v>1589</v>
      </c>
      <c r="D3091" s="33" t="s">
        <v>1590</v>
      </c>
      <c r="E3091" s="35">
        <v>44992</v>
      </c>
      <c r="F3091" s="33">
        <v>1</v>
      </c>
      <c r="G3091" s="33" t="s">
        <v>628</v>
      </c>
      <c r="H3091" s="33" t="s">
        <v>71</v>
      </c>
      <c r="I3091" s="33" t="s">
        <v>75</v>
      </c>
      <c r="J3091" s="34">
        <v>1493.45</v>
      </c>
      <c r="K3091" s="34">
        <v>40</v>
      </c>
      <c r="L3091" s="34">
        <v>1453.45</v>
      </c>
    </row>
    <row r="3092" spans="2:12" x14ac:dyDescent="0.3">
      <c r="B3092" s="25">
        <v>3105</v>
      </c>
      <c r="C3092" s="33">
        <v>383488</v>
      </c>
      <c r="D3092" s="33" t="s">
        <v>1065</v>
      </c>
      <c r="E3092" s="35">
        <v>44956</v>
      </c>
      <c r="F3092" s="33">
        <v>1</v>
      </c>
      <c r="G3092" s="33" t="s">
        <v>122</v>
      </c>
      <c r="H3092" s="33" t="s">
        <v>200</v>
      </c>
      <c r="I3092" s="33" t="s">
        <v>196</v>
      </c>
      <c r="J3092" s="34">
        <v>225.67</v>
      </c>
      <c r="K3092" s="34">
        <v>50</v>
      </c>
      <c r="L3092" s="34">
        <v>175.67</v>
      </c>
    </row>
    <row r="3093" spans="2:12" x14ac:dyDescent="0.3">
      <c r="B3093" s="25">
        <v>3106</v>
      </c>
      <c r="C3093" s="33">
        <v>383631</v>
      </c>
      <c r="D3093" s="33" t="s">
        <v>1591</v>
      </c>
      <c r="E3093" s="35">
        <v>44929</v>
      </c>
      <c r="F3093" s="33">
        <v>1</v>
      </c>
      <c r="G3093" s="33" t="s">
        <v>231</v>
      </c>
      <c r="H3093" s="33" t="s">
        <v>200</v>
      </c>
      <c r="I3093" s="33" t="s">
        <v>198</v>
      </c>
      <c r="J3093" s="34">
        <v>387.55</v>
      </c>
      <c r="K3093" s="34">
        <v>80</v>
      </c>
      <c r="L3093" s="34">
        <v>307.55</v>
      </c>
    </row>
    <row r="3094" spans="2:12" x14ac:dyDescent="0.3">
      <c r="B3094" s="25">
        <v>3107</v>
      </c>
      <c r="C3094" s="33">
        <v>383675</v>
      </c>
      <c r="D3094" s="33" t="s">
        <v>395</v>
      </c>
      <c r="E3094" s="35">
        <v>44936</v>
      </c>
      <c r="F3094" s="33">
        <v>1</v>
      </c>
      <c r="G3094" s="33" t="s">
        <v>122</v>
      </c>
      <c r="H3094" s="33" t="s">
        <v>200</v>
      </c>
      <c r="I3094" s="33" t="s">
        <v>196</v>
      </c>
      <c r="J3094" s="34">
        <v>645.22</v>
      </c>
      <c r="K3094" s="34">
        <v>50</v>
      </c>
      <c r="L3094" s="34">
        <v>595.22</v>
      </c>
    </row>
    <row r="3095" spans="2:12" x14ac:dyDescent="0.3">
      <c r="B3095" s="25">
        <v>3108</v>
      </c>
      <c r="C3095" s="33">
        <v>383691</v>
      </c>
      <c r="D3095" s="33" t="s">
        <v>1592</v>
      </c>
      <c r="E3095" s="35">
        <v>44937</v>
      </c>
      <c r="F3095" s="33">
        <v>1</v>
      </c>
      <c r="G3095" s="33" t="s">
        <v>231</v>
      </c>
      <c r="H3095" s="33" t="s">
        <v>200</v>
      </c>
      <c r="I3095" s="33" t="s">
        <v>198</v>
      </c>
      <c r="J3095" s="34">
        <v>366.24</v>
      </c>
      <c r="K3095" s="34">
        <v>50</v>
      </c>
      <c r="L3095" s="34">
        <v>316.24</v>
      </c>
    </row>
    <row r="3096" spans="2:12" x14ac:dyDescent="0.3">
      <c r="B3096" s="25">
        <v>3109</v>
      </c>
      <c r="C3096" s="33">
        <v>383732</v>
      </c>
      <c r="D3096" s="33" t="s">
        <v>1593</v>
      </c>
      <c r="E3096" s="35">
        <v>44945</v>
      </c>
      <c r="F3096" s="33">
        <v>1</v>
      </c>
      <c r="G3096" s="33" t="s">
        <v>122</v>
      </c>
      <c r="H3096" s="33" t="s">
        <v>200</v>
      </c>
      <c r="I3096" s="33" t="s">
        <v>196</v>
      </c>
      <c r="J3096" s="34">
        <v>577.01</v>
      </c>
      <c r="K3096" s="34">
        <v>50</v>
      </c>
      <c r="L3096" s="34">
        <v>527.01</v>
      </c>
    </row>
    <row r="3097" spans="2:12" x14ac:dyDescent="0.3">
      <c r="B3097" s="25">
        <v>3110</v>
      </c>
      <c r="C3097" s="33">
        <v>383760</v>
      </c>
      <c r="D3097" s="33" t="s">
        <v>941</v>
      </c>
      <c r="E3097" s="35">
        <v>44946</v>
      </c>
      <c r="F3097" s="33">
        <v>1</v>
      </c>
      <c r="G3097" s="33" t="s">
        <v>122</v>
      </c>
      <c r="H3097" s="33" t="s">
        <v>200</v>
      </c>
      <c r="I3097" s="33" t="s">
        <v>196</v>
      </c>
      <c r="J3097" s="34">
        <v>665</v>
      </c>
      <c r="K3097" s="34">
        <v>50</v>
      </c>
      <c r="L3097" s="34">
        <v>615</v>
      </c>
    </row>
    <row r="3098" spans="2:12" x14ac:dyDescent="0.3">
      <c r="B3098" s="25">
        <v>3111</v>
      </c>
      <c r="C3098" s="33">
        <v>383812</v>
      </c>
      <c r="D3098" s="33" t="s">
        <v>1364</v>
      </c>
      <c r="E3098" s="35">
        <v>44956</v>
      </c>
      <c r="F3098" s="33">
        <v>1</v>
      </c>
      <c r="G3098" s="33" t="s">
        <v>122</v>
      </c>
      <c r="H3098" s="33" t="s">
        <v>200</v>
      </c>
      <c r="I3098" s="33" t="s">
        <v>196</v>
      </c>
      <c r="J3098" s="34">
        <v>2653.79</v>
      </c>
      <c r="K3098" s="34"/>
      <c r="L3098" s="34">
        <v>2653.79</v>
      </c>
    </row>
    <row r="3099" spans="2:12" x14ac:dyDescent="0.3">
      <c r="B3099" s="25">
        <v>3112</v>
      </c>
      <c r="C3099" s="33">
        <v>384115</v>
      </c>
      <c r="D3099" s="33" t="s">
        <v>395</v>
      </c>
      <c r="E3099" s="35">
        <v>45000</v>
      </c>
      <c r="F3099" s="33">
        <v>1</v>
      </c>
      <c r="G3099" s="33" t="s">
        <v>122</v>
      </c>
      <c r="H3099" s="33" t="s">
        <v>200</v>
      </c>
      <c r="I3099" s="33" t="s">
        <v>196</v>
      </c>
      <c r="J3099" s="34">
        <v>368.26</v>
      </c>
      <c r="K3099" s="34"/>
      <c r="L3099" s="34">
        <v>368.26</v>
      </c>
    </row>
    <row r="3100" spans="2:12" x14ac:dyDescent="0.3">
      <c r="B3100" s="25">
        <v>3113</v>
      </c>
      <c r="C3100" s="33">
        <v>703154</v>
      </c>
      <c r="D3100" s="33" t="s">
        <v>1064</v>
      </c>
      <c r="E3100" s="35">
        <v>44945</v>
      </c>
      <c r="F3100" s="33">
        <v>1</v>
      </c>
      <c r="G3100" s="33" t="s">
        <v>231</v>
      </c>
      <c r="H3100" s="33" t="s">
        <v>200</v>
      </c>
      <c r="I3100" s="33" t="s">
        <v>198</v>
      </c>
      <c r="J3100" s="34">
        <v>1243.3499999999999</v>
      </c>
      <c r="K3100" s="34"/>
      <c r="L3100" s="34">
        <v>1243.3499999999999</v>
      </c>
    </row>
    <row r="3101" spans="2:12" x14ac:dyDescent="0.3">
      <c r="B3101" s="25">
        <v>3114</v>
      </c>
      <c r="C3101" s="33">
        <v>703185</v>
      </c>
      <c r="D3101" s="33" t="s">
        <v>1594</v>
      </c>
      <c r="E3101" s="35">
        <v>44978</v>
      </c>
      <c r="F3101" s="33">
        <v>1</v>
      </c>
      <c r="G3101" s="33" t="s">
        <v>122</v>
      </c>
      <c r="H3101" s="33" t="s">
        <v>200</v>
      </c>
      <c r="I3101" s="33" t="s">
        <v>196</v>
      </c>
      <c r="J3101" s="34">
        <v>15570.06</v>
      </c>
      <c r="K3101" s="34"/>
      <c r="L3101" s="34">
        <v>15570.06</v>
      </c>
    </row>
    <row r="3102" spans="2:12" x14ac:dyDescent="0.3">
      <c r="B3102" s="25">
        <v>3115</v>
      </c>
      <c r="C3102" s="33" t="s">
        <v>1595</v>
      </c>
      <c r="D3102" s="33" t="s">
        <v>474</v>
      </c>
      <c r="E3102" s="35">
        <v>44928</v>
      </c>
      <c r="F3102" s="33">
        <v>1</v>
      </c>
      <c r="G3102" s="33" t="s">
        <v>628</v>
      </c>
      <c r="H3102" s="33" t="s">
        <v>70</v>
      </c>
      <c r="I3102" s="33" t="s">
        <v>75</v>
      </c>
      <c r="J3102" s="34">
        <v>2595.92</v>
      </c>
      <c r="K3102" s="34">
        <v>65</v>
      </c>
      <c r="L3102" s="34">
        <v>2530.92</v>
      </c>
    </row>
    <row r="3103" spans="2:12" x14ac:dyDescent="0.3">
      <c r="B3103" s="25">
        <v>3116</v>
      </c>
      <c r="C3103" s="33" t="s">
        <v>1596</v>
      </c>
      <c r="D3103" s="33" t="s">
        <v>909</v>
      </c>
      <c r="E3103" s="35">
        <v>44957</v>
      </c>
      <c r="F3103" s="33">
        <v>1</v>
      </c>
      <c r="G3103" s="33" t="s">
        <v>122</v>
      </c>
      <c r="H3103" s="33" t="s">
        <v>70</v>
      </c>
      <c r="I3103" s="33" t="s">
        <v>196</v>
      </c>
      <c r="J3103" s="34">
        <v>15547.33</v>
      </c>
      <c r="K3103" s="34">
        <v>650</v>
      </c>
      <c r="L3103" s="34">
        <v>14897.33</v>
      </c>
    </row>
    <row r="3104" spans="2:12" x14ac:dyDescent="0.3">
      <c r="B3104" s="25">
        <v>3117</v>
      </c>
      <c r="C3104" s="33" t="s">
        <v>1597</v>
      </c>
      <c r="D3104" s="33" t="s">
        <v>477</v>
      </c>
      <c r="E3104" s="35">
        <v>44957</v>
      </c>
      <c r="F3104" s="33">
        <v>1</v>
      </c>
      <c r="G3104" s="33" t="s">
        <v>628</v>
      </c>
      <c r="H3104" s="33" t="s">
        <v>70</v>
      </c>
      <c r="I3104" s="33" t="s">
        <v>75</v>
      </c>
      <c r="J3104" s="34">
        <v>839.92</v>
      </c>
      <c r="K3104" s="34">
        <v>85</v>
      </c>
      <c r="L3104" s="34">
        <v>754.92</v>
      </c>
    </row>
    <row r="3105" spans="2:12" x14ac:dyDescent="0.3">
      <c r="B3105" s="25">
        <v>3118</v>
      </c>
      <c r="C3105" s="33" t="s">
        <v>1598</v>
      </c>
      <c r="D3105" s="33" t="s">
        <v>613</v>
      </c>
      <c r="E3105" s="35">
        <v>44985</v>
      </c>
      <c r="F3105" s="33">
        <v>1</v>
      </c>
      <c r="G3105" s="33" t="s">
        <v>124</v>
      </c>
      <c r="H3105" s="33" t="s">
        <v>70</v>
      </c>
      <c r="I3105" s="33" t="s">
        <v>197</v>
      </c>
      <c r="J3105" s="34">
        <v>2258.12</v>
      </c>
      <c r="K3105" s="34">
        <v>110</v>
      </c>
      <c r="L3105" s="34">
        <v>2148.12</v>
      </c>
    </row>
    <row r="3106" spans="2:12" x14ac:dyDescent="0.3">
      <c r="B3106" s="25">
        <v>3119</v>
      </c>
      <c r="C3106" s="33" t="s">
        <v>1599</v>
      </c>
      <c r="D3106" s="33" t="s">
        <v>909</v>
      </c>
      <c r="E3106" s="35">
        <v>45016</v>
      </c>
      <c r="F3106" s="33">
        <v>1</v>
      </c>
      <c r="G3106" s="33" t="s">
        <v>122</v>
      </c>
      <c r="H3106" s="33" t="s">
        <v>70</v>
      </c>
      <c r="I3106" s="33" t="s">
        <v>196</v>
      </c>
      <c r="J3106" s="34">
        <v>73766.78</v>
      </c>
      <c r="K3106" s="34"/>
      <c r="L3106" s="34">
        <v>73766.78</v>
      </c>
    </row>
    <row r="3107" spans="2:12" x14ac:dyDescent="0.3">
      <c r="B3107" s="25">
        <v>3120</v>
      </c>
      <c r="C3107" s="33">
        <v>1654</v>
      </c>
      <c r="D3107" s="33" t="s">
        <v>400</v>
      </c>
      <c r="E3107" s="35">
        <v>45001</v>
      </c>
      <c r="F3107" s="33">
        <v>1</v>
      </c>
      <c r="G3107" s="33" t="s">
        <v>231</v>
      </c>
      <c r="H3107" s="33" t="s">
        <v>201</v>
      </c>
      <c r="I3107" s="33" t="s">
        <v>198</v>
      </c>
      <c r="J3107" s="34">
        <v>1911.83</v>
      </c>
      <c r="K3107" s="34"/>
      <c r="L3107" s="34">
        <v>1911.83</v>
      </c>
    </row>
    <row r="3108" spans="2:12" x14ac:dyDescent="0.3">
      <c r="B3108" s="25">
        <v>3121</v>
      </c>
      <c r="C3108" s="33" t="s">
        <v>1600</v>
      </c>
      <c r="D3108" s="33" t="s">
        <v>574</v>
      </c>
      <c r="E3108" s="35">
        <v>45001</v>
      </c>
      <c r="F3108" s="33">
        <v>1</v>
      </c>
      <c r="G3108" s="33" t="s">
        <v>124</v>
      </c>
      <c r="H3108" s="33" t="s">
        <v>201</v>
      </c>
      <c r="I3108" s="33" t="s">
        <v>197</v>
      </c>
      <c r="J3108" s="34">
        <v>4182.2</v>
      </c>
      <c r="K3108" s="34"/>
      <c r="L3108" s="34">
        <v>4182.2</v>
      </c>
    </row>
    <row r="3109" spans="2:12" x14ac:dyDescent="0.3">
      <c r="B3109" s="25">
        <v>3122</v>
      </c>
      <c r="C3109" s="33">
        <v>1680</v>
      </c>
      <c r="D3109" s="33" t="s">
        <v>584</v>
      </c>
      <c r="E3109" s="35">
        <v>45001</v>
      </c>
      <c r="F3109" s="33">
        <v>1</v>
      </c>
      <c r="G3109" s="33" t="s">
        <v>122</v>
      </c>
      <c r="H3109" s="33" t="s">
        <v>201</v>
      </c>
      <c r="I3109" s="33" t="s">
        <v>196</v>
      </c>
      <c r="J3109" s="34">
        <v>1130.01</v>
      </c>
      <c r="K3109" s="34"/>
      <c r="L3109" s="34">
        <v>1130.01</v>
      </c>
    </row>
    <row r="3110" spans="2:12" x14ac:dyDescent="0.3">
      <c r="B3110" s="25">
        <v>3123</v>
      </c>
      <c r="C3110" s="33" t="s">
        <v>1601</v>
      </c>
      <c r="D3110" s="33" t="s">
        <v>362</v>
      </c>
      <c r="E3110" s="35">
        <v>45001</v>
      </c>
      <c r="F3110" s="33">
        <v>1</v>
      </c>
      <c r="G3110" s="33" t="s">
        <v>124</v>
      </c>
      <c r="H3110" s="33" t="s">
        <v>201</v>
      </c>
      <c r="I3110" s="33" t="s">
        <v>197</v>
      </c>
      <c r="J3110" s="34">
        <v>3681.91</v>
      </c>
      <c r="K3110" s="34"/>
      <c r="L3110" s="34">
        <v>3681.91</v>
      </c>
    </row>
    <row r="3111" spans="2:12" x14ac:dyDescent="0.3">
      <c r="B3111" s="25">
        <v>3124</v>
      </c>
      <c r="C3111" s="33">
        <v>1690</v>
      </c>
      <c r="D3111" s="33" t="s">
        <v>413</v>
      </c>
      <c r="E3111" s="35">
        <v>45001</v>
      </c>
      <c r="F3111" s="33">
        <v>1</v>
      </c>
      <c r="G3111" s="33" t="s">
        <v>122</v>
      </c>
      <c r="H3111" s="33" t="s">
        <v>201</v>
      </c>
      <c r="I3111" s="33" t="s">
        <v>196</v>
      </c>
      <c r="J3111" s="34">
        <v>1196.4100000000001</v>
      </c>
      <c r="K3111" s="34"/>
      <c r="L3111" s="34">
        <v>1196.4100000000001</v>
      </c>
    </row>
    <row r="3112" spans="2:12" x14ac:dyDescent="0.3">
      <c r="B3112" s="25">
        <v>3125</v>
      </c>
      <c r="C3112" s="33">
        <v>1691</v>
      </c>
      <c r="D3112" s="33" t="s">
        <v>411</v>
      </c>
      <c r="E3112" s="35">
        <v>45001</v>
      </c>
      <c r="F3112" s="33">
        <v>1</v>
      </c>
      <c r="G3112" s="33" t="s">
        <v>122</v>
      </c>
      <c r="H3112" s="33" t="s">
        <v>201</v>
      </c>
      <c r="I3112" s="33" t="s">
        <v>196</v>
      </c>
      <c r="J3112" s="34">
        <v>2377.98</v>
      </c>
      <c r="K3112" s="34"/>
      <c r="L3112" s="34">
        <v>2377.98</v>
      </c>
    </row>
    <row r="3113" spans="2:12" x14ac:dyDescent="0.3">
      <c r="B3113" s="25">
        <v>3126</v>
      </c>
      <c r="C3113" s="33" t="s">
        <v>1602</v>
      </c>
      <c r="D3113" s="33" t="s">
        <v>584</v>
      </c>
      <c r="E3113" s="35">
        <v>45008</v>
      </c>
      <c r="F3113" s="33">
        <v>1</v>
      </c>
      <c r="G3113" s="33" t="s">
        <v>122</v>
      </c>
      <c r="H3113" s="33" t="s">
        <v>201</v>
      </c>
      <c r="I3113" s="33" t="s">
        <v>196</v>
      </c>
      <c r="J3113" s="34">
        <v>2501.75</v>
      </c>
      <c r="K3113" s="34"/>
      <c r="L3113" s="34">
        <v>2501.75</v>
      </c>
    </row>
    <row r="3114" spans="2:12" x14ac:dyDescent="0.3">
      <c r="B3114" s="25">
        <v>3127</v>
      </c>
      <c r="C3114" s="33" t="s">
        <v>1603</v>
      </c>
      <c r="D3114" s="33" t="s">
        <v>401</v>
      </c>
      <c r="E3114" s="35">
        <v>45008</v>
      </c>
      <c r="F3114" s="33">
        <v>1</v>
      </c>
      <c r="G3114" s="33" t="s">
        <v>231</v>
      </c>
      <c r="H3114" s="33" t="s">
        <v>201</v>
      </c>
      <c r="I3114" s="33" t="s">
        <v>198</v>
      </c>
      <c r="J3114" s="34">
        <v>5912.72</v>
      </c>
      <c r="K3114" s="34"/>
      <c r="L3114" s="34">
        <v>5912.72</v>
      </c>
    </row>
    <row r="3115" spans="2:12" x14ac:dyDescent="0.3">
      <c r="B3115" s="25">
        <v>3128</v>
      </c>
      <c r="C3115" s="33" t="s">
        <v>1604</v>
      </c>
      <c r="D3115" s="33" t="s">
        <v>637</v>
      </c>
      <c r="E3115" s="35">
        <v>45008</v>
      </c>
      <c r="F3115" s="33">
        <v>1</v>
      </c>
      <c r="G3115" s="33" t="s">
        <v>124</v>
      </c>
      <c r="H3115" s="33" t="s">
        <v>201</v>
      </c>
      <c r="I3115" s="33" t="s">
        <v>197</v>
      </c>
      <c r="J3115" s="34">
        <v>8001.09</v>
      </c>
      <c r="K3115" s="34"/>
      <c r="L3115" s="34">
        <v>8001.09</v>
      </c>
    </row>
    <row r="3116" spans="2:12" x14ac:dyDescent="0.3">
      <c r="B3116" s="25">
        <v>3129</v>
      </c>
      <c r="C3116" s="33">
        <v>1911</v>
      </c>
      <c r="D3116" s="33" t="s">
        <v>676</v>
      </c>
      <c r="E3116" s="35">
        <v>45008</v>
      </c>
      <c r="F3116" s="33">
        <v>1</v>
      </c>
      <c r="G3116" s="33" t="s">
        <v>124</v>
      </c>
      <c r="H3116" s="33" t="s">
        <v>201</v>
      </c>
      <c r="I3116" s="33" t="s">
        <v>197</v>
      </c>
      <c r="J3116" s="34">
        <v>857.3</v>
      </c>
      <c r="K3116" s="34"/>
      <c r="L3116" s="34">
        <v>857.3</v>
      </c>
    </row>
    <row r="3117" spans="2:12" x14ac:dyDescent="0.3">
      <c r="B3117" s="25">
        <v>3130</v>
      </c>
      <c r="C3117" s="33">
        <v>1914</v>
      </c>
      <c r="D3117" s="33" t="s">
        <v>1605</v>
      </c>
      <c r="E3117" s="35">
        <v>45008</v>
      </c>
      <c r="F3117" s="33">
        <v>1</v>
      </c>
      <c r="G3117" s="33" t="s">
        <v>628</v>
      </c>
      <c r="H3117" s="33" t="s">
        <v>201</v>
      </c>
      <c r="I3117" s="33" t="s">
        <v>75</v>
      </c>
      <c r="J3117" s="34">
        <v>1012.8</v>
      </c>
      <c r="K3117" s="34"/>
      <c r="L3117" s="34">
        <v>1012.8</v>
      </c>
    </row>
    <row r="3118" spans="2:12" x14ac:dyDescent="0.3">
      <c r="B3118" s="25">
        <v>3131</v>
      </c>
      <c r="C3118" s="33">
        <v>2113</v>
      </c>
      <c r="D3118" s="33" t="s">
        <v>473</v>
      </c>
      <c r="E3118" s="35">
        <v>45015</v>
      </c>
      <c r="F3118" s="33">
        <v>1</v>
      </c>
      <c r="G3118" s="33" t="s">
        <v>122</v>
      </c>
      <c r="H3118" s="33" t="s">
        <v>201</v>
      </c>
      <c r="I3118" s="33" t="s">
        <v>196</v>
      </c>
      <c r="J3118" s="34">
        <v>6920.07</v>
      </c>
      <c r="K3118" s="34"/>
      <c r="L3118" s="34">
        <v>6920.07</v>
      </c>
    </row>
    <row r="3119" spans="2:12" x14ac:dyDescent="0.3">
      <c r="B3119" s="25">
        <v>3132</v>
      </c>
      <c r="C3119" s="33">
        <v>2114</v>
      </c>
      <c r="D3119" s="33" t="s">
        <v>531</v>
      </c>
      <c r="E3119" s="35">
        <v>45015</v>
      </c>
      <c r="F3119" s="33">
        <v>1</v>
      </c>
      <c r="G3119" s="33" t="s">
        <v>122</v>
      </c>
      <c r="H3119" s="33" t="s">
        <v>201</v>
      </c>
      <c r="I3119" s="33" t="s">
        <v>196</v>
      </c>
      <c r="J3119" s="34">
        <v>7751.7</v>
      </c>
      <c r="K3119" s="34"/>
      <c r="L3119" s="34">
        <v>7751.7</v>
      </c>
    </row>
    <row r="3120" spans="2:12" x14ac:dyDescent="0.3">
      <c r="B3120" s="25">
        <v>3133</v>
      </c>
      <c r="C3120" s="33">
        <v>2122</v>
      </c>
      <c r="D3120" s="33" t="s">
        <v>403</v>
      </c>
      <c r="E3120" s="35">
        <v>45015</v>
      </c>
      <c r="F3120" s="33">
        <v>1</v>
      </c>
      <c r="G3120" s="33" t="s">
        <v>122</v>
      </c>
      <c r="H3120" s="33" t="s">
        <v>201</v>
      </c>
      <c r="I3120" s="33" t="s">
        <v>196</v>
      </c>
      <c r="J3120" s="34">
        <v>31864.36</v>
      </c>
      <c r="K3120" s="34"/>
      <c r="L3120" s="34">
        <v>31864.36</v>
      </c>
    </row>
    <row r="3121" spans="2:12" x14ac:dyDescent="0.3">
      <c r="B3121" s="25">
        <v>3134</v>
      </c>
      <c r="C3121" s="33">
        <v>2126</v>
      </c>
      <c r="D3121" s="33" t="s">
        <v>602</v>
      </c>
      <c r="E3121" s="35">
        <v>45015</v>
      </c>
      <c r="F3121" s="33">
        <v>1</v>
      </c>
      <c r="G3121" s="33" t="s">
        <v>628</v>
      </c>
      <c r="H3121" s="33" t="s">
        <v>201</v>
      </c>
      <c r="I3121" s="33" t="s">
        <v>75</v>
      </c>
      <c r="J3121" s="34">
        <v>16064.4</v>
      </c>
      <c r="K3121" s="34"/>
      <c r="L3121" s="34">
        <v>16064.4</v>
      </c>
    </row>
    <row r="3122" spans="2:12" x14ac:dyDescent="0.3">
      <c r="B3122" s="25">
        <v>3135</v>
      </c>
      <c r="C3122" s="33" t="s">
        <v>1606</v>
      </c>
      <c r="D3122" s="33" t="s">
        <v>676</v>
      </c>
      <c r="E3122" s="35">
        <v>45015</v>
      </c>
      <c r="F3122" s="33">
        <v>1</v>
      </c>
      <c r="G3122" s="33" t="s">
        <v>124</v>
      </c>
      <c r="H3122" s="33" t="s">
        <v>201</v>
      </c>
      <c r="I3122" s="33" t="s">
        <v>197</v>
      </c>
      <c r="J3122" s="34">
        <v>7731.83</v>
      </c>
      <c r="K3122" s="34"/>
      <c r="L3122" s="34">
        <v>7731.83</v>
      </c>
    </row>
    <row r="3123" spans="2:12" x14ac:dyDescent="0.3">
      <c r="B3123" s="25">
        <v>3136</v>
      </c>
      <c r="C3123" s="33">
        <v>2128</v>
      </c>
      <c r="D3123" s="33" t="s">
        <v>826</v>
      </c>
      <c r="E3123" s="35">
        <v>45015</v>
      </c>
      <c r="F3123" s="33">
        <v>1</v>
      </c>
      <c r="G3123" s="33" t="s">
        <v>122</v>
      </c>
      <c r="H3123" s="33" t="s">
        <v>201</v>
      </c>
      <c r="I3123" s="33" t="s">
        <v>196</v>
      </c>
      <c r="J3123" s="34">
        <v>7382.1</v>
      </c>
      <c r="K3123" s="34"/>
      <c r="L3123" s="34">
        <v>7382.1</v>
      </c>
    </row>
    <row r="3124" spans="2:12" x14ac:dyDescent="0.3">
      <c r="B3124" s="25">
        <v>3137</v>
      </c>
      <c r="C3124" s="33">
        <v>2288</v>
      </c>
      <c r="D3124" s="33" t="s">
        <v>473</v>
      </c>
      <c r="E3124" s="35">
        <v>45022</v>
      </c>
      <c r="F3124" s="33">
        <v>2</v>
      </c>
      <c r="G3124" s="33" t="s">
        <v>122</v>
      </c>
      <c r="H3124" s="33" t="s">
        <v>201</v>
      </c>
      <c r="I3124" s="33" t="s">
        <v>196</v>
      </c>
      <c r="J3124" s="34">
        <v>3318.08</v>
      </c>
      <c r="K3124" s="34"/>
      <c r="L3124" s="34">
        <v>3318.08</v>
      </c>
    </row>
    <row r="3125" spans="2:12" x14ac:dyDescent="0.3">
      <c r="B3125" s="25">
        <v>3138</v>
      </c>
      <c r="C3125" s="33" t="s">
        <v>1607</v>
      </c>
      <c r="D3125" s="33" t="s">
        <v>565</v>
      </c>
      <c r="E3125" s="35">
        <v>45022</v>
      </c>
      <c r="F3125" s="33">
        <v>2</v>
      </c>
      <c r="G3125" s="33" t="s">
        <v>124</v>
      </c>
      <c r="H3125" s="33" t="s">
        <v>201</v>
      </c>
      <c r="I3125" s="33" t="s">
        <v>197</v>
      </c>
      <c r="J3125" s="34">
        <v>3642.32</v>
      </c>
      <c r="K3125" s="34"/>
      <c r="L3125" s="34">
        <v>3642.32</v>
      </c>
    </row>
    <row r="3126" spans="2:12" x14ac:dyDescent="0.3">
      <c r="B3126" s="25">
        <v>3139</v>
      </c>
      <c r="C3126" s="33">
        <v>2290</v>
      </c>
      <c r="D3126" s="33" t="s">
        <v>556</v>
      </c>
      <c r="E3126" s="35">
        <v>45022</v>
      </c>
      <c r="F3126" s="33">
        <v>2</v>
      </c>
      <c r="G3126" s="33" t="s">
        <v>124</v>
      </c>
      <c r="H3126" s="33" t="s">
        <v>201</v>
      </c>
      <c r="I3126" s="33" t="s">
        <v>197</v>
      </c>
      <c r="J3126" s="34">
        <v>1649.29</v>
      </c>
      <c r="K3126" s="34"/>
      <c r="L3126" s="34">
        <v>1649.29</v>
      </c>
    </row>
    <row r="3127" spans="2:12" x14ac:dyDescent="0.3">
      <c r="B3127" s="25">
        <v>3140</v>
      </c>
      <c r="C3127" s="33">
        <v>2292</v>
      </c>
      <c r="D3127" s="33" t="s">
        <v>584</v>
      </c>
      <c r="E3127" s="35">
        <v>45022</v>
      </c>
      <c r="F3127" s="33">
        <v>2</v>
      </c>
      <c r="G3127" s="33" t="s">
        <v>122</v>
      </c>
      <c r="H3127" s="33" t="s">
        <v>201</v>
      </c>
      <c r="I3127" s="33" t="s">
        <v>196</v>
      </c>
      <c r="J3127" s="34">
        <v>1898.87</v>
      </c>
      <c r="K3127" s="34"/>
      <c r="L3127" s="34">
        <v>1898.87</v>
      </c>
    </row>
    <row r="3128" spans="2:12" x14ac:dyDescent="0.3">
      <c r="B3128" s="25">
        <v>3141</v>
      </c>
      <c r="C3128" s="33">
        <v>2301</v>
      </c>
      <c r="D3128" s="33" t="s">
        <v>602</v>
      </c>
      <c r="E3128" s="35">
        <v>45022</v>
      </c>
      <c r="F3128" s="33">
        <v>2</v>
      </c>
      <c r="G3128" s="33" t="s">
        <v>628</v>
      </c>
      <c r="H3128" s="33" t="s">
        <v>201</v>
      </c>
      <c r="I3128" s="33" t="s">
        <v>75</v>
      </c>
      <c r="J3128" s="34">
        <v>639.1</v>
      </c>
      <c r="K3128" s="34"/>
      <c r="L3128" s="34">
        <v>639.1</v>
      </c>
    </row>
    <row r="3129" spans="2:12" x14ac:dyDescent="0.3">
      <c r="B3129" s="25">
        <v>3142</v>
      </c>
      <c r="C3129" s="33" t="s">
        <v>1608</v>
      </c>
      <c r="D3129" s="33" t="s">
        <v>1383</v>
      </c>
      <c r="E3129" s="35">
        <v>45022</v>
      </c>
      <c r="F3129" s="33">
        <v>2</v>
      </c>
      <c r="G3129" s="33" t="s">
        <v>231</v>
      </c>
      <c r="H3129" s="33" t="s">
        <v>201</v>
      </c>
      <c r="I3129" s="33" t="s">
        <v>198</v>
      </c>
      <c r="J3129" s="34">
        <v>4221.3599999999997</v>
      </c>
      <c r="K3129" s="34"/>
      <c r="L3129" s="34">
        <v>4221.3599999999997</v>
      </c>
    </row>
    <row r="3130" spans="2:12" x14ac:dyDescent="0.3">
      <c r="B3130" s="25">
        <v>3143</v>
      </c>
      <c r="C3130" s="33">
        <v>35546</v>
      </c>
      <c r="D3130" s="33" t="s">
        <v>687</v>
      </c>
      <c r="E3130" s="35">
        <v>45016</v>
      </c>
      <c r="F3130" s="33">
        <v>1</v>
      </c>
      <c r="G3130" s="33" t="s">
        <v>122</v>
      </c>
      <c r="H3130" s="33" t="s">
        <v>72</v>
      </c>
      <c r="I3130" s="33" t="s">
        <v>196</v>
      </c>
      <c r="J3130" s="34">
        <v>2789.6</v>
      </c>
      <c r="K3130" s="34"/>
      <c r="L3130" s="34">
        <v>2789.6</v>
      </c>
    </row>
    <row r="3131" spans="2:12" x14ac:dyDescent="0.3">
      <c r="B3131" s="25">
        <v>3144</v>
      </c>
      <c r="C3131" s="33">
        <v>35547</v>
      </c>
      <c r="D3131" s="33" t="s">
        <v>687</v>
      </c>
      <c r="E3131" s="35">
        <v>45016</v>
      </c>
      <c r="F3131" s="33">
        <v>1</v>
      </c>
      <c r="G3131" s="33" t="s">
        <v>122</v>
      </c>
      <c r="H3131" s="33" t="s">
        <v>72</v>
      </c>
      <c r="I3131" s="33" t="s">
        <v>196</v>
      </c>
      <c r="J3131" s="34">
        <v>1046.0999999999999</v>
      </c>
      <c r="K3131" s="34"/>
      <c r="L3131" s="34">
        <v>1046.0999999999999</v>
      </c>
    </row>
    <row r="3132" spans="2:12" x14ac:dyDescent="0.3">
      <c r="B3132" s="25">
        <v>3145</v>
      </c>
      <c r="C3132" s="33">
        <v>35597</v>
      </c>
      <c r="D3132" s="33" t="s">
        <v>1609</v>
      </c>
      <c r="E3132" s="35">
        <v>45029</v>
      </c>
      <c r="F3132" s="33">
        <v>2</v>
      </c>
      <c r="G3132" s="33" t="s">
        <v>122</v>
      </c>
      <c r="H3132" s="33" t="s">
        <v>72</v>
      </c>
      <c r="I3132" s="33" t="s">
        <v>196</v>
      </c>
      <c r="J3132" s="34">
        <v>11331.6</v>
      </c>
      <c r="K3132" s="34"/>
      <c r="L3132" s="34">
        <v>11331.6</v>
      </c>
    </row>
    <row r="3133" spans="2:12" x14ac:dyDescent="0.3">
      <c r="B3133" s="25">
        <v>3146</v>
      </c>
      <c r="C3133" s="33">
        <v>35599</v>
      </c>
      <c r="D3133" s="33" t="s">
        <v>1610</v>
      </c>
      <c r="E3133" s="35">
        <v>45029</v>
      </c>
      <c r="F3133" s="33">
        <v>2</v>
      </c>
      <c r="G3133" s="33" t="s">
        <v>124</v>
      </c>
      <c r="H3133" s="33" t="s">
        <v>72</v>
      </c>
      <c r="I3133" s="33" t="s">
        <v>197</v>
      </c>
      <c r="J3133" s="34">
        <v>9465.5</v>
      </c>
      <c r="K3133" s="34"/>
      <c r="L3133" s="34">
        <v>9465.5</v>
      </c>
    </row>
    <row r="3134" spans="2:12" x14ac:dyDescent="0.3">
      <c r="B3134" s="25">
        <v>3147</v>
      </c>
      <c r="C3134" s="33">
        <v>35601</v>
      </c>
      <c r="D3134" s="33" t="s">
        <v>1611</v>
      </c>
      <c r="E3134" s="35">
        <v>45030</v>
      </c>
      <c r="F3134" s="33">
        <v>2</v>
      </c>
      <c r="G3134" s="33" t="s">
        <v>122</v>
      </c>
      <c r="H3134" s="33" t="s">
        <v>72</v>
      </c>
      <c r="I3134" s="33" t="s">
        <v>196</v>
      </c>
      <c r="J3134" s="34">
        <v>10656</v>
      </c>
      <c r="K3134" s="34"/>
      <c r="L3134" s="34">
        <v>10656</v>
      </c>
    </row>
    <row r="3135" spans="2:12" x14ac:dyDescent="0.3">
      <c r="B3135" s="25">
        <v>3148</v>
      </c>
      <c r="C3135" s="33">
        <v>5491</v>
      </c>
      <c r="D3135" s="33" t="s">
        <v>1535</v>
      </c>
      <c r="E3135" s="35">
        <v>45022</v>
      </c>
      <c r="F3135" s="33">
        <v>2</v>
      </c>
      <c r="G3135" s="33" t="s">
        <v>628</v>
      </c>
      <c r="H3135" s="33" t="s">
        <v>630</v>
      </c>
      <c r="I3135" s="33" t="s">
        <v>75</v>
      </c>
      <c r="J3135" s="34">
        <v>1224</v>
      </c>
      <c r="K3135" s="34"/>
      <c r="L3135" s="34">
        <v>1224</v>
      </c>
    </row>
    <row r="3136" spans="2:12" x14ac:dyDescent="0.3">
      <c r="B3136" s="25">
        <v>3150</v>
      </c>
      <c r="C3136" s="33">
        <v>1642</v>
      </c>
      <c r="D3136" s="33" t="s">
        <v>1264</v>
      </c>
      <c r="E3136" s="35">
        <v>45035</v>
      </c>
      <c r="F3136" s="33">
        <v>2</v>
      </c>
      <c r="G3136" s="33" t="s">
        <v>122</v>
      </c>
      <c r="H3136" s="33" t="s">
        <v>71</v>
      </c>
      <c r="I3136" s="33" t="s">
        <v>196</v>
      </c>
      <c r="J3136" s="34">
        <v>3712.09</v>
      </c>
      <c r="K3136" s="34"/>
      <c r="L3136" s="34">
        <v>3712.09</v>
      </c>
    </row>
    <row r="3137" spans="2:12" x14ac:dyDescent="0.3">
      <c r="B3137" s="25">
        <v>3151</v>
      </c>
      <c r="C3137" s="33" t="s">
        <v>1612</v>
      </c>
      <c r="D3137" s="33" t="s">
        <v>412</v>
      </c>
      <c r="E3137" s="35">
        <v>44973</v>
      </c>
      <c r="F3137" s="33">
        <v>1</v>
      </c>
      <c r="G3137" s="33" t="s">
        <v>231</v>
      </c>
      <c r="H3137" s="33" t="s">
        <v>69</v>
      </c>
      <c r="I3137" s="33" t="s">
        <v>198</v>
      </c>
      <c r="J3137" s="34">
        <v>5676.1</v>
      </c>
      <c r="K3137" s="34"/>
      <c r="L3137" s="34">
        <v>5676.1</v>
      </c>
    </row>
    <row r="3138" spans="2:12" x14ac:dyDescent="0.3">
      <c r="B3138" s="25">
        <v>3152</v>
      </c>
      <c r="C3138" s="33">
        <v>51740</v>
      </c>
      <c r="D3138" s="33" t="s">
        <v>1613</v>
      </c>
      <c r="E3138" s="35">
        <v>45015</v>
      </c>
      <c r="F3138" s="33">
        <v>1</v>
      </c>
      <c r="G3138" s="33" t="s">
        <v>124</v>
      </c>
      <c r="H3138" s="33" t="s">
        <v>69</v>
      </c>
      <c r="I3138" s="33" t="s">
        <v>197</v>
      </c>
      <c r="J3138" s="34">
        <v>497.5</v>
      </c>
      <c r="K3138" s="34"/>
      <c r="L3138" s="34">
        <v>497.5</v>
      </c>
    </row>
    <row r="3139" spans="2:12" x14ac:dyDescent="0.3">
      <c r="B3139" s="25">
        <v>3153</v>
      </c>
      <c r="C3139" s="33">
        <v>51746</v>
      </c>
      <c r="D3139" s="33" t="s">
        <v>404</v>
      </c>
      <c r="E3139" s="35">
        <v>45015</v>
      </c>
      <c r="F3139" s="33">
        <v>1</v>
      </c>
      <c r="G3139" s="33" t="s">
        <v>122</v>
      </c>
      <c r="H3139" s="33" t="s">
        <v>69</v>
      </c>
      <c r="I3139" s="33" t="s">
        <v>196</v>
      </c>
      <c r="J3139" s="34">
        <v>511.49</v>
      </c>
      <c r="K3139" s="34"/>
      <c r="L3139" s="34">
        <v>511.49</v>
      </c>
    </row>
    <row r="3140" spans="2:12" x14ac:dyDescent="0.3">
      <c r="B3140" s="25">
        <v>3154</v>
      </c>
      <c r="C3140" s="33">
        <v>51747</v>
      </c>
      <c r="D3140" s="33" t="s">
        <v>411</v>
      </c>
      <c r="E3140" s="35">
        <v>45015</v>
      </c>
      <c r="F3140" s="33">
        <v>1</v>
      </c>
      <c r="G3140" s="33" t="s">
        <v>122</v>
      </c>
      <c r="H3140" s="33" t="s">
        <v>69</v>
      </c>
      <c r="I3140" s="33" t="s">
        <v>196</v>
      </c>
      <c r="J3140" s="34">
        <v>181</v>
      </c>
      <c r="K3140" s="34"/>
      <c r="L3140" s="34">
        <v>181</v>
      </c>
    </row>
    <row r="3141" spans="2:12" x14ac:dyDescent="0.3">
      <c r="B3141" s="25">
        <v>3155</v>
      </c>
      <c r="C3141" s="33">
        <v>51749</v>
      </c>
      <c r="D3141" s="33" t="s">
        <v>394</v>
      </c>
      <c r="E3141" s="35">
        <v>45015</v>
      </c>
      <c r="F3141" s="33">
        <v>1</v>
      </c>
      <c r="G3141" s="33" t="s">
        <v>122</v>
      </c>
      <c r="H3141" s="33" t="s">
        <v>69</v>
      </c>
      <c r="I3141" s="33" t="s">
        <v>196</v>
      </c>
      <c r="J3141" s="34">
        <v>1327.49</v>
      </c>
      <c r="K3141" s="34"/>
      <c r="L3141" s="34">
        <v>1327.49</v>
      </c>
    </row>
    <row r="3142" spans="2:12" x14ac:dyDescent="0.3">
      <c r="B3142" s="25">
        <v>3156</v>
      </c>
      <c r="C3142" s="33">
        <v>51754</v>
      </c>
      <c r="D3142" s="33" t="s">
        <v>493</v>
      </c>
      <c r="E3142" s="35">
        <v>45015</v>
      </c>
      <c r="F3142" s="33">
        <v>1</v>
      </c>
      <c r="G3142" s="33" t="s">
        <v>122</v>
      </c>
      <c r="H3142" s="33" t="s">
        <v>69</v>
      </c>
      <c r="I3142" s="33" t="s">
        <v>196</v>
      </c>
      <c r="J3142" s="34">
        <v>3524</v>
      </c>
      <c r="K3142" s="34"/>
      <c r="L3142" s="34">
        <v>3524</v>
      </c>
    </row>
    <row r="3143" spans="2:12" x14ac:dyDescent="0.3">
      <c r="B3143" s="25">
        <v>3157</v>
      </c>
      <c r="C3143" s="33">
        <v>51753</v>
      </c>
      <c r="D3143" s="33" t="s">
        <v>805</v>
      </c>
      <c r="E3143" s="35">
        <v>45015</v>
      </c>
      <c r="F3143" s="33">
        <v>1</v>
      </c>
      <c r="G3143" s="33" t="s">
        <v>231</v>
      </c>
      <c r="H3143" s="33" t="s">
        <v>69</v>
      </c>
      <c r="I3143" s="33" t="s">
        <v>198</v>
      </c>
      <c r="J3143" s="34">
        <v>4141</v>
      </c>
      <c r="K3143" s="34"/>
      <c r="L3143" s="34">
        <v>4141</v>
      </c>
    </row>
    <row r="3144" spans="2:12" x14ac:dyDescent="0.3">
      <c r="B3144" s="25">
        <v>3158</v>
      </c>
      <c r="C3144" s="33">
        <v>5133</v>
      </c>
      <c r="D3144" s="33" t="s">
        <v>403</v>
      </c>
      <c r="E3144" s="35">
        <v>45016</v>
      </c>
      <c r="F3144" s="33">
        <v>1</v>
      </c>
      <c r="G3144" s="33" t="s">
        <v>122</v>
      </c>
      <c r="H3144" s="33" t="s">
        <v>69</v>
      </c>
      <c r="I3144" s="33" t="s">
        <v>196</v>
      </c>
      <c r="J3144" s="34">
        <v>32</v>
      </c>
      <c r="K3144" s="34"/>
      <c r="L3144" s="34">
        <v>32</v>
      </c>
    </row>
    <row r="3145" spans="2:12" x14ac:dyDescent="0.3">
      <c r="B3145" s="25">
        <v>3159</v>
      </c>
      <c r="C3145" s="33">
        <v>51866</v>
      </c>
      <c r="D3145" s="33" t="s">
        <v>281</v>
      </c>
      <c r="E3145" s="35">
        <v>45022</v>
      </c>
      <c r="F3145" s="33">
        <v>2</v>
      </c>
      <c r="G3145" s="33" t="s">
        <v>124</v>
      </c>
      <c r="H3145" s="33" t="s">
        <v>69</v>
      </c>
      <c r="I3145" s="33" t="s">
        <v>197</v>
      </c>
      <c r="J3145" s="34">
        <v>774</v>
      </c>
      <c r="K3145" s="34"/>
      <c r="L3145" s="34">
        <v>774</v>
      </c>
    </row>
    <row r="3146" spans="2:12" x14ac:dyDescent="0.3">
      <c r="B3146" s="25">
        <v>3160</v>
      </c>
      <c r="C3146" s="33">
        <v>51868</v>
      </c>
      <c r="D3146" s="33" t="s">
        <v>234</v>
      </c>
      <c r="E3146" s="35">
        <v>45022</v>
      </c>
      <c r="F3146" s="33">
        <v>2</v>
      </c>
      <c r="G3146" s="33" t="s">
        <v>122</v>
      </c>
      <c r="H3146" s="33" t="s">
        <v>69</v>
      </c>
      <c r="I3146" s="33" t="s">
        <v>196</v>
      </c>
      <c r="J3146" s="34">
        <v>2652.19</v>
      </c>
      <c r="K3146" s="34"/>
      <c r="L3146" s="34">
        <v>2652.19</v>
      </c>
    </row>
    <row r="3147" spans="2:12" x14ac:dyDescent="0.3">
      <c r="B3147" s="25">
        <v>3161</v>
      </c>
      <c r="C3147" s="33" t="s">
        <v>1614</v>
      </c>
      <c r="D3147" s="33" t="s">
        <v>400</v>
      </c>
      <c r="E3147" s="35">
        <v>45023</v>
      </c>
      <c r="F3147" s="33">
        <v>2</v>
      </c>
      <c r="G3147" s="33" t="s">
        <v>231</v>
      </c>
      <c r="H3147" s="33" t="s">
        <v>69</v>
      </c>
      <c r="I3147" s="33" t="s">
        <v>198</v>
      </c>
      <c r="J3147" s="34">
        <v>3814.46</v>
      </c>
      <c r="K3147" s="34"/>
      <c r="L3147" s="34">
        <v>3814.46</v>
      </c>
    </row>
    <row r="3148" spans="2:12" x14ac:dyDescent="0.3">
      <c r="B3148" s="25">
        <v>3162</v>
      </c>
      <c r="C3148" s="33">
        <v>51914</v>
      </c>
      <c r="D3148" s="33" t="s">
        <v>400</v>
      </c>
      <c r="E3148" s="35">
        <v>45023</v>
      </c>
      <c r="F3148" s="33">
        <v>2</v>
      </c>
      <c r="G3148" s="33" t="s">
        <v>231</v>
      </c>
      <c r="H3148" s="33" t="s">
        <v>69</v>
      </c>
      <c r="I3148" s="33" t="s">
        <v>198</v>
      </c>
      <c r="J3148" s="34">
        <v>47.04</v>
      </c>
      <c r="K3148" s="34"/>
      <c r="L3148" s="34">
        <v>47.04</v>
      </c>
    </row>
    <row r="3149" spans="2:12" x14ac:dyDescent="0.3">
      <c r="B3149" s="25">
        <v>3163</v>
      </c>
      <c r="C3149" s="33">
        <v>51915</v>
      </c>
      <c r="D3149" s="33" t="s">
        <v>417</v>
      </c>
      <c r="E3149" s="35">
        <v>45023</v>
      </c>
      <c r="F3149" s="33">
        <v>2</v>
      </c>
      <c r="G3149" s="33" t="s">
        <v>122</v>
      </c>
      <c r="H3149" s="33" t="s">
        <v>69</v>
      </c>
      <c r="I3149" s="33" t="s">
        <v>196</v>
      </c>
      <c r="J3149" s="34">
        <v>8364.93</v>
      </c>
      <c r="K3149" s="34"/>
      <c r="L3149" s="34">
        <v>8364.93</v>
      </c>
    </row>
    <row r="3150" spans="2:12" x14ac:dyDescent="0.3">
      <c r="B3150" s="25">
        <v>3164</v>
      </c>
      <c r="C3150" s="33">
        <v>5737</v>
      </c>
      <c r="D3150" s="33" t="s">
        <v>410</v>
      </c>
      <c r="E3150" s="35">
        <v>45028</v>
      </c>
      <c r="F3150" s="33">
        <v>2</v>
      </c>
      <c r="G3150" s="33" t="s">
        <v>231</v>
      </c>
      <c r="H3150" s="33" t="s">
        <v>69</v>
      </c>
      <c r="I3150" s="33" t="s">
        <v>198</v>
      </c>
      <c r="J3150" s="34">
        <v>1151.5</v>
      </c>
      <c r="K3150" s="34"/>
      <c r="L3150" s="34">
        <v>1151.5</v>
      </c>
    </row>
    <row r="3151" spans="2:12" x14ac:dyDescent="0.3">
      <c r="B3151" s="25">
        <v>3165</v>
      </c>
      <c r="C3151" s="33">
        <v>5739</v>
      </c>
      <c r="D3151" s="33" t="s">
        <v>403</v>
      </c>
      <c r="E3151" s="35">
        <v>45033</v>
      </c>
      <c r="F3151" s="33">
        <v>2</v>
      </c>
      <c r="G3151" s="33" t="s">
        <v>122</v>
      </c>
      <c r="H3151" s="33" t="s">
        <v>69</v>
      </c>
      <c r="I3151" s="33" t="s">
        <v>196</v>
      </c>
      <c r="J3151" s="34">
        <v>7555.01</v>
      </c>
      <c r="K3151" s="34"/>
      <c r="L3151" s="34">
        <v>7555.01</v>
      </c>
    </row>
    <row r="3152" spans="2:12" x14ac:dyDescent="0.3">
      <c r="B3152" s="25">
        <v>3167</v>
      </c>
      <c r="C3152" s="33">
        <v>50473</v>
      </c>
      <c r="D3152" s="33" t="s">
        <v>414</v>
      </c>
      <c r="E3152" s="35">
        <v>44966</v>
      </c>
      <c r="F3152" s="33">
        <v>1</v>
      </c>
      <c r="G3152" s="33" t="s">
        <v>122</v>
      </c>
      <c r="H3152" s="33">
        <v>53</v>
      </c>
      <c r="I3152" s="33" t="s">
        <v>196</v>
      </c>
      <c r="J3152" s="34">
        <v>1980.98</v>
      </c>
      <c r="K3152" s="34"/>
      <c r="L3152" s="34">
        <v>1980.98</v>
      </c>
    </row>
    <row r="3153" spans="2:12" x14ac:dyDescent="0.3">
      <c r="B3153" s="25">
        <v>3168</v>
      </c>
      <c r="C3153" s="33">
        <v>51051</v>
      </c>
      <c r="D3153" s="33" t="s">
        <v>400</v>
      </c>
      <c r="E3153" s="35">
        <v>45002</v>
      </c>
      <c r="F3153" s="33">
        <v>1</v>
      </c>
      <c r="G3153" s="33" t="s">
        <v>231</v>
      </c>
      <c r="H3153" s="33">
        <v>53</v>
      </c>
      <c r="I3153" s="33" t="s">
        <v>198</v>
      </c>
      <c r="J3153" s="34">
        <v>748.35</v>
      </c>
      <c r="K3153" s="34"/>
      <c r="L3153" s="34">
        <v>748.35</v>
      </c>
    </row>
    <row r="3154" spans="2:12" x14ac:dyDescent="0.3">
      <c r="B3154" s="25">
        <v>3169</v>
      </c>
      <c r="C3154" s="33">
        <v>51052</v>
      </c>
      <c r="D3154" s="33" t="s">
        <v>400</v>
      </c>
      <c r="E3154" s="35">
        <v>45002</v>
      </c>
      <c r="F3154" s="33">
        <v>1</v>
      </c>
      <c r="G3154" s="33" t="s">
        <v>231</v>
      </c>
      <c r="H3154" s="33">
        <v>53</v>
      </c>
      <c r="I3154" s="33" t="s">
        <v>198</v>
      </c>
      <c r="J3154" s="34">
        <v>1977.67</v>
      </c>
      <c r="K3154" s="34"/>
      <c r="L3154" s="34">
        <v>1977.67</v>
      </c>
    </row>
    <row r="3155" spans="2:12" x14ac:dyDescent="0.3">
      <c r="B3155" s="25">
        <v>3170</v>
      </c>
      <c r="C3155" s="33">
        <v>51053</v>
      </c>
      <c r="D3155" s="33" t="s">
        <v>401</v>
      </c>
      <c r="E3155" s="35">
        <v>45002</v>
      </c>
      <c r="F3155" s="33">
        <v>1</v>
      </c>
      <c r="G3155" s="33" t="s">
        <v>231</v>
      </c>
      <c r="H3155" s="33">
        <v>53</v>
      </c>
      <c r="I3155" s="33" t="s">
        <v>198</v>
      </c>
      <c r="J3155" s="34">
        <v>604.5</v>
      </c>
      <c r="K3155" s="34"/>
      <c r="L3155" s="34">
        <v>604.5</v>
      </c>
    </row>
    <row r="3156" spans="2:12" x14ac:dyDescent="0.3">
      <c r="B3156" s="25">
        <v>3171</v>
      </c>
      <c r="C3156" s="33" t="s">
        <v>1615</v>
      </c>
      <c r="D3156" s="33" t="s">
        <v>275</v>
      </c>
      <c r="E3156" s="35">
        <v>45008</v>
      </c>
      <c r="F3156" s="33">
        <v>1</v>
      </c>
      <c r="G3156" s="33" t="s">
        <v>124</v>
      </c>
      <c r="H3156" s="33">
        <v>53</v>
      </c>
      <c r="I3156" s="33" t="s">
        <v>197</v>
      </c>
      <c r="J3156" s="34">
        <v>2643.98</v>
      </c>
      <c r="K3156" s="34"/>
      <c r="L3156" s="34">
        <v>2643.98</v>
      </c>
    </row>
    <row r="3157" spans="2:12" x14ac:dyDescent="0.3">
      <c r="B3157" s="25">
        <v>3172</v>
      </c>
      <c r="C3157" s="33" t="s">
        <v>1616</v>
      </c>
      <c r="D3157" s="33" t="s">
        <v>1617</v>
      </c>
      <c r="E3157" s="35">
        <v>45008</v>
      </c>
      <c r="F3157" s="33">
        <v>1</v>
      </c>
      <c r="G3157" s="33" t="s">
        <v>124</v>
      </c>
      <c r="H3157" s="33">
        <v>53</v>
      </c>
      <c r="I3157" s="33" t="s">
        <v>197</v>
      </c>
      <c r="J3157" s="34">
        <v>3024.96</v>
      </c>
      <c r="K3157" s="34"/>
      <c r="L3157" s="34">
        <v>3024.96</v>
      </c>
    </row>
    <row r="3158" spans="2:12" x14ac:dyDescent="0.3">
      <c r="B3158" s="25">
        <v>3173</v>
      </c>
      <c r="C3158" s="33">
        <v>51145</v>
      </c>
      <c r="D3158" s="33" t="s">
        <v>400</v>
      </c>
      <c r="E3158" s="35">
        <v>45009</v>
      </c>
      <c r="F3158" s="33">
        <v>1</v>
      </c>
      <c r="G3158" s="33" t="s">
        <v>231</v>
      </c>
      <c r="H3158" s="33">
        <v>53</v>
      </c>
      <c r="I3158" s="33" t="s">
        <v>198</v>
      </c>
      <c r="J3158" s="34">
        <v>3525.42</v>
      </c>
      <c r="K3158" s="34"/>
      <c r="L3158" s="34">
        <v>3525.42</v>
      </c>
    </row>
    <row r="3159" spans="2:12" x14ac:dyDescent="0.3">
      <c r="B3159" s="25">
        <v>3174</v>
      </c>
      <c r="C3159" s="33">
        <v>51144</v>
      </c>
      <c r="D3159" s="33" t="s">
        <v>400</v>
      </c>
      <c r="E3159" s="35">
        <v>45009</v>
      </c>
      <c r="F3159" s="33">
        <v>1</v>
      </c>
      <c r="G3159" s="33" t="s">
        <v>231</v>
      </c>
      <c r="H3159" s="33">
        <v>53</v>
      </c>
      <c r="I3159" s="33" t="s">
        <v>198</v>
      </c>
      <c r="J3159" s="34">
        <v>429.94</v>
      </c>
      <c r="K3159" s="34"/>
      <c r="L3159" s="34">
        <v>429.94</v>
      </c>
    </row>
    <row r="3160" spans="2:12" x14ac:dyDescent="0.3">
      <c r="B3160" s="25">
        <v>3175</v>
      </c>
      <c r="C3160" s="33">
        <v>51148</v>
      </c>
      <c r="D3160" s="33" t="s">
        <v>401</v>
      </c>
      <c r="E3160" s="35">
        <v>45009</v>
      </c>
      <c r="F3160" s="33">
        <v>1</v>
      </c>
      <c r="G3160" s="33" t="s">
        <v>231</v>
      </c>
      <c r="H3160" s="33">
        <v>53</v>
      </c>
      <c r="I3160" s="33" t="s">
        <v>198</v>
      </c>
      <c r="J3160" s="34">
        <v>696</v>
      </c>
      <c r="K3160" s="34"/>
      <c r="L3160" s="34">
        <v>696</v>
      </c>
    </row>
    <row r="3161" spans="2:12" x14ac:dyDescent="0.3">
      <c r="B3161" s="25">
        <v>3176</v>
      </c>
      <c r="C3161" s="33">
        <v>51200</v>
      </c>
      <c r="D3161" s="33" t="s">
        <v>400</v>
      </c>
      <c r="E3161" s="35">
        <v>45015</v>
      </c>
      <c r="F3161" s="33">
        <v>1</v>
      </c>
      <c r="G3161" s="33" t="s">
        <v>231</v>
      </c>
      <c r="H3161" s="33" t="s">
        <v>73</v>
      </c>
      <c r="I3161" s="33" t="s">
        <v>198</v>
      </c>
      <c r="J3161" s="34">
        <v>533.01</v>
      </c>
      <c r="K3161" s="34"/>
      <c r="L3161" s="34">
        <v>533.01</v>
      </c>
    </row>
    <row r="3162" spans="2:12" x14ac:dyDescent="0.3">
      <c r="B3162" s="25">
        <v>3177</v>
      </c>
      <c r="C3162" s="33" t="s">
        <v>1618</v>
      </c>
      <c r="D3162" s="33" t="s">
        <v>414</v>
      </c>
      <c r="E3162" s="35">
        <v>45015</v>
      </c>
      <c r="F3162" s="33">
        <v>1</v>
      </c>
      <c r="G3162" s="33" t="s">
        <v>122</v>
      </c>
      <c r="H3162" s="33">
        <v>53</v>
      </c>
      <c r="I3162" s="33" t="s">
        <v>196</v>
      </c>
      <c r="J3162" s="34">
        <v>188.5</v>
      </c>
      <c r="K3162" s="34"/>
      <c r="L3162" s="34">
        <v>188.5</v>
      </c>
    </row>
    <row r="3163" spans="2:12" x14ac:dyDescent="0.3">
      <c r="B3163" s="25">
        <v>3178</v>
      </c>
      <c r="C3163" s="33" t="s">
        <v>1619</v>
      </c>
      <c r="D3163" s="33" t="s">
        <v>665</v>
      </c>
      <c r="E3163" s="35">
        <v>45015</v>
      </c>
      <c r="F3163" s="33">
        <v>1</v>
      </c>
      <c r="G3163" s="33" t="s">
        <v>122</v>
      </c>
      <c r="H3163" s="33" t="s">
        <v>73</v>
      </c>
      <c r="I3163" s="33" t="s">
        <v>196</v>
      </c>
      <c r="J3163" s="34">
        <v>2956.81</v>
      </c>
      <c r="K3163" s="34"/>
      <c r="L3163" s="34">
        <v>2956.81</v>
      </c>
    </row>
    <row r="3164" spans="2:12" x14ac:dyDescent="0.3">
      <c r="B3164" s="25">
        <v>3179</v>
      </c>
      <c r="C3164" s="33" t="s">
        <v>1620</v>
      </c>
      <c r="D3164" s="33" t="s">
        <v>275</v>
      </c>
      <c r="E3164" s="35">
        <v>45015</v>
      </c>
      <c r="F3164" s="33">
        <v>1</v>
      </c>
      <c r="G3164" s="33" t="s">
        <v>124</v>
      </c>
      <c r="H3164" s="33">
        <v>53</v>
      </c>
      <c r="I3164" s="33" t="s">
        <v>197</v>
      </c>
      <c r="J3164" s="34">
        <v>8574.9</v>
      </c>
      <c r="K3164" s="34"/>
      <c r="L3164" s="34">
        <v>8574.9</v>
      </c>
    </row>
    <row r="3165" spans="2:12" x14ac:dyDescent="0.3">
      <c r="B3165" s="25">
        <v>3180</v>
      </c>
      <c r="C3165" s="33">
        <v>51305</v>
      </c>
      <c r="D3165" s="33" t="s">
        <v>1550</v>
      </c>
      <c r="E3165" s="35">
        <v>45022</v>
      </c>
      <c r="F3165" s="33">
        <v>2</v>
      </c>
      <c r="G3165" s="33" t="s">
        <v>231</v>
      </c>
      <c r="H3165" s="33">
        <v>53</v>
      </c>
      <c r="I3165" s="33" t="s">
        <v>198</v>
      </c>
      <c r="J3165" s="34">
        <v>1788</v>
      </c>
      <c r="K3165" s="34"/>
      <c r="L3165" s="34">
        <v>1788</v>
      </c>
    </row>
    <row r="3166" spans="2:12" x14ac:dyDescent="0.3">
      <c r="B3166" s="25">
        <v>3181</v>
      </c>
      <c r="C3166" s="33">
        <v>51371</v>
      </c>
      <c r="D3166" s="33" t="s">
        <v>400</v>
      </c>
      <c r="E3166" s="35">
        <v>45028</v>
      </c>
      <c r="F3166" s="33">
        <v>2</v>
      </c>
      <c r="G3166" s="33" t="s">
        <v>231</v>
      </c>
      <c r="H3166" s="33">
        <v>53</v>
      </c>
      <c r="I3166" s="33" t="s">
        <v>198</v>
      </c>
      <c r="J3166" s="34">
        <v>1929.15</v>
      </c>
      <c r="K3166" s="34"/>
      <c r="L3166" s="34">
        <v>1929.15</v>
      </c>
    </row>
    <row r="3167" spans="2:12" x14ac:dyDescent="0.3">
      <c r="B3167" s="25">
        <v>3182</v>
      </c>
      <c r="C3167" s="33">
        <v>51372</v>
      </c>
      <c r="D3167" s="33" t="s">
        <v>400</v>
      </c>
      <c r="E3167" s="35">
        <v>45028</v>
      </c>
      <c r="F3167" s="33">
        <v>2</v>
      </c>
      <c r="G3167" s="33" t="s">
        <v>231</v>
      </c>
      <c r="H3167" s="33">
        <v>53</v>
      </c>
      <c r="I3167" s="33" t="s">
        <v>198</v>
      </c>
      <c r="J3167" s="34">
        <v>766.47</v>
      </c>
      <c r="K3167" s="34"/>
      <c r="L3167" s="34">
        <v>766.47</v>
      </c>
    </row>
    <row r="3168" spans="2:12" x14ac:dyDescent="0.3">
      <c r="B3168" s="25">
        <v>3183</v>
      </c>
      <c r="C3168" s="33" t="s">
        <v>1466</v>
      </c>
      <c r="D3168" s="33" t="s">
        <v>1264</v>
      </c>
      <c r="E3168" s="35">
        <v>45034</v>
      </c>
      <c r="F3168" s="33">
        <v>2</v>
      </c>
      <c r="G3168" s="33" t="s">
        <v>124</v>
      </c>
      <c r="H3168" s="33" t="s">
        <v>71</v>
      </c>
      <c r="I3168" s="33" t="s">
        <v>197</v>
      </c>
      <c r="J3168" s="34">
        <v>6365.14</v>
      </c>
      <c r="K3168" s="34"/>
      <c r="L3168" s="34">
        <v>6365.14</v>
      </c>
    </row>
    <row r="3169" spans="2:12" x14ac:dyDescent="0.3">
      <c r="B3169" s="25">
        <v>3184</v>
      </c>
      <c r="C3169" s="33" t="s">
        <v>1621</v>
      </c>
      <c r="D3169" s="33" t="s">
        <v>1622</v>
      </c>
      <c r="E3169" s="35">
        <v>44952</v>
      </c>
      <c r="F3169" s="33">
        <v>1</v>
      </c>
      <c r="G3169" s="33" t="s">
        <v>122</v>
      </c>
      <c r="H3169" s="33" t="s">
        <v>629</v>
      </c>
      <c r="I3169" s="33" t="s">
        <v>196</v>
      </c>
      <c r="J3169" s="34">
        <v>1375</v>
      </c>
      <c r="K3169" s="34">
        <v>85</v>
      </c>
      <c r="L3169" s="34">
        <v>1290</v>
      </c>
    </row>
    <row r="3170" spans="2:12" x14ac:dyDescent="0.3">
      <c r="B3170" s="25">
        <v>3185</v>
      </c>
      <c r="C3170" s="33" t="s">
        <v>1623</v>
      </c>
      <c r="D3170" s="33" t="s">
        <v>1624</v>
      </c>
      <c r="E3170" s="35">
        <v>44966</v>
      </c>
      <c r="F3170" s="33">
        <v>1</v>
      </c>
      <c r="G3170" s="33" t="s">
        <v>122</v>
      </c>
      <c r="H3170" s="33" t="s">
        <v>629</v>
      </c>
      <c r="I3170" s="33" t="s">
        <v>196</v>
      </c>
      <c r="J3170" s="34">
        <v>1640</v>
      </c>
      <c r="K3170" s="34"/>
      <c r="L3170" s="34">
        <v>1640</v>
      </c>
    </row>
    <row r="3171" spans="2:12" x14ac:dyDescent="0.3">
      <c r="B3171" s="25">
        <v>3186</v>
      </c>
      <c r="C3171" s="33" t="s">
        <v>1625</v>
      </c>
      <c r="D3171" s="33" t="s">
        <v>1626</v>
      </c>
      <c r="E3171" s="35">
        <v>45005</v>
      </c>
      <c r="F3171" s="33">
        <v>1</v>
      </c>
      <c r="G3171" s="33" t="s">
        <v>628</v>
      </c>
      <c r="H3171" s="33" t="s">
        <v>629</v>
      </c>
      <c r="I3171" s="33" t="s">
        <v>75</v>
      </c>
      <c r="J3171" s="34">
        <v>3925</v>
      </c>
      <c r="K3171" s="34">
        <v>400</v>
      </c>
      <c r="L3171" s="34">
        <v>3525</v>
      </c>
    </row>
    <row r="3172" spans="2:12" x14ac:dyDescent="0.3">
      <c r="B3172" s="25">
        <v>3187</v>
      </c>
      <c r="C3172" s="33" t="s">
        <v>1627</v>
      </c>
      <c r="D3172" s="33" t="s">
        <v>1628</v>
      </c>
      <c r="E3172" s="35">
        <v>44995</v>
      </c>
      <c r="F3172" s="33">
        <v>1</v>
      </c>
      <c r="G3172" s="33" t="s">
        <v>122</v>
      </c>
      <c r="H3172" s="33" t="s">
        <v>629</v>
      </c>
      <c r="I3172" s="33" t="s">
        <v>196</v>
      </c>
      <c r="J3172" s="34">
        <v>978</v>
      </c>
      <c r="K3172" s="34">
        <v>80</v>
      </c>
      <c r="L3172" s="34">
        <v>898</v>
      </c>
    </row>
    <row r="3173" spans="2:12" x14ac:dyDescent="0.3">
      <c r="B3173" s="25">
        <v>3188</v>
      </c>
      <c r="C3173" s="33">
        <v>384349</v>
      </c>
      <c r="D3173" s="33" t="s">
        <v>1629</v>
      </c>
      <c r="E3173" s="35">
        <v>45040</v>
      </c>
      <c r="F3173" s="33">
        <v>2</v>
      </c>
      <c r="G3173" s="33" t="s">
        <v>122</v>
      </c>
      <c r="H3173" s="33" t="s">
        <v>200</v>
      </c>
      <c r="I3173" s="33" t="s">
        <v>196</v>
      </c>
      <c r="J3173" s="34">
        <v>497.6</v>
      </c>
      <c r="K3173" s="34"/>
      <c r="L3173" s="34">
        <v>497.6</v>
      </c>
    </row>
    <row r="3174" spans="2:12" x14ac:dyDescent="0.3">
      <c r="B3174" s="25">
        <v>3189</v>
      </c>
      <c r="C3174" s="33">
        <v>50858</v>
      </c>
      <c r="D3174" s="33" t="s">
        <v>805</v>
      </c>
      <c r="E3174" s="35">
        <v>44973</v>
      </c>
      <c r="F3174" s="33">
        <v>1</v>
      </c>
      <c r="G3174" s="33" t="s">
        <v>231</v>
      </c>
      <c r="H3174" s="33" t="s">
        <v>69</v>
      </c>
      <c r="I3174" s="33" t="s">
        <v>198</v>
      </c>
      <c r="J3174" s="34">
        <v>971.01</v>
      </c>
      <c r="K3174" s="34"/>
      <c r="L3174" s="34">
        <v>971.01</v>
      </c>
    </row>
    <row r="3175" spans="2:12" x14ac:dyDescent="0.3">
      <c r="B3175" s="25">
        <v>3190</v>
      </c>
      <c r="C3175" s="33">
        <v>35679</v>
      </c>
      <c r="D3175" s="33" t="s">
        <v>394</v>
      </c>
      <c r="E3175" s="35">
        <v>45041</v>
      </c>
      <c r="F3175" s="33">
        <v>2</v>
      </c>
      <c r="G3175" s="33" t="s">
        <v>122</v>
      </c>
      <c r="H3175" s="33" t="s">
        <v>72</v>
      </c>
      <c r="I3175" s="33" t="s">
        <v>196</v>
      </c>
      <c r="J3175" s="34">
        <v>8295.43</v>
      </c>
      <c r="K3175" s="34"/>
      <c r="L3175" s="34">
        <v>8295.43</v>
      </c>
    </row>
    <row r="3176" spans="2:12" x14ac:dyDescent="0.3">
      <c r="B3176" s="25">
        <v>3191</v>
      </c>
      <c r="C3176" s="33" t="s">
        <v>1630</v>
      </c>
      <c r="D3176" s="33" t="s">
        <v>362</v>
      </c>
      <c r="E3176" s="35">
        <v>45029</v>
      </c>
      <c r="F3176" s="33">
        <v>2</v>
      </c>
      <c r="G3176" s="33" t="s">
        <v>124</v>
      </c>
      <c r="H3176" s="33" t="s">
        <v>201</v>
      </c>
      <c r="I3176" s="33" t="s">
        <v>197</v>
      </c>
      <c r="J3176" s="34">
        <v>643.30999999999995</v>
      </c>
      <c r="K3176" s="34">
        <v>100</v>
      </c>
      <c r="L3176" s="34">
        <v>543.30999999999995</v>
      </c>
    </row>
    <row r="3177" spans="2:12" x14ac:dyDescent="0.3">
      <c r="B3177" s="25">
        <v>3192</v>
      </c>
      <c r="C3177" s="33">
        <v>2472</v>
      </c>
      <c r="D3177" s="33" t="s">
        <v>394</v>
      </c>
      <c r="E3177" s="35">
        <v>45030</v>
      </c>
      <c r="F3177" s="33">
        <v>2</v>
      </c>
      <c r="G3177" s="33" t="s">
        <v>122</v>
      </c>
      <c r="H3177" s="33" t="s">
        <v>201</v>
      </c>
      <c r="I3177" s="33" t="s">
        <v>196</v>
      </c>
      <c r="J3177" s="34">
        <v>1567.5</v>
      </c>
      <c r="K3177" s="34"/>
      <c r="L3177" s="34">
        <v>1567.5</v>
      </c>
    </row>
    <row r="3178" spans="2:12" x14ac:dyDescent="0.3">
      <c r="B3178" s="25">
        <v>3193</v>
      </c>
      <c r="C3178" s="33">
        <v>2473</v>
      </c>
      <c r="D3178" s="33" t="s">
        <v>594</v>
      </c>
      <c r="E3178" s="35">
        <v>45030</v>
      </c>
      <c r="F3178" s="33">
        <v>2</v>
      </c>
      <c r="G3178" s="33" t="s">
        <v>628</v>
      </c>
      <c r="H3178" s="33" t="s">
        <v>201</v>
      </c>
      <c r="I3178" s="33" t="s">
        <v>75</v>
      </c>
      <c r="J3178" s="34">
        <v>3694.35</v>
      </c>
      <c r="K3178" s="34"/>
      <c r="L3178" s="34">
        <v>3694.35</v>
      </c>
    </row>
    <row r="3179" spans="2:12" x14ac:dyDescent="0.3">
      <c r="B3179" s="25">
        <v>3194</v>
      </c>
      <c r="C3179" s="33">
        <v>2474</v>
      </c>
      <c r="D3179" s="33" t="s">
        <v>565</v>
      </c>
      <c r="E3179" s="35">
        <v>45030</v>
      </c>
      <c r="F3179" s="33">
        <v>2</v>
      </c>
      <c r="G3179" s="33" t="s">
        <v>124</v>
      </c>
      <c r="H3179" s="33" t="s">
        <v>201</v>
      </c>
      <c r="I3179" s="33" t="s">
        <v>197</v>
      </c>
      <c r="J3179" s="34">
        <v>6153.4</v>
      </c>
      <c r="K3179" s="34"/>
      <c r="L3179" s="34">
        <v>6153.4</v>
      </c>
    </row>
    <row r="3180" spans="2:12" x14ac:dyDescent="0.3">
      <c r="B3180" s="25">
        <v>3195</v>
      </c>
      <c r="C3180" s="33">
        <v>2475</v>
      </c>
      <c r="D3180" s="33" t="s">
        <v>957</v>
      </c>
      <c r="E3180" s="35">
        <v>45030</v>
      </c>
      <c r="F3180" s="33">
        <v>2</v>
      </c>
      <c r="G3180" s="33" t="s">
        <v>122</v>
      </c>
      <c r="H3180" s="33" t="s">
        <v>201</v>
      </c>
      <c r="I3180" s="33" t="s">
        <v>196</v>
      </c>
      <c r="J3180" s="34">
        <v>2975.5</v>
      </c>
      <c r="K3180" s="34"/>
      <c r="L3180" s="34">
        <v>2975.5</v>
      </c>
    </row>
    <row r="3181" spans="2:12" x14ac:dyDescent="0.3">
      <c r="B3181" s="25">
        <v>3196</v>
      </c>
      <c r="C3181" s="33">
        <v>2476</v>
      </c>
      <c r="D3181" s="33" t="s">
        <v>584</v>
      </c>
      <c r="E3181" s="35">
        <v>45030</v>
      </c>
      <c r="F3181" s="33">
        <v>2</v>
      </c>
      <c r="G3181" s="33" t="s">
        <v>122</v>
      </c>
      <c r="H3181" s="33" t="s">
        <v>201</v>
      </c>
      <c r="I3181" s="33" t="s">
        <v>196</v>
      </c>
      <c r="J3181" s="34">
        <v>5984.76</v>
      </c>
      <c r="K3181" s="34"/>
      <c r="L3181" s="34">
        <v>5984.76</v>
      </c>
    </row>
    <row r="3182" spans="2:12" x14ac:dyDescent="0.3">
      <c r="B3182" s="25">
        <v>3197</v>
      </c>
      <c r="C3182" s="33">
        <v>2477</v>
      </c>
      <c r="D3182" s="33" t="s">
        <v>584</v>
      </c>
      <c r="E3182" s="35">
        <v>45030</v>
      </c>
      <c r="F3182" s="33">
        <v>2</v>
      </c>
      <c r="G3182" s="33" t="s">
        <v>122</v>
      </c>
      <c r="H3182" s="33" t="s">
        <v>201</v>
      </c>
      <c r="I3182" s="33" t="s">
        <v>196</v>
      </c>
      <c r="J3182" s="34">
        <v>2342.56</v>
      </c>
      <c r="K3182" s="34"/>
      <c r="L3182" s="34">
        <v>2342.56</v>
      </c>
    </row>
    <row r="3183" spans="2:12" x14ac:dyDescent="0.3">
      <c r="B3183" s="25">
        <v>3198</v>
      </c>
      <c r="C3183" s="33">
        <v>8189</v>
      </c>
      <c r="D3183" s="33" t="s">
        <v>1631</v>
      </c>
      <c r="E3183" s="35">
        <v>45028</v>
      </c>
      <c r="F3183" s="33">
        <v>2</v>
      </c>
      <c r="G3183" s="33" t="s">
        <v>122</v>
      </c>
      <c r="H3183" s="33">
        <v>53</v>
      </c>
      <c r="I3183" s="33" t="s">
        <v>196</v>
      </c>
      <c r="J3183" s="34">
        <v>838.37</v>
      </c>
      <c r="K3183" s="34"/>
      <c r="L3183" s="34">
        <v>838.37</v>
      </c>
    </row>
    <row r="3184" spans="2:12" x14ac:dyDescent="0.3">
      <c r="B3184" s="25">
        <v>3199</v>
      </c>
      <c r="C3184" s="33">
        <v>5738</v>
      </c>
      <c r="D3184" s="33" t="s">
        <v>1631</v>
      </c>
      <c r="E3184" s="35">
        <v>45028</v>
      </c>
      <c r="F3184" s="33">
        <v>2</v>
      </c>
      <c r="G3184" s="33" t="s">
        <v>122</v>
      </c>
      <c r="H3184" s="33" t="s">
        <v>69</v>
      </c>
      <c r="I3184" s="33" t="s">
        <v>196</v>
      </c>
      <c r="J3184" s="34">
        <v>2663.77</v>
      </c>
      <c r="K3184" s="34"/>
      <c r="L3184" s="34">
        <v>2663.77</v>
      </c>
    </row>
    <row r="3185" spans="2:12" x14ac:dyDescent="0.3">
      <c r="B3185" s="25">
        <v>3201</v>
      </c>
      <c r="C3185" s="33">
        <v>35699</v>
      </c>
      <c r="D3185" s="33" t="s">
        <v>687</v>
      </c>
      <c r="E3185" s="35">
        <v>45043</v>
      </c>
      <c r="F3185" s="33">
        <v>2</v>
      </c>
      <c r="G3185" s="33" t="s">
        <v>122</v>
      </c>
      <c r="H3185" s="33" t="s">
        <v>72</v>
      </c>
      <c r="I3185" s="33" t="s">
        <v>196</v>
      </c>
      <c r="J3185" s="34">
        <v>2764.3</v>
      </c>
      <c r="K3185" s="34"/>
      <c r="L3185" s="34">
        <v>2764.3</v>
      </c>
    </row>
    <row r="3186" spans="2:12" x14ac:dyDescent="0.3">
      <c r="B3186" s="25">
        <v>3202</v>
      </c>
      <c r="C3186" s="33">
        <v>35698</v>
      </c>
      <c r="D3186" s="33" t="s">
        <v>687</v>
      </c>
      <c r="E3186" s="35">
        <v>45043</v>
      </c>
      <c r="F3186" s="33">
        <v>2</v>
      </c>
      <c r="G3186" s="33" t="s">
        <v>122</v>
      </c>
      <c r="H3186" s="33" t="s">
        <v>72</v>
      </c>
      <c r="I3186" s="33" t="s">
        <v>196</v>
      </c>
      <c r="J3186" s="34">
        <v>2119.6999999999998</v>
      </c>
      <c r="K3186" s="34"/>
      <c r="L3186" s="34">
        <v>2119.6999999999998</v>
      </c>
    </row>
    <row r="3187" spans="2:12" x14ac:dyDescent="0.3">
      <c r="B3187" s="25">
        <v>3203</v>
      </c>
      <c r="C3187" s="33">
        <v>2660</v>
      </c>
      <c r="D3187" s="33" t="s">
        <v>394</v>
      </c>
      <c r="E3187" s="35">
        <v>45036</v>
      </c>
      <c r="F3187" s="33">
        <v>2</v>
      </c>
      <c r="G3187" s="33" t="s">
        <v>122</v>
      </c>
      <c r="H3187" s="33" t="s">
        <v>201</v>
      </c>
      <c r="I3187" s="33" t="s">
        <v>196</v>
      </c>
      <c r="J3187" s="34">
        <v>2035</v>
      </c>
      <c r="K3187" s="34"/>
      <c r="L3187" s="34">
        <v>2035</v>
      </c>
    </row>
    <row r="3188" spans="2:12" x14ac:dyDescent="0.3">
      <c r="B3188" s="25">
        <v>3204</v>
      </c>
      <c r="C3188" s="33">
        <v>2661</v>
      </c>
      <c r="D3188" s="33" t="s">
        <v>394</v>
      </c>
      <c r="E3188" s="35">
        <v>45036</v>
      </c>
      <c r="F3188" s="33">
        <v>2</v>
      </c>
      <c r="G3188" s="33" t="s">
        <v>122</v>
      </c>
      <c r="H3188" s="33" t="s">
        <v>201</v>
      </c>
      <c r="I3188" s="33" t="s">
        <v>196</v>
      </c>
      <c r="J3188" s="34">
        <v>4276.91</v>
      </c>
      <c r="K3188" s="34"/>
      <c r="L3188" s="34">
        <v>4276.91</v>
      </c>
    </row>
    <row r="3189" spans="2:12" x14ac:dyDescent="0.3">
      <c r="B3189" s="25">
        <v>3205</v>
      </c>
      <c r="C3189" s="33">
        <v>2662</v>
      </c>
      <c r="D3189" s="33" t="s">
        <v>387</v>
      </c>
      <c r="E3189" s="35">
        <v>45036</v>
      </c>
      <c r="F3189" s="33">
        <v>2</v>
      </c>
      <c r="G3189" s="33" t="s">
        <v>124</v>
      </c>
      <c r="H3189" s="33" t="s">
        <v>201</v>
      </c>
      <c r="I3189" s="33" t="s">
        <v>197</v>
      </c>
      <c r="J3189" s="34">
        <v>815</v>
      </c>
      <c r="K3189" s="34"/>
      <c r="L3189" s="34">
        <v>815</v>
      </c>
    </row>
    <row r="3190" spans="2:12" x14ac:dyDescent="0.3">
      <c r="B3190" s="25">
        <v>3206</v>
      </c>
      <c r="C3190" s="33">
        <v>2663</v>
      </c>
      <c r="D3190" s="33" t="s">
        <v>581</v>
      </c>
      <c r="E3190" s="35">
        <v>45036</v>
      </c>
      <c r="F3190" s="33">
        <v>2</v>
      </c>
      <c r="G3190" s="33" t="s">
        <v>124</v>
      </c>
      <c r="H3190" s="33" t="s">
        <v>201</v>
      </c>
      <c r="I3190" s="33" t="s">
        <v>197</v>
      </c>
      <c r="J3190" s="34">
        <v>2249.2800000000002</v>
      </c>
      <c r="K3190" s="34"/>
      <c r="L3190" s="34">
        <v>2249.2800000000002</v>
      </c>
    </row>
    <row r="3191" spans="2:12" x14ac:dyDescent="0.3">
      <c r="B3191" s="25">
        <v>3207</v>
      </c>
      <c r="C3191" s="33">
        <v>2664</v>
      </c>
      <c r="D3191" s="33" t="s">
        <v>584</v>
      </c>
      <c r="E3191" s="35">
        <v>45036</v>
      </c>
      <c r="F3191" s="33">
        <v>2</v>
      </c>
      <c r="G3191" s="33" t="s">
        <v>124</v>
      </c>
      <c r="H3191" s="33" t="s">
        <v>201</v>
      </c>
      <c r="I3191" s="33" t="s">
        <v>197</v>
      </c>
      <c r="J3191" s="34">
        <v>2854.89</v>
      </c>
      <c r="K3191" s="34"/>
      <c r="L3191" s="34">
        <v>2854.89</v>
      </c>
    </row>
    <row r="3192" spans="2:12" x14ac:dyDescent="0.3">
      <c r="B3192" s="25">
        <v>3208</v>
      </c>
      <c r="C3192" s="33">
        <v>2665</v>
      </c>
      <c r="D3192" s="33" t="s">
        <v>362</v>
      </c>
      <c r="E3192" s="35">
        <v>45036</v>
      </c>
      <c r="F3192" s="33">
        <v>2</v>
      </c>
      <c r="G3192" s="33" t="s">
        <v>124</v>
      </c>
      <c r="H3192" s="33" t="s">
        <v>201</v>
      </c>
      <c r="I3192" s="33" t="s">
        <v>197</v>
      </c>
      <c r="J3192" s="34">
        <v>3190.02</v>
      </c>
      <c r="K3192" s="34"/>
      <c r="L3192" s="34">
        <v>3190.02</v>
      </c>
    </row>
    <row r="3193" spans="2:12" x14ac:dyDescent="0.3">
      <c r="B3193" s="25">
        <v>3209</v>
      </c>
      <c r="C3193" s="33">
        <v>2666</v>
      </c>
      <c r="D3193" s="33" t="s">
        <v>362</v>
      </c>
      <c r="E3193" s="35">
        <v>45036</v>
      </c>
      <c r="F3193" s="33">
        <v>2</v>
      </c>
      <c r="G3193" s="33" t="s">
        <v>124</v>
      </c>
      <c r="H3193" s="33" t="s">
        <v>201</v>
      </c>
      <c r="I3193" s="33" t="s">
        <v>197</v>
      </c>
      <c r="J3193" s="34">
        <v>874.15</v>
      </c>
      <c r="K3193" s="34"/>
      <c r="L3193" s="34">
        <v>874.15</v>
      </c>
    </row>
    <row r="3194" spans="2:12" x14ac:dyDescent="0.3">
      <c r="B3194" s="25">
        <v>3210</v>
      </c>
      <c r="C3194" s="33">
        <v>2737</v>
      </c>
      <c r="D3194" s="33" t="s">
        <v>581</v>
      </c>
      <c r="E3194" s="35">
        <v>45043</v>
      </c>
      <c r="F3194" s="33">
        <v>2</v>
      </c>
      <c r="G3194" s="33" t="s">
        <v>124</v>
      </c>
      <c r="H3194" s="33" t="s">
        <v>201</v>
      </c>
      <c r="I3194" s="33" t="s">
        <v>197</v>
      </c>
      <c r="J3194" s="34">
        <v>1565.3</v>
      </c>
      <c r="K3194" s="34"/>
      <c r="L3194" s="34">
        <v>1565.3</v>
      </c>
    </row>
    <row r="3195" spans="2:12" x14ac:dyDescent="0.3">
      <c r="B3195" s="25">
        <v>3211</v>
      </c>
      <c r="C3195" s="33" t="s">
        <v>1632</v>
      </c>
      <c r="D3195" s="33" t="s">
        <v>558</v>
      </c>
      <c r="E3195" s="35">
        <v>45043</v>
      </c>
      <c r="F3195" s="33">
        <v>2</v>
      </c>
      <c r="G3195" s="33" t="s">
        <v>124</v>
      </c>
      <c r="H3195" s="33" t="s">
        <v>201</v>
      </c>
      <c r="I3195" s="33" t="s">
        <v>197</v>
      </c>
      <c r="J3195" s="34">
        <v>5480.6</v>
      </c>
      <c r="K3195" s="34">
        <v>62</v>
      </c>
      <c r="L3195" s="34">
        <v>5418.6</v>
      </c>
    </row>
    <row r="3196" spans="2:12" x14ac:dyDescent="0.3">
      <c r="B3196" s="25">
        <v>3212</v>
      </c>
      <c r="C3196" s="33">
        <v>2739</v>
      </c>
      <c r="D3196" s="33" t="s">
        <v>583</v>
      </c>
      <c r="E3196" s="35">
        <v>45043</v>
      </c>
      <c r="F3196" s="33">
        <v>2</v>
      </c>
      <c r="G3196" s="33" t="s">
        <v>124</v>
      </c>
      <c r="H3196" s="33" t="s">
        <v>201</v>
      </c>
      <c r="I3196" s="33" t="s">
        <v>197</v>
      </c>
      <c r="J3196" s="34">
        <v>4444</v>
      </c>
      <c r="K3196" s="34"/>
      <c r="L3196" s="34">
        <v>4444</v>
      </c>
    </row>
    <row r="3197" spans="2:12" x14ac:dyDescent="0.3">
      <c r="B3197" s="25">
        <v>3213</v>
      </c>
      <c r="C3197" s="33">
        <v>2740</v>
      </c>
      <c r="D3197" s="33" t="s">
        <v>1633</v>
      </c>
      <c r="E3197" s="35">
        <v>45043</v>
      </c>
      <c r="F3197" s="33">
        <v>2</v>
      </c>
      <c r="G3197" s="33" t="s">
        <v>124</v>
      </c>
      <c r="H3197" s="33" t="s">
        <v>201</v>
      </c>
      <c r="I3197" s="33" t="s">
        <v>197</v>
      </c>
      <c r="J3197" s="34">
        <v>1984.8</v>
      </c>
      <c r="K3197" s="34"/>
      <c r="L3197" s="34">
        <v>1984.8</v>
      </c>
    </row>
    <row r="3198" spans="2:12" x14ac:dyDescent="0.3">
      <c r="B3198" s="25">
        <v>3214</v>
      </c>
      <c r="C3198" s="33">
        <v>2744</v>
      </c>
      <c r="D3198" s="33" t="s">
        <v>362</v>
      </c>
      <c r="E3198" s="35">
        <v>45043</v>
      </c>
      <c r="F3198" s="33">
        <v>2</v>
      </c>
      <c r="G3198" s="33" t="s">
        <v>124</v>
      </c>
      <c r="H3198" s="33" t="s">
        <v>201</v>
      </c>
      <c r="I3198" s="33" t="s">
        <v>197</v>
      </c>
      <c r="J3198" s="34">
        <v>4238.7</v>
      </c>
      <c r="K3198" s="34"/>
      <c r="L3198" s="34">
        <v>4238.7</v>
      </c>
    </row>
    <row r="3199" spans="2:12" x14ac:dyDescent="0.3">
      <c r="B3199" s="25">
        <v>3215</v>
      </c>
      <c r="C3199" s="33">
        <v>2749</v>
      </c>
      <c r="D3199" s="33" t="s">
        <v>1334</v>
      </c>
      <c r="E3199" s="35">
        <v>45043</v>
      </c>
      <c r="F3199" s="33">
        <v>2</v>
      </c>
      <c r="G3199" s="33" t="s">
        <v>124</v>
      </c>
      <c r="H3199" s="33" t="s">
        <v>201</v>
      </c>
      <c r="I3199" s="33" t="s">
        <v>197</v>
      </c>
      <c r="J3199" s="34">
        <v>13341.96</v>
      </c>
      <c r="K3199" s="34"/>
      <c r="L3199" s="34">
        <v>13341.96</v>
      </c>
    </row>
    <row r="3200" spans="2:12" x14ac:dyDescent="0.3">
      <c r="B3200" s="25">
        <v>3216</v>
      </c>
      <c r="C3200" s="33">
        <v>2752</v>
      </c>
      <c r="D3200" s="33" t="s">
        <v>1634</v>
      </c>
      <c r="E3200" s="35">
        <v>45043</v>
      </c>
      <c r="F3200" s="33">
        <v>2</v>
      </c>
      <c r="G3200" s="33" t="s">
        <v>628</v>
      </c>
      <c r="H3200" s="33" t="s">
        <v>201</v>
      </c>
      <c r="I3200" s="33" t="s">
        <v>75</v>
      </c>
      <c r="J3200" s="34">
        <v>9400.2900000000009</v>
      </c>
      <c r="K3200" s="34"/>
      <c r="L3200" s="34">
        <v>9400.2900000000009</v>
      </c>
    </row>
    <row r="3201" spans="2:12" x14ac:dyDescent="0.3">
      <c r="B3201" s="25">
        <v>3217</v>
      </c>
      <c r="C3201" s="33" t="s">
        <v>1635</v>
      </c>
      <c r="D3201" s="33" t="s">
        <v>1278</v>
      </c>
      <c r="E3201" s="35">
        <v>45019</v>
      </c>
      <c r="F3201" s="33">
        <v>2</v>
      </c>
      <c r="G3201" s="33" t="s">
        <v>231</v>
      </c>
      <c r="H3201" s="33" t="s">
        <v>71</v>
      </c>
      <c r="I3201" s="33" t="s">
        <v>198</v>
      </c>
      <c r="J3201" s="34">
        <v>854.21</v>
      </c>
      <c r="K3201" s="34">
        <v>100</v>
      </c>
      <c r="L3201" s="34">
        <v>754.21</v>
      </c>
    </row>
    <row r="3202" spans="2:12" x14ac:dyDescent="0.3">
      <c r="B3202" s="25">
        <v>3218</v>
      </c>
      <c r="C3202" s="33" t="s">
        <v>1636</v>
      </c>
      <c r="D3202" s="33" t="s">
        <v>426</v>
      </c>
      <c r="E3202" s="35">
        <v>45021</v>
      </c>
      <c r="F3202" s="33">
        <v>2</v>
      </c>
      <c r="G3202" s="33" t="s">
        <v>628</v>
      </c>
      <c r="H3202" s="33" t="s">
        <v>71</v>
      </c>
      <c r="I3202" s="33" t="s">
        <v>75</v>
      </c>
      <c r="J3202" s="34">
        <v>1083.54</v>
      </c>
      <c r="K3202" s="34">
        <v>40</v>
      </c>
      <c r="L3202" s="34">
        <v>1043.54</v>
      </c>
    </row>
    <row r="3203" spans="2:12" x14ac:dyDescent="0.3">
      <c r="B3203" s="25">
        <v>3219</v>
      </c>
      <c r="C3203" s="33">
        <v>1553</v>
      </c>
      <c r="D3203" s="33" t="s">
        <v>407</v>
      </c>
      <c r="E3203" s="35">
        <v>45027</v>
      </c>
      <c r="F3203" s="33">
        <v>2</v>
      </c>
      <c r="G3203" s="33" t="s">
        <v>231</v>
      </c>
      <c r="H3203" s="33" t="s">
        <v>71</v>
      </c>
      <c r="I3203" s="33" t="s">
        <v>198</v>
      </c>
      <c r="J3203" s="34">
        <v>1120.76</v>
      </c>
      <c r="K3203" s="34"/>
      <c r="L3203" s="34">
        <v>1120.76</v>
      </c>
    </row>
    <row r="3204" spans="2:12" x14ac:dyDescent="0.3">
      <c r="B3204" s="25">
        <v>3220</v>
      </c>
      <c r="C3204" s="33">
        <v>1567</v>
      </c>
      <c r="D3204" s="33" t="s">
        <v>839</v>
      </c>
      <c r="E3204" s="35">
        <v>45028</v>
      </c>
      <c r="F3204" s="33">
        <v>2</v>
      </c>
      <c r="G3204" s="33" t="s">
        <v>628</v>
      </c>
      <c r="H3204" s="33" t="s">
        <v>71</v>
      </c>
      <c r="I3204" s="33" t="s">
        <v>75</v>
      </c>
      <c r="J3204" s="34">
        <v>630.91</v>
      </c>
      <c r="K3204" s="34">
        <v>80</v>
      </c>
      <c r="L3204" s="34">
        <v>550.91</v>
      </c>
    </row>
    <row r="3205" spans="2:12" x14ac:dyDescent="0.3">
      <c r="B3205" s="25">
        <v>3221</v>
      </c>
      <c r="C3205" s="33">
        <v>1619</v>
      </c>
      <c r="D3205" s="33" t="s">
        <v>384</v>
      </c>
      <c r="E3205" s="35">
        <v>45033</v>
      </c>
      <c r="F3205" s="33">
        <v>2</v>
      </c>
      <c r="G3205" s="33" t="s">
        <v>124</v>
      </c>
      <c r="H3205" s="33" t="s">
        <v>71</v>
      </c>
      <c r="I3205" s="33" t="s">
        <v>197</v>
      </c>
      <c r="J3205" s="34">
        <v>925.06</v>
      </c>
      <c r="K3205" s="34">
        <v>40</v>
      </c>
      <c r="L3205" s="34">
        <v>885.06</v>
      </c>
    </row>
    <row r="3206" spans="2:12" x14ac:dyDescent="0.3">
      <c r="B3206" s="25">
        <v>3222</v>
      </c>
      <c r="C3206" s="33">
        <v>1620</v>
      </c>
      <c r="D3206" s="33" t="s">
        <v>539</v>
      </c>
      <c r="E3206" s="35">
        <v>45033</v>
      </c>
      <c r="F3206" s="33">
        <v>2</v>
      </c>
      <c r="G3206" s="33" t="s">
        <v>628</v>
      </c>
      <c r="H3206" s="33" t="s">
        <v>71</v>
      </c>
      <c r="I3206" s="33" t="s">
        <v>75</v>
      </c>
      <c r="J3206" s="34">
        <v>761.95</v>
      </c>
      <c r="K3206" s="34">
        <v>80</v>
      </c>
      <c r="L3206" s="34">
        <v>681.95</v>
      </c>
    </row>
    <row r="3207" spans="2:12" x14ac:dyDescent="0.3">
      <c r="B3207" s="25">
        <v>3223</v>
      </c>
      <c r="C3207" s="33">
        <v>1630</v>
      </c>
      <c r="D3207" s="33" t="s">
        <v>362</v>
      </c>
      <c r="E3207" s="35">
        <v>45034</v>
      </c>
      <c r="F3207" s="33">
        <v>2</v>
      </c>
      <c r="G3207" s="33" t="s">
        <v>124</v>
      </c>
      <c r="H3207" s="33" t="s">
        <v>71</v>
      </c>
      <c r="I3207" s="33" t="s">
        <v>197</v>
      </c>
      <c r="J3207" s="34">
        <v>975.94</v>
      </c>
      <c r="K3207" s="34">
        <v>40</v>
      </c>
      <c r="L3207" s="34">
        <v>935.94</v>
      </c>
    </row>
    <row r="3208" spans="2:12" x14ac:dyDescent="0.3">
      <c r="B3208" s="25">
        <v>3224</v>
      </c>
      <c r="C3208" s="33">
        <v>1668</v>
      </c>
      <c r="D3208" s="33" t="s">
        <v>377</v>
      </c>
      <c r="E3208" s="35">
        <v>45037</v>
      </c>
      <c r="F3208" s="33">
        <v>2</v>
      </c>
      <c r="G3208" s="33" t="s">
        <v>124</v>
      </c>
      <c r="H3208" s="33" t="s">
        <v>71</v>
      </c>
      <c r="I3208" s="33" t="s">
        <v>197</v>
      </c>
      <c r="J3208" s="34">
        <v>372.89</v>
      </c>
      <c r="K3208" s="34">
        <v>80</v>
      </c>
      <c r="L3208" s="34">
        <v>292.89</v>
      </c>
    </row>
    <row r="3209" spans="2:12" x14ac:dyDescent="0.3">
      <c r="B3209" s="25">
        <v>3225</v>
      </c>
      <c r="C3209" s="33" t="s">
        <v>1637</v>
      </c>
      <c r="D3209" s="33" t="s">
        <v>1581</v>
      </c>
      <c r="E3209" s="35">
        <v>45040</v>
      </c>
      <c r="F3209" s="33">
        <v>2</v>
      </c>
      <c r="G3209" s="33" t="s">
        <v>122</v>
      </c>
      <c r="H3209" s="33" t="s">
        <v>71</v>
      </c>
      <c r="I3209" s="33" t="s">
        <v>196</v>
      </c>
      <c r="J3209" s="34">
        <v>803.45</v>
      </c>
      <c r="K3209" s="34">
        <v>80</v>
      </c>
      <c r="L3209" s="34">
        <v>723.45</v>
      </c>
    </row>
    <row r="3210" spans="2:12" x14ac:dyDescent="0.3">
      <c r="B3210" s="25">
        <v>3226</v>
      </c>
      <c r="C3210" s="33" t="s">
        <v>1638</v>
      </c>
      <c r="D3210" s="33" t="s">
        <v>361</v>
      </c>
      <c r="E3210" s="35">
        <v>45042</v>
      </c>
      <c r="F3210" s="33">
        <v>2</v>
      </c>
      <c r="G3210" s="33" t="s">
        <v>124</v>
      </c>
      <c r="H3210" s="33" t="s">
        <v>71</v>
      </c>
      <c r="I3210" s="33" t="s">
        <v>197</v>
      </c>
      <c r="J3210" s="34">
        <v>480.46</v>
      </c>
      <c r="K3210" s="34">
        <v>40</v>
      </c>
      <c r="L3210" s="34">
        <v>440.46</v>
      </c>
    </row>
    <row r="3211" spans="2:12" x14ac:dyDescent="0.3">
      <c r="B3211" s="25">
        <v>3227</v>
      </c>
      <c r="C3211" s="33">
        <v>1844</v>
      </c>
      <c r="D3211" s="33" t="s">
        <v>277</v>
      </c>
      <c r="E3211" s="35">
        <v>45044</v>
      </c>
      <c r="F3211" s="33">
        <v>2</v>
      </c>
      <c r="G3211" s="33" t="s">
        <v>124</v>
      </c>
      <c r="H3211" s="33" t="s">
        <v>71</v>
      </c>
      <c r="I3211" s="33" t="s">
        <v>197</v>
      </c>
      <c r="J3211" s="34">
        <v>970.93</v>
      </c>
      <c r="K3211" s="34">
        <v>40</v>
      </c>
      <c r="L3211" s="34">
        <v>930.93</v>
      </c>
    </row>
    <row r="3212" spans="2:12" x14ac:dyDescent="0.3">
      <c r="B3212" s="25">
        <v>3228</v>
      </c>
      <c r="C3212" s="33">
        <v>5576</v>
      </c>
      <c r="D3212" s="33" t="s">
        <v>1639</v>
      </c>
      <c r="E3212" s="35">
        <v>45050</v>
      </c>
      <c r="F3212" s="33">
        <v>2</v>
      </c>
      <c r="G3212" s="33" t="s">
        <v>628</v>
      </c>
      <c r="H3212" s="33" t="s">
        <v>630</v>
      </c>
      <c r="I3212" s="33" t="s">
        <v>75</v>
      </c>
      <c r="J3212" s="34">
        <v>473.8</v>
      </c>
      <c r="K3212" s="34">
        <v>40</v>
      </c>
      <c r="L3212" s="34">
        <v>433.8</v>
      </c>
    </row>
    <row r="3213" spans="2:12" x14ac:dyDescent="0.3">
      <c r="B3213" s="25">
        <v>3229</v>
      </c>
      <c r="C3213" s="33" t="s">
        <v>1471</v>
      </c>
      <c r="D3213" s="33" t="s">
        <v>788</v>
      </c>
      <c r="E3213" s="35">
        <v>45051</v>
      </c>
      <c r="F3213" s="33">
        <v>2</v>
      </c>
      <c r="G3213" s="33" t="s">
        <v>122</v>
      </c>
      <c r="H3213" s="33" t="s">
        <v>629</v>
      </c>
      <c r="I3213" s="33" t="s">
        <v>196</v>
      </c>
      <c r="J3213" s="34">
        <v>1532</v>
      </c>
      <c r="K3213" s="34">
        <v>80</v>
      </c>
      <c r="L3213" s="34">
        <v>1452</v>
      </c>
    </row>
    <row r="3214" spans="2:12" x14ac:dyDescent="0.3">
      <c r="B3214" s="25">
        <v>3230</v>
      </c>
      <c r="C3214" s="33" t="s">
        <v>1470</v>
      </c>
      <c r="D3214" s="33" t="s">
        <v>872</v>
      </c>
      <c r="E3214" s="35">
        <v>45044</v>
      </c>
      <c r="F3214" s="33">
        <v>2</v>
      </c>
      <c r="G3214" s="33" t="s">
        <v>231</v>
      </c>
      <c r="H3214" s="33" t="s">
        <v>71</v>
      </c>
      <c r="I3214" s="33" t="s">
        <v>197</v>
      </c>
      <c r="J3214" s="34">
        <v>2112.1</v>
      </c>
      <c r="K3214" s="34">
        <v>80</v>
      </c>
      <c r="L3214" s="34">
        <v>2032.1</v>
      </c>
    </row>
    <row r="3215" spans="2:12" x14ac:dyDescent="0.3">
      <c r="B3215" s="25">
        <v>3231</v>
      </c>
      <c r="C3215" s="33">
        <v>35784</v>
      </c>
      <c r="D3215" s="33" t="s">
        <v>1640</v>
      </c>
      <c r="E3215" s="35">
        <v>45058</v>
      </c>
      <c r="F3215" s="33">
        <v>2</v>
      </c>
      <c r="G3215" s="33" t="s">
        <v>122</v>
      </c>
      <c r="H3215" s="33" t="s">
        <v>72</v>
      </c>
      <c r="I3215" s="33" t="s">
        <v>196</v>
      </c>
      <c r="J3215" s="34">
        <v>718.71</v>
      </c>
      <c r="K3215" s="34">
        <v>110</v>
      </c>
      <c r="L3215" s="34">
        <v>608.71</v>
      </c>
    </row>
    <row r="3216" spans="2:12" x14ac:dyDescent="0.3">
      <c r="B3216" s="25">
        <v>3232</v>
      </c>
      <c r="C3216" s="33" t="s">
        <v>1472</v>
      </c>
      <c r="D3216" s="33" t="s">
        <v>1640</v>
      </c>
      <c r="E3216" s="35">
        <v>45022</v>
      </c>
      <c r="F3216" s="33">
        <v>2</v>
      </c>
      <c r="G3216" s="33" t="s">
        <v>628</v>
      </c>
      <c r="H3216" s="33" t="s">
        <v>72</v>
      </c>
      <c r="I3216" s="33" t="s">
        <v>75</v>
      </c>
      <c r="J3216" s="34">
        <v>1042</v>
      </c>
      <c r="K3216" s="34"/>
      <c r="L3216" s="34">
        <v>1042</v>
      </c>
    </row>
    <row r="3217" spans="2:12" x14ac:dyDescent="0.3">
      <c r="B3217" s="25">
        <v>3233</v>
      </c>
      <c r="C3217" s="33">
        <v>5577</v>
      </c>
      <c r="D3217" s="33" t="s">
        <v>1526</v>
      </c>
      <c r="E3217" s="35">
        <v>45051</v>
      </c>
      <c r="F3217" s="33">
        <v>2</v>
      </c>
      <c r="G3217" s="33" t="s">
        <v>231</v>
      </c>
      <c r="H3217" s="33" t="s">
        <v>630</v>
      </c>
      <c r="I3217" s="33" t="s">
        <v>198</v>
      </c>
      <c r="J3217" s="34">
        <v>1080</v>
      </c>
      <c r="K3217" s="34"/>
      <c r="L3217" s="34">
        <v>1080</v>
      </c>
    </row>
    <row r="3218" spans="2:12" x14ac:dyDescent="0.3">
      <c r="B3218" s="25">
        <v>3234</v>
      </c>
      <c r="C3218" s="33">
        <v>35777</v>
      </c>
      <c r="D3218" s="33" t="s">
        <v>1641</v>
      </c>
      <c r="E3218" s="35">
        <v>45057</v>
      </c>
      <c r="F3218" s="33">
        <v>2</v>
      </c>
      <c r="G3218" s="33" t="s">
        <v>231</v>
      </c>
      <c r="H3218" s="33" t="s">
        <v>72</v>
      </c>
      <c r="I3218" s="33" t="s">
        <v>198</v>
      </c>
      <c r="J3218" s="34">
        <v>9736.17</v>
      </c>
      <c r="K3218" s="34"/>
      <c r="L3218" s="34">
        <v>9736.17</v>
      </c>
    </row>
    <row r="3219" spans="2:12" x14ac:dyDescent="0.3">
      <c r="B3219" s="25">
        <v>3235</v>
      </c>
      <c r="C3219" s="33">
        <v>35780</v>
      </c>
      <c r="D3219" s="33" t="s">
        <v>394</v>
      </c>
      <c r="E3219" s="35">
        <v>45058</v>
      </c>
      <c r="F3219" s="33">
        <v>2</v>
      </c>
      <c r="G3219" s="33" t="s">
        <v>122</v>
      </c>
      <c r="H3219" s="33" t="s">
        <v>72</v>
      </c>
      <c r="I3219" s="33" t="s">
        <v>196</v>
      </c>
      <c r="J3219" s="34">
        <v>15060.22</v>
      </c>
      <c r="K3219" s="34"/>
      <c r="L3219" s="34">
        <v>15060.22</v>
      </c>
    </row>
    <row r="3220" spans="2:12" x14ac:dyDescent="0.3">
      <c r="B3220" s="25">
        <v>3236</v>
      </c>
      <c r="C3220" s="33">
        <v>2827</v>
      </c>
      <c r="D3220" s="33" t="s">
        <v>676</v>
      </c>
      <c r="E3220" s="35">
        <v>45049</v>
      </c>
      <c r="F3220" s="33">
        <v>2</v>
      </c>
      <c r="G3220" s="33" t="s">
        <v>124</v>
      </c>
      <c r="H3220" s="33" t="s">
        <v>201</v>
      </c>
      <c r="I3220" s="33" t="s">
        <v>197</v>
      </c>
      <c r="J3220" s="34">
        <v>11853.08</v>
      </c>
      <c r="K3220" s="34"/>
      <c r="L3220" s="34">
        <v>11853.08</v>
      </c>
    </row>
    <row r="3221" spans="2:12" x14ac:dyDescent="0.3">
      <c r="B3221" s="25">
        <v>3237</v>
      </c>
      <c r="C3221" s="33">
        <v>2838</v>
      </c>
      <c r="D3221" s="33" t="s">
        <v>1381</v>
      </c>
      <c r="E3221" s="35">
        <v>45050</v>
      </c>
      <c r="F3221" s="33">
        <v>2</v>
      </c>
      <c r="G3221" s="33" t="s">
        <v>124</v>
      </c>
      <c r="H3221" s="33" t="s">
        <v>201</v>
      </c>
      <c r="I3221" s="33" t="s">
        <v>197</v>
      </c>
      <c r="J3221" s="34">
        <v>1757.68</v>
      </c>
      <c r="K3221" s="34"/>
      <c r="L3221" s="34">
        <v>1757.68</v>
      </c>
    </row>
    <row r="3222" spans="2:12" x14ac:dyDescent="0.3">
      <c r="B3222" s="25">
        <v>3238</v>
      </c>
      <c r="C3222" s="33">
        <v>2841</v>
      </c>
      <c r="D3222" s="33" t="s">
        <v>573</v>
      </c>
      <c r="E3222" s="35">
        <v>45050</v>
      </c>
      <c r="F3222" s="33">
        <v>2</v>
      </c>
      <c r="G3222" s="33" t="s">
        <v>124</v>
      </c>
      <c r="H3222" s="33" t="s">
        <v>201</v>
      </c>
      <c r="I3222" s="33" t="s">
        <v>197</v>
      </c>
      <c r="J3222" s="34">
        <v>2936.02</v>
      </c>
      <c r="K3222" s="34"/>
      <c r="L3222" s="34">
        <v>2936.02</v>
      </c>
    </row>
    <row r="3223" spans="2:12" x14ac:dyDescent="0.3">
      <c r="B3223" s="25">
        <v>3239</v>
      </c>
      <c r="C3223" s="33">
        <v>2844</v>
      </c>
      <c r="D3223" s="33" t="s">
        <v>584</v>
      </c>
      <c r="E3223" s="35">
        <v>45050</v>
      </c>
      <c r="F3223" s="33">
        <v>2</v>
      </c>
      <c r="G3223" s="33" t="s">
        <v>122</v>
      </c>
      <c r="H3223" s="33" t="s">
        <v>201</v>
      </c>
      <c r="I3223" s="33" t="s">
        <v>196</v>
      </c>
      <c r="J3223" s="34">
        <v>5229.6499999999996</v>
      </c>
      <c r="K3223" s="34"/>
      <c r="L3223" s="34">
        <v>5229.6499999999996</v>
      </c>
    </row>
    <row r="3224" spans="2:12" x14ac:dyDescent="0.3">
      <c r="B3224" s="25">
        <v>3240</v>
      </c>
      <c r="C3224" s="33">
        <v>2846</v>
      </c>
      <c r="D3224" s="33" t="s">
        <v>403</v>
      </c>
      <c r="E3224" s="35">
        <v>45050</v>
      </c>
      <c r="F3224" s="33">
        <v>2</v>
      </c>
      <c r="G3224" s="33" t="s">
        <v>122</v>
      </c>
      <c r="H3224" s="33" t="s">
        <v>201</v>
      </c>
      <c r="I3224" s="33" t="s">
        <v>196</v>
      </c>
      <c r="J3224" s="34">
        <v>17002.11</v>
      </c>
      <c r="K3224" s="34"/>
      <c r="L3224" s="34">
        <v>17002.11</v>
      </c>
    </row>
    <row r="3225" spans="2:12" x14ac:dyDescent="0.3">
      <c r="B3225" s="25">
        <v>3241</v>
      </c>
      <c r="C3225" s="33">
        <v>2850</v>
      </c>
      <c r="D3225" s="33" t="s">
        <v>1334</v>
      </c>
      <c r="E3225" s="35">
        <v>45050</v>
      </c>
      <c r="F3225" s="33">
        <v>2</v>
      </c>
      <c r="G3225" s="33" t="s">
        <v>124</v>
      </c>
      <c r="H3225" s="33" t="s">
        <v>201</v>
      </c>
      <c r="I3225" s="33" t="s">
        <v>197</v>
      </c>
      <c r="J3225" s="34">
        <v>634.94000000000005</v>
      </c>
      <c r="K3225" s="34"/>
      <c r="L3225" s="34">
        <v>634.94000000000005</v>
      </c>
    </row>
    <row r="3226" spans="2:12" x14ac:dyDescent="0.3">
      <c r="B3226" s="25">
        <v>3242</v>
      </c>
      <c r="C3226" s="33">
        <v>1901</v>
      </c>
      <c r="D3226" s="33" t="s">
        <v>1642</v>
      </c>
      <c r="E3226" s="35">
        <v>45050</v>
      </c>
      <c r="F3226" s="33">
        <v>2</v>
      </c>
      <c r="G3226" s="33" t="s">
        <v>122</v>
      </c>
      <c r="H3226" s="33" t="s">
        <v>71</v>
      </c>
      <c r="I3226" s="33" t="s">
        <v>196</v>
      </c>
      <c r="J3226" s="34">
        <v>937.7</v>
      </c>
      <c r="K3226" s="34"/>
      <c r="L3226" s="34">
        <v>937.7</v>
      </c>
    </row>
    <row r="3227" spans="2:12" x14ac:dyDescent="0.3">
      <c r="B3227" s="25">
        <v>3243</v>
      </c>
      <c r="C3227" s="33">
        <v>7286</v>
      </c>
      <c r="D3227" s="33" t="s">
        <v>1643</v>
      </c>
      <c r="E3227" s="35">
        <v>45019</v>
      </c>
      <c r="F3227" s="33">
        <v>2</v>
      </c>
      <c r="G3227" s="33" t="s">
        <v>122</v>
      </c>
      <c r="H3227" s="33" t="s">
        <v>73</v>
      </c>
      <c r="I3227" s="33" t="s">
        <v>196</v>
      </c>
      <c r="J3227" s="34">
        <v>1395.99</v>
      </c>
      <c r="K3227" s="34"/>
      <c r="L3227" s="34">
        <v>1395.99</v>
      </c>
    </row>
    <row r="3228" spans="2:12" x14ac:dyDescent="0.3">
      <c r="B3228" s="25">
        <v>3244</v>
      </c>
      <c r="C3228" s="33">
        <v>51389</v>
      </c>
      <c r="D3228" s="33" t="s">
        <v>1644</v>
      </c>
      <c r="E3228" s="35">
        <v>45029</v>
      </c>
      <c r="F3228" s="33">
        <v>2</v>
      </c>
      <c r="G3228" s="33" t="s">
        <v>122</v>
      </c>
      <c r="H3228" s="33" t="s">
        <v>73</v>
      </c>
      <c r="I3228" s="33" t="s">
        <v>196</v>
      </c>
      <c r="J3228" s="34">
        <v>6686.2</v>
      </c>
      <c r="K3228" s="34"/>
      <c r="L3228" s="34">
        <v>6686.2</v>
      </c>
    </row>
    <row r="3229" spans="2:12" x14ac:dyDescent="0.3">
      <c r="B3229" s="25">
        <v>3245</v>
      </c>
      <c r="C3229" s="33">
        <v>51501</v>
      </c>
      <c r="D3229" s="33" t="s">
        <v>1645</v>
      </c>
      <c r="E3229" s="35">
        <v>45036</v>
      </c>
      <c r="F3229" s="33">
        <v>2</v>
      </c>
      <c r="G3229" s="33" t="s">
        <v>122</v>
      </c>
      <c r="H3229" s="33" t="s">
        <v>73</v>
      </c>
      <c r="I3229" s="33" t="s">
        <v>196</v>
      </c>
      <c r="J3229" s="34">
        <v>17632.150000000001</v>
      </c>
      <c r="K3229" s="34"/>
      <c r="L3229" s="34">
        <v>17632.150000000001</v>
      </c>
    </row>
    <row r="3230" spans="2:12" x14ac:dyDescent="0.3">
      <c r="B3230" s="25">
        <v>3246</v>
      </c>
      <c r="C3230" s="33">
        <v>8194</v>
      </c>
      <c r="D3230" s="33" t="s">
        <v>403</v>
      </c>
      <c r="E3230" s="35">
        <v>45028</v>
      </c>
      <c r="F3230" s="33">
        <v>2</v>
      </c>
      <c r="G3230" s="33" t="s">
        <v>122</v>
      </c>
      <c r="H3230" s="33" t="s">
        <v>73</v>
      </c>
      <c r="I3230" s="33" t="s">
        <v>196</v>
      </c>
      <c r="J3230" s="34">
        <v>2440</v>
      </c>
      <c r="K3230" s="34"/>
      <c r="L3230" s="34">
        <v>2440</v>
      </c>
    </row>
    <row r="3231" spans="2:12" x14ac:dyDescent="0.3">
      <c r="B3231" s="25">
        <v>3247</v>
      </c>
      <c r="C3231" s="33" t="s">
        <v>1646</v>
      </c>
      <c r="D3231" s="33" t="s">
        <v>234</v>
      </c>
      <c r="E3231" s="35">
        <v>45024</v>
      </c>
      <c r="F3231" s="33">
        <v>2</v>
      </c>
      <c r="G3231" s="33" t="s">
        <v>122</v>
      </c>
      <c r="H3231" s="33">
        <v>53</v>
      </c>
      <c r="I3231" s="33" t="s">
        <v>196</v>
      </c>
      <c r="J3231" s="34">
        <v>2805.15</v>
      </c>
      <c r="K3231" s="34"/>
      <c r="L3231" s="34">
        <v>2805.15</v>
      </c>
    </row>
    <row r="3232" spans="2:12" x14ac:dyDescent="0.3">
      <c r="B3232" s="25">
        <v>3248</v>
      </c>
      <c r="C3232" s="33">
        <v>51551</v>
      </c>
      <c r="D3232" s="33" t="s">
        <v>400</v>
      </c>
      <c r="E3232" s="35">
        <v>45037</v>
      </c>
      <c r="F3232" s="33">
        <v>2</v>
      </c>
      <c r="G3232" s="33" t="s">
        <v>231</v>
      </c>
      <c r="H3232" s="33">
        <v>53</v>
      </c>
      <c r="I3232" s="33" t="s">
        <v>198</v>
      </c>
      <c r="J3232" s="34">
        <v>1515.38</v>
      </c>
      <c r="K3232" s="34"/>
      <c r="L3232" s="34">
        <v>1515.38</v>
      </c>
    </row>
    <row r="3233" spans="2:12" x14ac:dyDescent="0.3">
      <c r="B3233" s="25">
        <v>3249</v>
      </c>
      <c r="C3233" s="33">
        <v>51550</v>
      </c>
      <c r="D3233" s="33" t="s">
        <v>400</v>
      </c>
      <c r="E3233" s="35">
        <v>45037</v>
      </c>
      <c r="F3233" s="33">
        <v>2</v>
      </c>
      <c r="G3233" s="33" t="s">
        <v>231</v>
      </c>
      <c r="H3233" s="33">
        <v>53</v>
      </c>
      <c r="I3233" s="33" t="s">
        <v>198</v>
      </c>
      <c r="J3233" s="34">
        <v>1532.55</v>
      </c>
      <c r="K3233" s="34"/>
      <c r="L3233" s="34">
        <v>1532.55</v>
      </c>
    </row>
    <row r="3234" spans="2:12" x14ac:dyDescent="0.3">
      <c r="B3234" s="25">
        <v>3250</v>
      </c>
      <c r="C3234" s="33">
        <v>51382</v>
      </c>
      <c r="D3234" s="33" t="s">
        <v>417</v>
      </c>
      <c r="E3234" s="35">
        <v>45029</v>
      </c>
      <c r="F3234" s="33">
        <v>2</v>
      </c>
      <c r="G3234" s="33" t="s">
        <v>122</v>
      </c>
      <c r="H3234" s="33">
        <v>53</v>
      </c>
      <c r="I3234" s="33" t="s">
        <v>196</v>
      </c>
      <c r="J3234" s="34">
        <v>101.5</v>
      </c>
      <c r="K3234" s="34"/>
      <c r="L3234" s="34">
        <v>101.5</v>
      </c>
    </row>
    <row r="3235" spans="2:12" x14ac:dyDescent="0.3">
      <c r="B3235" s="25">
        <v>3251</v>
      </c>
      <c r="C3235" s="33">
        <v>51493</v>
      </c>
      <c r="D3235" s="33" t="s">
        <v>394</v>
      </c>
      <c r="E3235" s="35">
        <v>45036</v>
      </c>
      <c r="F3235" s="33">
        <v>2</v>
      </c>
      <c r="G3235" s="33" t="s">
        <v>122</v>
      </c>
      <c r="H3235" s="33" t="s">
        <v>73</v>
      </c>
      <c r="I3235" s="33" t="s">
        <v>196</v>
      </c>
      <c r="J3235" s="34">
        <v>182</v>
      </c>
      <c r="K3235" s="34"/>
      <c r="L3235" s="34">
        <v>182</v>
      </c>
    </row>
    <row r="3236" spans="2:12" x14ac:dyDescent="0.3">
      <c r="B3236" s="25">
        <v>3252</v>
      </c>
      <c r="C3236" s="33">
        <v>51591</v>
      </c>
      <c r="D3236" s="33" t="s">
        <v>623</v>
      </c>
      <c r="E3236" s="35">
        <v>45043</v>
      </c>
      <c r="F3236" s="33">
        <v>2</v>
      </c>
      <c r="G3236" s="33" t="s">
        <v>122</v>
      </c>
      <c r="H3236" s="33" t="s">
        <v>73</v>
      </c>
      <c r="I3236" s="33" t="s">
        <v>196</v>
      </c>
      <c r="J3236" s="34">
        <v>608.85</v>
      </c>
      <c r="K3236" s="34"/>
      <c r="L3236" s="34">
        <v>608.85</v>
      </c>
    </row>
    <row r="3237" spans="2:12" x14ac:dyDescent="0.3">
      <c r="B3237" s="25">
        <v>3253</v>
      </c>
      <c r="C3237" s="33" t="s">
        <v>1647</v>
      </c>
      <c r="D3237" s="33" t="s">
        <v>404</v>
      </c>
      <c r="E3237" s="35">
        <v>45050</v>
      </c>
      <c r="F3237" s="33">
        <v>2</v>
      </c>
      <c r="G3237" s="33" t="s">
        <v>122</v>
      </c>
      <c r="H3237" s="33">
        <v>53</v>
      </c>
      <c r="I3237" s="33" t="s">
        <v>196</v>
      </c>
      <c r="J3237" s="34">
        <v>1668</v>
      </c>
      <c r="K3237" s="34"/>
      <c r="L3237" s="34">
        <v>1668</v>
      </c>
    </row>
    <row r="3238" spans="2:12" x14ac:dyDescent="0.3">
      <c r="B3238" s="25">
        <v>3254</v>
      </c>
      <c r="C3238" s="33">
        <v>51681</v>
      </c>
      <c r="D3238" s="33" t="s">
        <v>384</v>
      </c>
      <c r="E3238" s="35">
        <v>45050</v>
      </c>
      <c r="F3238" s="33">
        <v>2</v>
      </c>
      <c r="G3238" s="33" t="s">
        <v>124</v>
      </c>
      <c r="H3238" s="33" t="s">
        <v>73</v>
      </c>
      <c r="I3238" s="33" t="s">
        <v>197</v>
      </c>
      <c r="J3238" s="34">
        <v>5263.2</v>
      </c>
      <c r="K3238" s="34"/>
      <c r="L3238" s="34">
        <v>5263.2</v>
      </c>
    </row>
    <row r="3239" spans="2:12" x14ac:dyDescent="0.3">
      <c r="B3239" s="25">
        <v>3255</v>
      </c>
      <c r="C3239" s="33" t="s">
        <v>1648</v>
      </c>
      <c r="D3239" s="33" t="s">
        <v>1649</v>
      </c>
      <c r="E3239" s="35">
        <v>45057</v>
      </c>
      <c r="F3239" s="33">
        <v>2</v>
      </c>
      <c r="G3239" s="33" t="s">
        <v>124</v>
      </c>
      <c r="H3239" s="33" t="s">
        <v>73</v>
      </c>
      <c r="I3239" s="33" t="s">
        <v>197</v>
      </c>
      <c r="J3239" s="34">
        <v>1144.48</v>
      </c>
      <c r="K3239" s="34"/>
      <c r="L3239" s="34">
        <v>1144.48</v>
      </c>
    </row>
    <row r="3240" spans="2:12" x14ac:dyDescent="0.3">
      <c r="B3240" s="25">
        <v>3256</v>
      </c>
      <c r="C3240" s="33" t="s">
        <v>1650</v>
      </c>
      <c r="D3240" s="33" t="s">
        <v>403</v>
      </c>
      <c r="E3240" s="35">
        <v>45029</v>
      </c>
      <c r="F3240" s="33">
        <v>2</v>
      </c>
      <c r="G3240" s="33" t="s">
        <v>122</v>
      </c>
      <c r="H3240" s="33" t="s">
        <v>69</v>
      </c>
      <c r="I3240" s="33" t="s">
        <v>196</v>
      </c>
      <c r="J3240" s="34">
        <v>1268</v>
      </c>
      <c r="K3240" s="34"/>
      <c r="L3240" s="34">
        <v>1268</v>
      </c>
    </row>
    <row r="3241" spans="2:12" x14ac:dyDescent="0.3">
      <c r="B3241" s="25">
        <v>3257</v>
      </c>
      <c r="C3241" s="33">
        <v>51958</v>
      </c>
      <c r="D3241" s="33" t="s">
        <v>1649</v>
      </c>
      <c r="E3241" s="35">
        <v>45029</v>
      </c>
      <c r="F3241" s="33">
        <v>2</v>
      </c>
      <c r="G3241" s="33" t="s">
        <v>124</v>
      </c>
      <c r="H3241" s="33" t="s">
        <v>69</v>
      </c>
      <c r="I3241" s="33" t="s">
        <v>197</v>
      </c>
      <c r="J3241" s="34">
        <v>1227.5</v>
      </c>
      <c r="K3241" s="34"/>
      <c r="L3241" s="34">
        <v>1227.5</v>
      </c>
    </row>
    <row r="3242" spans="2:12" x14ac:dyDescent="0.3">
      <c r="B3242" s="25">
        <v>3258</v>
      </c>
      <c r="C3242" s="33" t="s">
        <v>1651</v>
      </c>
      <c r="D3242" s="33" t="s">
        <v>404</v>
      </c>
      <c r="E3242" s="35">
        <v>45029</v>
      </c>
      <c r="F3242" s="33">
        <v>2</v>
      </c>
      <c r="G3242" s="33" t="s">
        <v>122</v>
      </c>
      <c r="H3242" s="33" t="s">
        <v>69</v>
      </c>
      <c r="I3242" s="33" t="s">
        <v>196</v>
      </c>
      <c r="J3242" s="34">
        <v>1143</v>
      </c>
      <c r="K3242" s="34"/>
      <c r="L3242" s="34">
        <v>1143</v>
      </c>
    </row>
    <row r="3243" spans="2:12" x14ac:dyDescent="0.3">
      <c r="B3243" s="25">
        <v>3259</v>
      </c>
      <c r="C3243" s="33" t="s">
        <v>1652</v>
      </c>
      <c r="D3243" s="33" t="s">
        <v>281</v>
      </c>
      <c r="E3243" s="35">
        <v>45029</v>
      </c>
      <c r="F3243" s="33">
        <v>2</v>
      </c>
      <c r="G3243" s="33" t="s">
        <v>124</v>
      </c>
      <c r="H3243" s="33" t="s">
        <v>69</v>
      </c>
      <c r="I3243" s="33" t="s">
        <v>197</v>
      </c>
      <c r="J3243" s="34">
        <v>1983.52</v>
      </c>
      <c r="K3243" s="34"/>
      <c r="L3243" s="34">
        <v>1983.52</v>
      </c>
    </row>
    <row r="3244" spans="2:12" x14ac:dyDescent="0.3">
      <c r="B3244" s="25">
        <v>3260</v>
      </c>
      <c r="C3244" s="33">
        <v>51991</v>
      </c>
      <c r="D3244" s="33" t="s">
        <v>400</v>
      </c>
      <c r="E3244" s="35">
        <v>45029</v>
      </c>
      <c r="F3244" s="33">
        <v>2</v>
      </c>
      <c r="G3244" s="33" t="s">
        <v>231</v>
      </c>
      <c r="H3244" s="33" t="s">
        <v>69</v>
      </c>
      <c r="I3244" s="33" t="s">
        <v>198</v>
      </c>
      <c r="J3244" s="34">
        <v>609.14</v>
      </c>
      <c r="K3244" s="34"/>
      <c r="L3244" s="34">
        <v>609.14</v>
      </c>
    </row>
    <row r="3245" spans="2:12" x14ac:dyDescent="0.3">
      <c r="B3245" s="25">
        <v>3261</v>
      </c>
      <c r="C3245" s="33" t="s">
        <v>1653</v>
      </c>
      <c r="D3245" s="33" t="s">
        <v>402</v>
      </c>
      <c r="E3245" s="35">
        <v>45029</v>
      </c>
      <c r="F3245" s="33">
        <v>2</v>
      </c>
      <c r="G3245" s="33" t="s">
        <v>122</v>
      </c>
      <c r="H3245" s="33" t="s">
        <v>69</v>
      </c>
      <c r="I3245" s="33" t="s">
        <v>196</v>
      </c>
      <c r="J3245" s="34">
        <v>133.02000000000001</v>
      </c>
      <c r="K3245" s="34"/>
      <c r="L3245" s="34">
        <v>133.02000000000001</v>
      </c>
    </row>
    <row r="3246" spans="2:12" x14ac:dyDescent="0.3">
      <c r="B3246" s="25">
        <v>3262</v>
      </c>
      <c r="C3246" s="33">
        <v>52086</v>
      </c>
      <c r="D3246" s="33" t="s">
        <v>1613</v>
      </c>
      <c r="E3246" s="35">
        <v>45036</v>
      </c>
      <c r="F3246" s="33">
        <v>2</v>
      </c>
      <c r="G3246" s="33" t="s">
        <v>124</v>
      </c>
      <c r="H3246" s="33" t="s">
        <v>69</v>
      </c>
      <c r="I3246" s="33" t="s">
        <v>197</v>
      </c>
      <c r="J3246" s="34">
        <v>2954</v>
      </c>
      <c r="K3246" s="34"/>
      <c r="L3246" s="34">
        <v>2954</v>
      </c>
    </row>
    <row r="3247" spans="2:12" x14ac:dyDescent="0.3">
      <c r="B3247" s="25">
        <v>3263</v>
      </c>
      <c r="C3247" s="33">
        <v>52089</v>
      </c>
      <c r="D3247" s="33" t="s">
        <v>404</v>
      </c>
      <c r="E3247" s="35">
        <v>45036</v>
      </c>
      <c r="F3247" s="33">
        <v>2</v>
      </c>
      <c r="G3247" s="33" t="s">
        <v>122</v>
      </c>
      <c r="H3247" s="33" t="s">
        <v>69</v>
      </c>
      <c r="I3247" s="33" t="s">
        <v>196</v>
      </c>
      <c r="J3247" s="34">
        <v>1361.49</v>
      </c>
      <c r="K3247" s="34"/>
      <c r="L3247" s="34">
        <v>1361.49</v>
      </c>
    </row>
    <row r="3248" spans="2:12" x14ac:dyDescent="0.3">
      <c r="B3248" s="25">
        <v>3264</v>
      </c>
      <c r="C3248" s="33">
        <v>52090</v>
      </c>
      <c r="D3248" s="33" t="s">
        <v>512</v>
      </c>
      <c r="E3248" s="35">
        <v>45036</v>
      </c>
      <c r="F3248" s="33">
        <v>2</v>
      </c>
      <c r="G3248" s="33" t="s">
        <v>122</v>
      </c>
      <c r="H3248" s="33" t="s">
        <v>69</v>
      </c>
      <c r="I3248" s="33" t="s">
        <v>196</v>
      </c>
      <c r="J3248" s="34">
        <v>7019</v>
      </c>
      <c r="K3248" s="34"/>
      <c r="L3248" s="34">
        <v>7019</v>
      </c>
    </row>
    <row r="3249" spans="2:12" x14ac:dyDescent="0.3">
      <c r="B3249" s="25">
        <v>3265</v>
      </c>
      <c r="C3249" s="33">
        <v>52092</v>
      </c>
      <c r="D3249" s="33" t="s">
        <v>281</v>
      </c>
      <c r="E3249" s="35">
        <v>45036</v>
      </c>
      <c r="F3249" s="33">
        <v>2</v>
      </c>
      <c r="G3249" s="33" t="s">
        <v>124</v>
      </c>
      <c r="H3249" s="33" t="s">
        <v>69</v>
      </c>
      <c r="I3249" s="33" t="s">
        <v>197</v>
      </c>
      <c r="J3249" s="34">
        <v>5786</v>
      </c>
      <c r="K3249" s="34"/>
      <c r="L3249" s="34">
        <v>5786</v>
      </c>
    </row>
    <row r="3250" spans="2:12" x14ac:dyDescent="0.3">
      <c r="B3250" s="25">
        <v>3266</v>
      </c>
      <c r="C3250" s="33">
        <v>52093</v>
      </c>
      <c r="D3250" s="33" t="s">
        <v>275</v>
      </c>
      <c r="E3250" s="35">
        <v>45036</v>
      </c>
      <c r="F3250" s="33">
        <v>2</v>
      </c>
      <c r="G3250" s="33" t="s">
        <v>124</v>
      </c>
      <c r="H3250" s="33" t="s">
        <v>69</v>
      </c>
      <c r="I3250" s="33" t="s">
        <v>197</v>
      </c>
      <c r="J3250" s="34">
        <v>2690.5</v>
      </c>
      <c r="K3250" s="34"/>
      <c r="L3250" s="34">
        <v>2690.5</v>
      </c>
    </row>
    <row r="3251" spans="2:12" x14ac:dyDescent="0.3">
      <c r="B3251" s="25">
        <v>3267</v>
      </c>
      <c r="C3251" s="33" t="s">
        <v>1654</v>
      </c>
      <c r="D3251" s="33" t="s">
        <v>1372</v>
      </c>
      <c r="E3251" s="35">
        <v>45036</v>
      </c>
      <c r="F3251" s="33">
        <v>2</v>
      </c>
      <c r="G3251" s="33" t="s">
        <v>124</v>
      </c>
      <c r="H3251" s="33" t="s">
        <v>69</v>
      </c>
      <c r="I3251" s="33" t="s">
        <v>197</v>
      </c>
      <c r="J3251" s="34">
        <v>7654.2</v>
      </c>
      <c r="K3251" s="34"/>
      <c r="L3251" s="34">
        <v>7654.2</v>
      </c>
    </row>
    <row r="3252" spans="2:12" x14ac:dyDescent="0.3">
      <c r="B3252" s="25">
        <v>3268</v>
      </c>
      <c r="C3252" s="33">
        <v>52161</v>
      </c>
      <c r="D3252" s="33" t="s">
        <v>400</v>
      </c>
      <c r="E3252" s="35">
        <v>45037</v>
      </c>
      <c r="F3252" s="33">
        <v>2</v>
      </c>
      <c r="G3252" s="33" t="s">
        <v>231</v>
      </c>
      <c r="H3252" s="33" t="s">
        <v>69</v>
      </c>
      <c r="I3252" s="33" t="s">
        <v>198</v>
      </c>
      <c r="J3252" s="34">
        <v>936.99</v>
      </c>
      <c r="K3252" s="34"/>
      <c r="L3252" s="34">
        <v>936.99</v>
      </c>
    </row>
    <row r="3253" spans="2:12" x14ac:dyDescent="0.3">
      <c r="B3253" s="25">
        <v>3269</v>
      </c>
      <c r="C3253" s="33">
        <v>52162</v>
      </c>
      <c r="D3253" s="33" t="s">
        <v>400</v>
      </c>
      <c r="E3253" s="35">
        <v>45037</v>
      </c>
      <c r="F3253" s="33">
        <v>2</v>
      </c>
      <c r="G3253" s="33" t="s">
        <v>231</v>
      </c>
      <c r="H3253" s="33" t="s">
        <v>69</v>
      </c>
      <c r="I3253" s="33" t="s">
        <v>198</v>
      </c>
      <c r="J3253" s="34">
        <v>264.32</v>
      </c>
      <c r="K3253" s="34"/>
      <c r="L3253" s="34">
        <v>264.32</v>
      </c>
    </row>
    <row r="3254" spans="2:12" x14ac:dyDescent="0.3">
      <c r="B3254" s="25">
        <v>3270</v>
      </c>
      <c r="C3254" s="33">
        <v>52163</v>
      </c>
      <c r="D3254" s="33" t="s">
        <v>400</v>
      </c>
      <c r="E3254" s="35">
        <v>45037</v>
      </c>
      <c r="F3254" s="33">
        <v>2</v>
      </c>
      <c r="G3254" s="33" t="s">
        <v>231</v>
      </c>
      <c r="H3254" s="33" t="s">
        <v>69</v>
      </c>
      <c r="I3254" s="33" t="s">
        <v>198</v>
      </c>
      <c r="J3254" s="34">
        <v>717.79</v>
      </c>
      <c r="K3254" s="34"/>
      <c r="L3254" s="34">
        <v>717.79</v>
      </c>
    </row>
    <row r="3255" spans="2:12" x14ac:dyDescent="0.3">
      <c r="B3255" s="25">
        <v>3271</v>
      </c>
      <c r="C3255" s="33">
        <v>52164</v>
      </c>
      <c r="D3255" s="33" t="s">
        <v>400</v>
      </c>
      <c r="E3255" s="35">
        <v>45037</v>
      </c>
      <c r="F3255" s="33">
        <v>2</v>
      </c>
      <c r="G3255" s="33" t="s">
        <v>231</v>
      </c>
      <c r="H3255" s="33" t="s">
        <v>69</v>
      </c>
      <c r="I3255" s="33" t="s">
        <v>198</v>
      </c>
      <c r="J3255" s="34">
        <v>27.64</v>
      </c>
      <c r="K3255" s="34"/>
      <c r="L3255" s="34">
        <v>27.64</v>
      </c>
    </row>
    <row r="3256" spans="2:12" x14ac:dyDescent="0.3">
      <c r="B3256" s="25">
        <v>3272</v>
      </c>
      <c r="C3256" s="33">
        <v>52166</v>
      </c>
      <c r="D3256" s="33" t="s">
        <v>401</v>
      </c>
      <c r="E3256" s="35">
        <v>45037</v>
      </c>
      <c r="F3256" s="33">
        <v>2</v>
      </c>
      <c r="G3256" s="33" t="s">
        <v>231</v>
      </c>
      <c r="H3256" s="33" t="s">
        <v>69</v>
      </c>
      <c r="I3256" s="33" t="s">
        <v>198</v>
      </c>
      <c r="J3256" s="34">
        <v>1746</v>
      </c>
      <c r="K3256" s="34"/>
      <c r="L3256" s="34">
        <v>1746</v>
      </c>
    </row>
    <row r="3257" spans="2:12" x14ac:dyDescent="0.3">
      <c r="B3257" s="25">
        <v>3273</v>
      </c>
      <c r="C3257" s="33" t="s">
        <v>1655</v>
      </c>
      <c r="D3257" s="33" t="s">
        <v>805</v>
      </c>
      <c r="E3257" s="35">
        <v>45037</v>
      </c>
      <c r="F3257" s="33">
        <v>2</v>
      </c>
      <c r="G3257" s="33" t="s">
        <v>231</v>
      </c>
      <c r="H3257" s="33" t="s">
        <v>69</v>
      </c>
      <c r="I3257" s="33" t="s">
        <v>198</v>
      </c>
      <c r="J3257" s="34">
        <v>1412.5</v>
      </c>
      <c r="K3257" s="34"/>
      <c r="L3257" s="34">
        <v>1412.5</v>
      </c>
    </row>
    <row r="3258" spans="2:12" x14ac:dyDescent="0.3">
      <c r="B3258" s="25">
        <v>3274</v>
      </c>
      <c r="C3258" s="33">
        <v>52226</v>
      </c>
      <c r="D3258" s="33" t="s">
        <v>1613</v>
      </c>
      <c r="E3258" s="35">
        <v>45043</v>
      </c>
      <c r="F3258" s="33">
        <v>2</v>
      </c>
      <c r="G3258" s="33" t="s">
        <v>124</v>
      </c>
      <c r="H3258" s="33" t="s">
        <v>69</v>
      </c>
      <c r="I3258" s="33" t="s">
        <v>197</v>
      </c>
      <c r="J3258" s="34">
        <v>551</v>
      </c>
      <c r="K3258" s="34"/>
      <c r="L3258" s="34">
        <v>551</v>
      </c>
    </row>
    <row r="3259" spans="2:12" x14ac:dyDescent="0.3">
      <c r="B3259" s="25">
        <v>3275</v>
      </c>
      <c r="C3259" s="33">
        <v>52236</v>
      </c>
      <c r="D3259" s="33" t="s">
        <v>1048</v>
      </c>
      <c r="E3259" s="35">
        <v>45043</v>
      </c>
      <c r="F3259" s="33">
        <v>2</v>
      </c>
      <c r="G3259" s="33" t="s">
        <v>122</v>
      </c>
      <c r="H3259" s="33" t="s">
        <v>69</v>
      </c>
      <c r="I3259" s="33" t="s">
        <v>196</v>
      </c>
      <c r="J3259" s="34">
        <v>6292.3</v>
      </c>
      <c r="K3259" s="34"/>
      <c r="L3259" s="34">
        <v>6292.3</v>
      </c>
    </row>
    <row r="3260" spans="2:12" x14ac:dyDescent="0.3">
      <c r="B3260" s="25">
        <v>3276</v>
      </c>
      <c r="C3260" s="33">
        <v>6587</v>
      </c>
      <c r="D3260" s="33" t="s">
        <v>410</v>
      </c>
      <c r="E3260" s="35">
        <v>45044</v>
      </c>
      <c r="F3260" s="33">
        <v>2</v>
      </c>
      <c r="G3260" s="33" t="s">
        <v>231</v>
      </c>
      <c r="H3260" s="33" t="s">
        <v>69</v>
      </c>
      <c r="I3260" s="33" t="s">
        <v>198</v>
      </c>
      <c r="J3260" s="34">
        <v>1917</v>
      </c>
      <c r="K3260" s="34"/>
      <c r="L3260" s="34">
        <v>1917</v>
      </c>
    </row>
    <row r="3261" spans="2:12" x14ac:dyDescent="0.3">
      <c r="B3261" s="25">
        <v>3277</v>
      </c>
      <c r="C3261" s="33">
        <v>52304</v>
      </c>
      <c r="D3261" s="33" t="s">
        <v>281</v>
      </c>
      <c r="E3261" s="35">
        <v>45044</v>
      </c>
      <c r="F3261" s="33">
        <v>2</v>
      </c>
      <c r="G3261" s="33" t="s">
        <v>124</v>
      </c>
      <c r="H3261" s="33" t="s">
        <v>69</v>
      </c>
      <c r="I3261" s="33" t="s">
        <v>197</v>
      </c>
      <c r="J3261" s="34">
        <v>3100</v>
      </c>
      <c r="K3261" s="34"/>
      <c r="L3261" s="34">
        <v>3100</v>
      </c>
    </row>
    <row r="3262" spans="2:12" x14ac:dyDescent="0.3">
      <c r="B3262" s="25">
        <v>3278</v>
      </c>
      <c r="C3262" s="33">
        <v>52355</v>
      </c>
      <c r="D3262" s="33" t="s">
        <v>1613</v>
      </c>
      <c r="E3262" s="35">
        <v>45050</v>
      </c>
      <c r="F3262" s="33">
        <v>2</v>
      </c>
      <c r="G3262" s="33" t="s">
        <v>124</v>
      </c>
      <c r="H3262" s="33" t="s">
        <v>69</v>
      </c>
      <c r="I3262" s="33" t="s">
        <v>197</v>
      </c>
      <c r="J3262" s="34">
        <v>1023</v>
      </c>
      <c r="K3262" s="34"/>
      <c r="L3262" s="34">
        <v>1023</v>
      </c>
    </row>
    <row r="3263" spans="2:12" x14ac:dyDescent="0.3">
      <c r="B3263" s="25">
        <v>3279</v>
      </c>
      <c r="C3263" s="33">
        <v>52359</v>
      </c>
      <c r="D3263" s="33" t="s">
        <v>404</v>
      </c>
      <c r="E3263" s="35">
        <v>45050</v>
      </c>
      <c r="F3263" s="33">
        <v>2</v>
      </c>
      <c r="G3263" s="33" t="s">
        <v>122</v>
      </c>
      <c r="H3263" s="33" t="s">
        <v>69</v>
      </c>
      <c r="I3263" s="33" t="s">
        <v>196</v>
      </c>
      <c r="J3263" s="34">
        <v>2303.2199999999998</v>
      </c>
      <c r="K3263" s="34"/>
      <c r="L3263" s="34">
        <v>2303.2199999999998</v>
      </c>
    </row>
    <row r="3264" spans="2:12" x14ac:dyDescent="0.3">
      <c r="B3264" s="25">
        <v>3280</v>
      </c>
      <c r="C3264" s="33">
        <v>52363</v>
      </c>
      <c r="D3264" s="33" t="s">
        <v>412</v>
      </c>
      <c r="E3264" s="35">
        <v>45050</v>
      </c>
      <c r="F3264" s="33">
        <v>2</v>
      </c>
      <c r="G3264" s="33" t="s">
        <v>231</v>
      </c>
      <c r="H3264" s="33" t="s">
        <v>69</v>
      </c>
      <c r="I3264" s="33" t="s">
        <v>198</v>
      </c>
      <c r="J3264" s="34">
        <v>28</v>
      </c>
      <c r="K3264" s="34"/>
      <c r="L3264" s="34">
        <v>28</v>
      </c>
    </row>
    <row r="3265" spans="2:12" x14ac:dyDescent="0.3">
      <c r="B3265" s="25">
        <v>3281</v>
      </c>
      <c r="C3265" s="33" t="s">
        <v>1656</v>
      </c>
      <c r="D3265" s="33" t="s">
        <v>805</v>
      </c>
      <c r="E3265" s="35">
        <v>45050</v>
      </c>
      <c r="F3265" s="33">
        <v>2</v>
      </c>
      <c r="G3265" s="33" t="s">
        <v>231</v>
      </c>
      <c r="H3265" s="33" t="s">
        <v>69</v>
      </c>
      <c r="I3265" s="33" t="s">
        <v>198</v>
      </c>
      <c r="J3265" s="34">
        <v>377.5</v>
      </c>
      <c r="K3265" s="34"/>
      <c r="L3265" s="34">
        <v>377.5</v>
      </c>
    </row>
    <row r="3266" spans="2:12" x14ac:dyDescent="0.3">
      <c r="B3266" s="25">
        <v>3282</v>
      </c>
      <c r="C3266" s="33">
        <v>7199</v>
      </c>
      <c r="D3266" s="33" t="s">
        <v>410</v>
      </c>
      <c r="E3266" s="35">
        <v>45055</v>
      </c>
      <c r="F3266" s="33">
        <v>2</v>
      </c>
      <c r="G3266" s="33" t="s">
        <v>231</v>
      </c>
      <c r="H3266" s="33" t="s">
        <v>69</v>
      </c>
      <c r="I3266" s="33" t="s">
        <v>198</v>
      </c>
      <c r="J3266" s="34">
        <v>1543.5</v>
      </c>
      <c r="K3266" s="34"/>
      <c r="L3266" s="34">
        <v>1543.5</v>
      </c>
    </row>
    <row r="3267" spans="2:12" x14ac:dyDescent="0.3">
      <c r="B3267" s="25">
        <v>3283</v>
      </c>
      <c r="C3267" s="33">
        <v>52472</v>
      </c>
      <c r="D3267" s="33" t="s">
        <v>1613</v>
      </c>
      <c r="E3267" s="35">
        <v>45056</v>
      </c>
      <c r="F3267" s="33">
        <v>2</v>
      </c>
      <c r="G3267" s="33" t="s">
        <v>124</v>
      </c>
      <c r="H3267" s="33" t="s">
        <v>69</v>
      </c>
      <c r="I3267" s="33" t="s">
        <v>197</v>
      </c>
      <c r="J3267" s="34">
        <v>918</v>
      </c>
      <c r="K3267" s="34"/>
      <c r="L3267" s="34">
        <v>918</v>
      </c>
    </row>
    <row r="3268" spans="2:12" x14ac:dyDescent="0.3">
      <c r="B3268" s="25">
        <v>3284</v>
      </c>
      <c r="C3268" s="33">
        <v>52494</v>
      </c>
      <c r="D3268" s="33" t="s">
        <v>401</v>
      </c>
      <c r="E3268" s="35">
        <v>45057</v>
      </c>
      <c r="F3268" s="33">
        <v>2</v>
      </c>
      <c r="G3268" s="33" t="s">
        <v>231</v>
      </c>
      <c r="H3268" s="33" t="s">
        <v>69</v>
      </c>
      <c r="I3268" s="33" t="s">
        <v>198</v>
      </c>
      <c r="J3268" s="34">
        <v>1883</v>
      </c>
      <c r="K3268" s="34"/>
      <c r="L3268" s="34">
        <v>1883</v>
      </c>
    </row>
    <row r="3269" spans="2:12" x14ac:dyDescent="0.3">
      <c r="B3269" s="25">
        <v>3285</v>
      </c>
      <c r="C3269" s="33">
        <v>52497</v>
      </c>
      <c r="D3269" s="33" t="s">
        <v>404</v>
      </c>
      <c r="E3269" s="35">
        <v>45057</v>
      </c>
      <c r="F3269" s="33">
        <v>2</v>
      </c>
      <c r="G3269" s="33" t="s">
        <v>122</v>
      </c>
      <c r="H3269" s="33" t="s">
        <v>69</v>
      </c>
      <c r="I3269" s="33" t="s">
        <v>196</v>
      </c>
      <c r="J3269" s="34">
        <v>1295.5</v>
      </c>
      <c r="K3269" s="34"/>
      <c r="L3269" s="34">
        <v>1295.5</v>
      </c>
    </row>
    <row r="3270" spans="2:12" x14ac:dyDescent="0.3">
      <c r="B3270" s="25">
        <v>3286</v>
      </c>
      <c r="C3270" s="33">
        <v>52499</v>
      </c>
      <c r="D3270" s="33" t="s">
        <v>438</v>
      </c>
      <c r="E3270" s="35">
        <v>45057</v>
      </c>
      <c r="F3270" s="33">
        <v>2</v>
      </c>
      <c r="G3270" s="33" t="s">
        <v>122</v>
      </c>
      <c r="H3270" s="33" t="s">
        <v>69</v>
      </c>
      <c r="I3270" s="33" t="s">
        <v>196</v>
      </c>
      <c r="J3270" s="34">
        <v>1336.64</v>
      </c>
      <c r="K3270" s="34"/>
      <c r="L3270" s="34">
        <v>1336.64</v>
      </c>
    </row>
    <row r="3271" spans="2:12" x14ac:dyDescent="0.3">
      <c r="B3271" s="25">
        <v>3287</v>
      </c>
      <c r="C3271" s="33">
        <v>52500</v>
      </c>
      <c r="D3271" s="33" t="s">
        <v>411</v>
      </c>
      <c r="E3271" s="35">
        <v>45057</v>
      </c>
      <c r="F3271" s="33">
        <v>2</v>
      </c>
      <c r="G3271" s="33" t="s">
        <v>122</v>
      </c>
      <c r="H3271" s="33" t="s">
        <v>69</v>
      </c>
      <c r="I3271" s="33" t="s">
        <v>196</v>
      </c>
      <c r="J3271" s="34">
        <v>4094.52</v>
      </c>
      <c r="K3271" s="34"/>
      <c r="L3271" s="34">
        <v>4094.52</v>
      </c>
    </row>
    <row r="3272" spans="2:12" x14ac:dyDescent="0.3">
      <c r="B3272" s="25">
        <v>3288</v>
      </c>
      <c r="C3272" s="33">
        <v>52502</v>
      </c>
      <c r="D3272" s="33" t="s">
        <v>281</v>
      </c>
      <c r="E3272" s="35">
        <v>45057</v>
      </c>
      <c r="F3272" s="33">
        <v>2</v>
      </c>
      <c r="G3272" s="33" t="s">
        <v>124</v>
      </c>
      <c r="H3272" s="33" t="s">
        <v>69</v>
      </c>
      <c r="I3272" s="33" t="s">
        <v>197</v>
      </c>
      <c r="J3272" s="34">
        <v>1935.5</v>
      </c>
      <c r="K3272" s="34"/>
      <c r="L3272" s="34">
        <v>1935.5</v>
      </c>
    </row>
    <row r="3273" spans="2:12" x14ac:dyDescent="0.3">
      <c r="B3273" s="25">
        <v>3289</v>
      </c>
      <c r="C3273" s="33">
        <v>52503</v>
      </c>
      <c r="D3273" s="33" t="s">
        <v>275</v>
      </c>
      <c r="E3273" s="35">
        <v>45057</v>
      </c>
      <c r="F3273" s="33">
        <v>2</v>
      </c>
      <c r="G3273" s="33" t="s">
        <v>124</v>
      </c>
      <c r="H3273" s="33" t="s">
        <v>69</v>
      </c>
      <c r="I3273" s="33" t="s">
        <v>197</v>
      </c>
      <c r="J3273" s="34">
        <v>5571</v>
      </c>
      <c r="K3273" s="34"/>
      <c r="L3273" s="34">
        <v>5571</v>
      </c>
    </row>
    <row r="3274" spans="2:12" x14ac:dyDescent="0.3">
      <c r="B3274" s="25">
        <v>3290</v>
      </c>
      <c r="C3274" s="33" t="s">
        <v>1657</v>
      </c>
      <c r="D3274" s="33" t="s">
        <v>805</v>
      </c>
      <c r="E3274" s="35">
        <v>45057</v>
      </c>
      <c r="F3274" s="33">
        <v>2</v>
      </c>
      <c r="G3274" s="33" t="s">
        <v>231</v>
      </c>
      <c r="H3274" s="33" t="s">
        <v>69</v>
      </c>
      <c r="I3274" s="33" t="s">
        <v>198</v>
      </c>
      <c r="J3274" s="34">
        <v>4067.5</v>
      </c>
      <c r="K3274" s="34"/>
      <c r="L3274" s="34">
        <v>4067.5</v>
      </c>
    </row>
    <row r="3275" spans="2:12" x14ac:dyDescent="0.3">
      <c r="B3275" s="25">
        <v>3291</v>
      </c>
      <c r="C3275" s="33">
        <v>52508</v>
      </c>
      <c r="D3275" s="33" t="s">
        <v>1658</v>
      </c>
      <c r="E3275" s="35">
        <v>45057</v>
      </c>
      <c r="F3275" s="33">
        <v>2</v>
      </c>
      <c r="G3275" s="33" t="s">
        <v>122</v>
      </c>
      <c r="H3275" s="33" t="s">
        <v>69</v>
      </c>
      <c r="I3275" s="33" t="s">
        <v>196</v>
      </c>
      <c r="J3275" s="34">
        <v>4294.8</v>
      </c>
      <c r="K3275" s="34"/>
      <c r="L3275" s="34">
        <v>4294.8</v>
      </c>
    </row>
    <row r="3276" spans="2:12" x14ac:dyDescent="0.3">
      <c r="B3276" s="25">
        <v>3292</v>
      </c>
      <c r="C3276" s="33">
        <v>35812</v>
      </c>
      <c r="D3276" s="33" t="s">
        <v>394</v>
      </c>
      <c r="E3276" s="35">
        <v>45062</v>
      </c>
      <c r="F3276" s="33">
        <v>2</v>
      </c>
      <c r="G3276" s="33" t="s">
        <v>122</v>
      </c>
      <c r="H3276" s="33" t="s">
        <v>72</v>
      </c>
      <c r="I3276" s="33" t="s">
        <v>196</v>
      </c>
      <c r="J3276" s="34">
        <v>6553</v>
      </c>
      <c r="K3276" s="34"/>
      <c r="L3276" s="34">
        <v>6553</v>
      </c>
    </row>
    <row r="3277" spans="2:12" x14ac:dyDescent="0.3">
      <c r="B3277" s="25">
        <v>3293</v>
      </c>
      <c r="C3277" s="33">
        <v>35834</v>
      </c>
      <c r="D3277" s="33" t="s">
        <v>852</v>
      </c>
      <c r="E3277" s="35">
        <v>45068</v>
      </c>
      <c r="F3277" s="33">
        <v>2</v>
      </c>
      <c r="G3277" s="33" t="s">
        <v>124</v>
      </c>
      <c r="H3277" s="33" t="s">
        <v>72</v>
      </c>
      <c r="I3277" s="33" t="s">
        <v>197</v>
      </c>
      <c r="J3277" s="34">
        <v>3349</v>
      </c>
      <c r="K3277" s="34"/>
      <c r="L3277" s="34">
        <v>3349</v>
      </c>
    </row>
    <row r="3278" spans="2:12" x14ac:dyDescent="0.3">
      <c r="B3278" s="25">
        <v>3294</v>
      </c>
      <c r="C3278" s="33">
        <v>35862</v>
      </c>
      <c r="D3278" s="33" t="s">
        <v>687</v>
      </c>
      <c r="E3278" s="35">
        <v>45071</v>
      </c>
      <c r="F3278" s="33">
        <v>2</v>
      </c>
      <c r="G3278" s="33" t="s">
        <v>122</v>
      </c>
      <c r="H3278" s="33" t="s">
        <v>72</v>
      </c>
      <c r="I3278" s="33" t="s">
        <v>196</v>
      </c>
      <c r="J3278" s="34">
        <v>3949</v>
      </c>
      <c r="K3278" s="34"/>
      <c r="L3278" s="34">
        <v>3949</v>
      </c>
    </row>
    <row r="3279" spans="2:12" x14ac:dyDescent="0.3">
      <c r="B3279" s="25">
        <v>3295</v>
      </c>
      <c r="C3279" s="33">
        <v>3029</v>
      </c>
      <c r="D3279" s="33" t="s">
        <v>565</v>
      </c>
      <c r="E3279" s="35">
        <v>45057</v>
      </c>
      <c r="F3279" s="33">
        <v>2</v>
      </c>
      <c r="G3279" s="33" t="s">
        <v>124</v>
      </c>
      <c r="H3279" s="33" t="s">
        <v>201</v>
      </c>
      <c r="I3279" s="33" t="s">
        <v>197</v>
      </c>
      <c r="J3279" s="34">
        <v>4683.3599999999997</v>
      </c>
      <c r="K3279" s="34"/>
      <c r="L3279" s="34">
        <v>4683.3599999999997</v>
      </c>
    </row>
    <row r="3280" spans="2:12" x14ac:dyDescent="0.3">
      <c r="B3280" s="25">
        <v>3296</v>
      </c>
      <c r="C3280" s="33">
        <v>3030</v>
      </c>
      <c r="D3280" s="33" t="s">
        <v>584</v>
      </c>
      <c r="E3280" s="35">
        <v>45057</v>
      </c>
      <c r="F3280" s="33">
        <v>2</v>
      </c>
      <c r="G3280" s="33" t="s">
        <v>122</v>
      </c>
      <c r="H3280" s="33" t="s">
        <v>201</v>
      </c>
      <c r="I3280" s="33" t="s">
        <v>196</v>
      </c>
      <c r="J3280" s="34">
        <v>991.76</v>
      </c>
      <c r="K3280" s="34"/>
      <c r="L3280" s="34">
        <v>991.76</v>
      </c>
    </row>
    <row r="3281" spans="2:12" x14ac:dyDescent="0.3">
      <c r="B3281" s="25">
        <v>3297</v>
      </c>
      <c r="C3281" s="33">
        <v>3038</v>
      </c>
      <c r="D3281" s="33" t="s">
        <v>411</v>
      </c>
      <c r="E3281" s="35">
        <v>45057</v>
      </c>
      <c r="F3281" s="33">
        <v>2</v>
      </c>
      <c r="G3281" s="33" t="s">
        <v>122</v>
      </c>
      <c r="H3281" s="33" t="s">
        <v>201</v>
      </c>
      <c r="I3281" s="33" t="s">
        <v>196</v>
      </c>
      <c r="J3281" s="34">
        <v>2044.24</v>
      </c>
      <c r="K3281" s="34"/>
      <c r="L3281" s="34">
        <v>2044.24</v>
      </c>
    </row>
    <row r="3282" spans="2:12" x14ac:dyDescent="0.3">
      <c r="B3282" s="25">
        <v>3298</v>
      </c>
      <c r="C3282" s="33">
        <v>3039</v>
      </c>
      <c r="D3282" s="33" t="s">
        <v>637</v>
      </c>
      <c r="E3282" s="35">
        <v>45057</v>
      </c>
      <c r="F3282" s="33">
        <v>2</v>
      </c>
      <c r="G3282" s="33" t="s">
        <v>124</v>
      </c>
      <c r="H3282" s="33" t="s">
        <v>201</v>
      </c>
      <c r="I3282" s="33" t="s">
        <v>197</v>
      </c>
      <c r="J3282" s="34">
        <v>888</v>
      </c>
      <c r="K3282" s="34"/>
      <c r="L3282" s="34">
        <v>888</v>
      </c>
    </row>
    <row r="3283" spans="2:12" x14ac:dyDescent="0.3">
      <c r="B3283" s="25">
        <v>3299</v>
      </c>
      <c r="C3283" s="33">
        <v>3040</v>
      </c>
      <c r="D3283" s="33" t="s">
        <v>826</v>
      </c>
      <c r="E3283" s="35">
        <v>45057</v>
      </c>
      <c r="F3283" s="33">
        <v>2</v>
      </c>
      <c r="G3283" s="33" t="s">
        <v>122</v>
      </c>
      <c r="H3283" s="33" t="s">
        <v>201</v>
      </c>
      <c r="I3283" s="33" t="s">
        <v>196</v>
      </c>
      <c r="J3283" s="34">
        <v>3448.5</v>
      </c>
      <c r="K3283" s="34"/>
      <c r="L3283" s="34">
        <v>3448.5</v>
      </c>
    </row>
    <row r="3284" spans="2:12" x14ac:dyDescent="0.3">
      <c r="B3284" s="25">
        <v>3300</v>
      </c>
      <c r="C3284" s="33" t="s">
        <v>1659</v>
      </c>
      <c r="D3284" s="33" t="s">
        <v>1019</v>
      </c>
      <c r="E3284" s="35">
        <v>45057</v>
      </c>
      <c r="F3284" s="33">
        <v>2</v>
      </c>
      <c r="G3284" s="33" t="s">
        <v>124</v>
      </c>
      <c r="H3284" s="33" t="s">
        <v>201</v>
      </c>
      <c r="I3284" s="33" t="s">
        <v>197</v>
      </c>
      <c r="J3284" s="34">
        <v>870</v>
      </c>
      <c r="K3284" s="34"/>
      <c r="L3284" s="34">
        <v>870</v>
      </c>
    </row>
    <row r="3285" spans="2:12" x14ac:dyDescent="0.3">
      <c r="B3285" s="25">
        <v>3301</v>
      </c>
      <c r="C3285" s="33">
        <v>3043</v>
      </c>
      <c r="D3285" s="33" t="s">
        <v>1334</v>
      </c>
      <c r="E3285" s="35">
        <v>45057</v>
      </c>
      <c r="F3285" s="33">
        <v>2</v>
      </c>
      <c r="G3285" s="33" t="s">
        <v>124</v>
      </c>
      <c r="H3285" s="33" t="s">
        <v>201</v>
      </c>
      <c r="I3285" s="33" t="s">
        <v>197</v>
      </c>
      <c r="J3285" s="34">
        <v>452.65</v>
      </c>
      <c r="K3285" s="34"/>
      <c r="L3285" s="34">
        <v>452.65</v>
      </c>
    </row>
    <row r="3286" spans="2:12" x14ac:dyDescent="0.3">
      <c r="B3286" s="25">
        <v>3302</v>
      </c>
      <c r="C3286" s="33" t="s">
        <v>1660</v>
      </c>
      <c r="D3286" s="33" t="s">
        <v>584</v>
      </c>
      <c r="E3286" s="35">
        <v>45063</v>
      </c>
      <c r="F3286" s="33">
        <v>2</v>
      </c>
      <c r="G3286" s="33" t="s">
        <v>122</v>
      </c>
      <c r="H3286" s="33" t="s">
        <v>201</v>
      </c>
      <c r="I3286" s="33" t="s">
        <v>196</v>
      </c>
      <c r="J3286" s="34">
        <v>-600</v>
      </c>
      <c r="K3286" s="34"/>
      <c r="L3286" s="34">
        <v>-600</v>
      </c>
    </row>
    <row r="3287" spans="2:12" x14ac:dyDescent="0.3">
      <c r="B3287" s="25">
        <v>3303</v>
      </c>
      <c r="C3287" s="33">
        <v>3228</v>
      </c>
      <c r="D3287" s="33" t="s">
        <v>565</v>
      </c>
      <c r="E3287" s="35">
        <v>45064</v>
      </c>
      <c r="F3287" s="33">
        <v>2</v>
      </c>
      <c r="G3287" s="33" t="s">
        <v>124</v>
      </c>
      <c r="H3287" s="33" t="s">
        <v>201</v>
      </c>
      <c r="I3287" s="33" t="s">
        <v>197</v>
      </c>
      <c r="J3287" s="34">
        <v>2633.4</v>
      </c>
      <c r="K3287" s="34"/>
      <c r="L3287" s="34">
        <v>2633.4</v>
      </c>
    </row>
    <row r="3288" spans="2:12" x14ac:dyDescent="0.3">
      <c r="B3288" s="25">
        <v>3304</v>
      </c>
      <c r="C3288" s="33">
        <v>3230</v>
      </c>
      <c r="D3288" s="33" t="s">
        <v>566</v>
      </c>
      <c r="E3288" s="35">
        <v>45064</v>
      </c>
      <c r="F3288" s="33">
        <v>2</v>
      </c>
      <c r="G3288" s="33" t="s">
        <v>122</v>
      </c>
      <c r="H3288" s="33" t="s">
        <v>201</v>
      </c>
      <c r="I3288" s="33" t="s">
        <v>196</v>
      </c>
      <c r="J3288" s="34">
        <v>2820.05</v>
      </c>
      <c r="K3288" s="34"/>
      <c r="L3288" s="34">
        <v>2820.05</v>
      </c>
    </row>
    <row r="3289" spans="2:12" x14ac:dyDescent="0.3">
      <c r="B3289" s="25">
        <v>3305</v>
      </c>
      <c r="C3289" s="33">
        <v>3240</v>
      </c>
      <c r="D3289" s="33" t="s">
        <v>362</v>
      </c>
      <c r="E3289" s="35">
        <v>45064</v>
      </c>
      <c r="F3289" s="33">
        <v>2</v>
      </c>
      <c r="G3289" s="33" t="s">
        <v>124</v>
      </c>
      <c r="H3289" s="33" t="s">
        <v>201</v>
      </c>
      <c r="I3289" s="33" t="s">
        <v>197</v>
      </c>
      <c r="J3289" s="34">
        <v>2723.35</v>
      </c>
      <c r="K3289" s="34"/>
      <c r="L3289" s="34">
        <v>2723.35</v>
      </c>
    </row>
    <row r="3290" spans="2:12" x14ac:dyDescent="0.3">
      <c r="B3290" s="25">
        <v>3306</v>
      </c>
      <c r="C3290" s="33">
        <v>3241</v>
      </c>
      <c r="D3290" s="33" t="s">
        <v>413</v>
      </c>
      <c r="E3290" s="35">
        <v>45064</v>
      </c>
      <c r="F3290" s="33">
        <v>2</v>
      </c>
      <c r="G3290" s="33" t="s">
        <v>122</v>
      </c>
      <c r="H3290" s="33" t="s">
        <v>201</v>
      </c>
      <c r="I3290" s="33" t="s">
        <v>196</v>
      </c>
      <c r="J3290" s="34">
        <v>9154.35</v>
      </c>
      <c r="K3290" s="34"/>
      <c r="L3290" s="34">
        <v>9154.35</v>
      </c>
    </row>
    <row r="3291" spans="2:12" x14ac:dyDescent="0.3">
      <c r="B3291" s="25">
        <v>3307</v>
      </c>
      <c r="C3291" s="33" t="s">
        <v>1661</v>
      </c>
      <c r="D3291" s="33" t="s">
        <v>826</v>
      </c>
      <c r="E3291" s="35">
        <v>45064</v>
      </c>
      <c r="F3291" s="33">
        <v>2</v>
      </c>
      <c r="G3291" s="33" t="s">
        <v>122</v>
      </c>
      <c r="H3291" s="33" t="s">
        <v>201</v>
      </c>
      <c r="I3291" s="33" t="s">
        <v>196</v>
      </c>
      <c r="J3291" s="34">
        <v>986.2</v>
      </c>
      <c r="K3291" s="34"/>
      <c r="L3291" s="34">
        <v>986.2</v>
      </c>
    </row>
    <row r="3292" spans="2:12" x14ac:dyDescent="0.3">
      <c r="B3292" s="25">
        <v>3308</v>
      </c>
      <c r="C3292" s="33">
        <v>3247</v>
      </c>
      <c r="D3292" s="33" t="s">
        <v>1626</v>
      </c>
      <c r="E3292" s="35">
        <v>45064</v>
      </c>
      <c r="F3292" s="33">
        <v>2</v>
      </c>
      <c r="G3292" s="33" t="s">
        <v>628</v>
      </c>
      <c r="H3292" s="33" t="s">
        <v>201</v>
      </c>
      <c r="I3292" s="33" t="s">
        <v>75</v>
      </c>
      <c r="J3292" s="34">
        <v>10734</v>
      </c>
      <c r="K3292" s="34"/>
      <c r="L3292" s="34">
        <v>10734</v>
      </c>
    </row>
    <row r="3293" spans="2:12" x14ac:dyDescent="0.3">
      <c r="B3293" s="25">
        <v>3309</v>
      </c>
      <c r="C3293" s="33">
        <v>35888</v>
      </c>
      <c r="D3293" s="33" t="s">
        <v>1641</v>
      </c>
      <c r="E3293" s="35">
        <v>45072</v>
      </c>
      <c r="F3293" s="33">
        <v>2</v>
      </c>
      <c r="G3293" s="33" t="s">
        <v>231</v>
      </c>
      <c r="H3293" s="33" t="s">
        <v>72</v>
      </c>
      <c r="I3293" s="33" t="s">
        <v>198</v>
      </c>
      <c r="J3293" s="34">
        <v>9228.8700000000008</v>
      </c>
      <c r="K3293" s="34"/>
      <c r="L3293" s="34">
        <v>9228.8700000000008</v>
      </c>
    </row>
    <row r="3294" spans="2:12" x14ac:dyDescent="0.3">
      <c r="B3294" s="25">
        <v>3310</v>
      </c>
      <c r="C3294" s="33">
        <v>3430</v>
      </c>
      <c r="D3294" s="33" t="s">
        <v>1662</v>
      </c>
      <c r="E3294" s="35">
        <v>45069</v>
      </c>
      <c r="F3294" s="33">
        <v>2</v>
      </c>
      <c r="G3294" s="33" t="s">
        <v>231</v>
      </c>
      <c r="H3294" s="33" t="s">
        <v>201</v>
      </c>
      <c r="I3294" s="33" t="s">
        <v>198</v>
      </c>
      <c r="J3294" s="34">
        <v>14924.4</v>
      </c>
      <c r="K3294" s="34">
        <v>895.46</v>
      </c>
      <c r="L3294" s="34">
        <v>14028.94</v>
      </c>
    </row>
    <row r="3295" spans="2:12" x14ac:dyDescent="0.3">
      <c r="B3295" s="25">
        <v>3311</v>
      </c>
      <c r="C3295" s="33">
        <v>3434</v>
      </c>
      <c r="D3295" s="33" t="s">
        <v>573</v>
      </c>
      <c r="E3295" s="35">
        <v>45071</v>
      </c>
      <c r="F3295" s="33">
        <v>2</v>
      </c>
      <c r="G3295" s="33" t="s">
        <v>124</v>
      </c>
      <c r="H3295" s="33" t="s">
        <v>201</v>
      </c>
      <c r="I3295" s="33" t="s">
        <v>197</v>
      </c>
      <c r="J3295" s="34">
        <v>973.5</v>
      </c>
      <c r="K3295" s="34"/>
      <c r="L3295" s="34">
        <v>973.5</v>
      </c>
    </row>
    <row r="3296" spans="2:12" x14ac:dyDescent="0.3">
      <c r="B3296" s="25">
        <v>3312</v>
      </c>
      <c r="C3296" s="33">
        <v>3436</v>
      </c>
      <c r="D3296" s="33" t="s">
        <v>580</v>
      </c>
      <c r="E3296" s="35">
        <v>45071</v>
      </c>
      <c r="F3296" s="33">
        <v>2</v>
      </c>
      <c r="G3296" s="33" t="s">
        <v>124</v>
      </c>
      <c r="H3296" s="33" t="s">
        <v>201</v>
      </c>
      <c r="I3296" s="33" t="s">
        <v>197</v>
      </c>
      <c r="J3296" s="34">
        <v>1056</v>
      </c>
      <c r="K3296" s="34"/>
      <c r="L3296" s="34">
        <v>1056</v>
      </c>
    </row>
    <row r="3297" spans="2:12" x14ac:dyDescent="0.3">
      <c r="B3297" s="25">
        <v>3313</v>
      </c>
      <c r="C3297" s="33">
        <v>3437</v>
      </c>
      <c r="D3297" s="33" t="s">
        <v>387</v>
      </c>
      <c r="E3297" s="35">
        <v>45069</v>
      </c>
      <c r="F3297" s="33">
        <v>2</v>
      </c>
      <c r="G3297" s="33" t="s">
        <v>124</v>
      </c>
      <c r="H3297" s="33" t="s">
        <v>201</v>
      </c>
      <c r="I3297" s="33" t="s">
        <v>197</v>
      </c>
      <c r="J3297" s="34">
        <v>1959.3</v>
      </c>
      <c r="K3297" s="34">
        <v>31</v>
      </c>
      <c r="L3297" s="34">
        <v>1928.3</v>
      </c>
    </row>
    <row r="3298" spans="2:12" x14ac:dyDescent="0.3">
      <c r="B3298" s="25">
        <v>3314</v>
      </c>
      <c r="C3298" s="33">
        <v>3438</v>
      </c>
      <c r="D3298" s="33" t="s">
        <v>565</v>
      </c>
      <c r="E3298" s="35">
        <v>45071</v>
      </c>
      <c r="F3298" s="33">
        <v>2</v>
      </c>
      <c r="G3298" s="33" t="s">
        <v>124</v>
      </c>
      <c r="H3298" s="33" t="s">
        <v>201</v>
      </c>
      <c r="I3298" s="33" t="s">
        <v>197</v>
      </c>
      <c r="J3298" s="34">
        <v>4054.16</v>
      </c>
      <c r="K3298" s="34"/>
      <c r="L3298" s="34">
        <v>4054.16</v>
      </c>
    </row>
    <row r="3299" spans="2:12" x14ac:dyDescent="0.3">
      <c r="B3299" s="25">
        <v>3315</v>
      </c>
      <c r="C3299" s="33">
        <v>3441</v>
      </c>
      <c r="D3299" s="33" t="s">
        <v>401</v>
      </c>
      <c r="E3299" s="35">
        <v>45071</v>
      </c>
      <c r="F3299" s="33">
        <v>2</v>
      </c>
      <c r="G3299" s="33" t="s">
        <v>231</v>
      </c>
      <c r="H3299" s="33" t="s">
        <v>201</v>
      </c>
      <c r="I3299" s="33" t="s">
        <v>198</v>
      </c>
      <c r="J3299" s="34">
        <v>4153.6000000000004</v>
      </c>
      <c r="K3299" s="34"/>
      <c r="L3299" s="34">
        <v>4153.6000000000004</v>
      </c>
    </row>
    <row r="3300" spans="2:12" x14ac:dyDescent="0.3">
      <c r="B3300" s="25">
        <v>3316</v>
      </c>
      <c r="C3300" s="33" t="s">
        <v>1485</v>
      </c>
      <c r="D3300" s="33" t="s">
        <v>1663</v>
      </c>
      <c r="E3300" s="35">
        <v>45077</v>
      </c>
      <c r="F3300" s="33">
        <v>2</v>
      </c>
      <c r="G3300" s="33" t="s">
        <v>122</v>
      </c>
      <c r="H3300" s="33" t="s">
        <v>629</v>
      </c>
      <c r="I3300" s="33" t="s">
        <v>196</v>
      </c>
      <c r="J3300" s="34">
        <v>800</v>
      </c>
      <c r="K3300" s="34"/>
      <c r="L3300" s="34">
        <v>800</v>
      </c>
    </row>
    <row r="3301" spans="2:12" x14ac:dyDescent="0.3">
      <c r="B3301" s="25">
        <v>3317</v>
      </c>
      <c r="C3301" s="33">
        <v>10839</v>
      </c>
      <c r="D3301" s="33" t="s">
        <v>1664</v>
      </c>
      <c r="E3301" s="35">
        <v>45062</v>
      </c>
      <c r="F3301" s="33">
        <v>2</v>
      </c>
      <c r="G3301" s="33" t="s">
        <v>122</v>
      </c>
      <c r="H3301" s="33">
        <v>53</v>
      </c>
      <c r="I3301" s="33" t="s">
        <v>196</v>
      </c>
      <c r="J3301" s="34">
        <v>546.17999999999995</v>
      </c>
      <c r="K3301" s="34"/>
      <c r="L3301" s="34">
        <v>546.17999999999995</v>
      </c>
    </row>
    <row r="3302" spans="2:12" x14ac:dyDescent="0.3">
      <c r="B3302" s="25">
        <v>3318</v>
      </c>
      <c r="C3302" s="33" t="s">
        <v>1486</v>
      </c>
      <c r="D3302" s="33" t="s">
        <v>1664</v>
      </c>
      <c r="E3302" s="35">
        <v>45019</v>
      </c>
      <c r="F3302" s="33">
        <v>2</v>
      </c>
      <c r="G3302" s="33" t="s">
        <v>124</v>
      </c>
      <c r="H3302" s="33">
        <v>53</v>
      </c>
      <c r="I3302" s="33" t="s">
        <v>197</v>
      </c>
      <c r="J3302" s="34">
        <v>1041</v>
      </c>
      <c r="K3302" s="34"/>
      <c r="L3302" s="34">
        <v>1041</v>
      </c>
    </row>
    <row r="3303" spans="2:12" x14ac:dyDescent="0.3">
      <c r="B3303" s="25">
        <v>3319</v>
      </c>
      <c r="C3303" s="33">
        <v>384601</v>
      </c>
      <c r="D3303" s="33" t="s">
        <v>921</v>
      </c>
      <c r="E3303" s="35">
        <v>45077</v>
      </c>
      <c r="F3303" s="33">
        <v>2</v>
      </c>
      <c r="G3303" s="33" t="s">
        <v>122</v>
      </c>
      <c r="H3303" s="33" t="s">
        <v>200</v>
      </c>
      <c r="I3303" s="33" t="s">
        <v>196</v>
      </c>
      <c r="J3303" s="34">
        <v>1043.46</v>
      </c>
      <c r="K3303" s="34"/>
      <c r="L3303" s="34">
        <v>1043.46</v>
      </c>
    </row>
    <row r="3304" spans="2:12" x14ac:dyDescent="0.3">
      <c r="B3304" s="25">
        <v>3320</v>
      </c>
      <c r="C3304" s="33" t="s">
        <v>1488</v>
      </c>
      <c r="D3304" s="33" t="s">
        <v>921</v>
      </c>
      <c r="E3304" s="35">
        <v>45078</v>
      </c>
      <c r="F3304" s="33">
        <v>2</v>
      </c>
      <c r="G3304" s="33" t="s">
        <v>231</v>
      </c>
      <c r="H3304" s="33" t="s">
        <v>200</v>
      </c>
      <c r="I3304" s="33" t="s">
        <v>198</v>
      </c>
      <c r="J3304" s="34">
        <v>1517.76</v>
      </c>
      <c r="K3304" s="34"/>
      <c r="L3304" s="34">
        <v>1517.76</v>
      </c>
    </row>
    <row r="3305" spans="2:12" x14ac:dyDescent="0.3">
      <c r="B3305" s="25">
        <v>3321</v>
      </c>
      <c r="C3305" s="33" t="s">
        <v>1491</v>
      </c>
      <c r="D3305" s="33" t="s">
        <v>1665</v>
      </c>
      <c r="E3305" s="35">
        <v>45019</v>
      </c>
      <c r="F3305" s="33">
        <v>2</v>
      </c>
      <c r="G3305" s="33" t="s">
        <v>122</v>
      </c>
      <c r="H3305" s="33" t="s">
        <v>69</v>
      </c>
      <c r="I3305" s="33" t="s">
        <v>196</v>
      </c>
      <c r="J3305" s="34">
        <v>3910.67</v>
      </c>
      <c r="K3305" s="34"/>
      <c r="L3305" s="34">
        <v>3910.67</v>
      </c>
    </row>
    <row r="3306" spans="2:12" x14ac:dyDescent="0.3">
      <c r="B3306" s="25">
        <v>3322</v>
      </c>
      <c r="C3306" s="33" t="s">
        <v>1489</v>
      </c>
      <c r="D3306" s="33" t="s">
        <v>1665</v>
      </c>
      <c r="E3306" s="35">
        <v>45019</v>
      </c>
      <c r="F3306" s="33">
        <v>2</v>
      </c>
      <c r="G3306" s="33" t="s">
        <v>231</v>
      </c>
      <c r="H3306" s="33" t="s">
        <v>69</v>
      </c>
      <c r="I3306" s="33" t="s">
        <v>198</v>
      </c>
      <c r="J3306" s="34">
        <v>5763.1</v>
      </c>
      <c r="K3306" s="34"/>
      <c r="L3306" s="34">
        <v>5763.1</v>
      </c>
    </row>
    <row r="3307" spans="2:12" x14ac:dyDescent="0.3">
      <c r="B3307" s="25">
        <v>3323</v>
      </c>
      <c r="C3307" s="33">
        <v>1866</v>
      </c>
      <c r="D3307" s="33" t="s">
        <v>364</v>
      </c>
      <c r="E3307" s="35">
        <v>45048</v>
      </c>
      <c r="F3307" s="33">
        <v>2</v>
      </c>
      <c r="G3307" s="33" t="s">
        <v>124</v>
      </c>
      <c r="H3307" s="33" t="s">
        <v>71</v>
      </c>
      <c r="I3307" s="33" t="s">
        <v>197</v>
      </c>
      <c r="J3307" s="34">
        <v>143.28</v>
      </c>
      <c r="K3307" s="34">
        <v>45</v>
      </c>
      <c r="L3307" s="34">
        <v>98.28</v>
      </c>
    </row>
    <row r="3308" spans="2:12" x14ac:dyDescent="0.3">
      <c r="B3308" s="25">
        <v>3324</v>
      </c>
      <c r="C3308" s="33">
        <v>1869</v>
      </c>
      <c r="D3308" s="33" t="s">
        <v>384</v>
      </c>
      <c r="E3308" s="35">
        <v>45048</v>
      </c>
      <c r="F3308" s="33">
        <v>2</v>
      </c>
      <c r="G3308" s="33" t="s">
        <v>124</v>
      </c>
      <c r="H3308" s="33" t="s">
        <v>71</v>
      </c>
      <c r="I3308" s="33" t="s">
        <v>197</v>
      </c>
      <c r="J3308" s="34">
        <v>569.22</v>
      </c>
      <c r="K3308" s="34">
        <v>80</v>
      </c>
      <c r="L3308" s="34">
        <v>489.22</v>
      </c>
    </row>
    <row r="3309" spans="2:12" x14ac:dyDescent="0.3">
      <c r="B3309" s="25">
        <v>3325</v>
      </c>
      <c r="C3309" s="33">
        <v>1886</v>
      </c>
      <c r="D3309" s="33" t="s">
        <v>361</v>
      </c>
      <c r="E3309" s="35">
        <v>45049</v>
      </c>
      <c r="F3309" s="33">
        <v>2</v>
      </c>
      <c r="G3309" s="33" t="s">
        <v>124</v>
      </c>
      <c r="H3309" s="33" t="s">
        <v>71</v>
      </c>
      <c r="I3309" s="33" t="s">
        <v>197</v>
      </c>
      <c r="J3309" s="34">
        <v>176.06</v>
      </c>
      <c r="K3309" s="34"/>
      <c r="L3309" s="34">
        <v>176.06</v>
      </c>
    </row>
    <row r="3310" spans="2:12" x14ac:dyDescent="0.3">
      <c r="B3310" s="25">
        <v>3326</v>
      </c>
      <c r="C3310" s="33">
        <v>1925</v>
      </c>
      <c r="D3310" s="33" t="s">
        <v>1666</v>
      </c>
      <c r="E3310" s="35">
        <v>45051</v>
      </c>
      <c r="F3310" s="33">
        <v>2</v>
      </c>
      <c r="G3310" s="33" t="s">
        <v>231</v>
      </c>
      <c r="H3310" s="33" t="s">
        <v>71</v>
      </c>
      <c r="I3310" s="33" t="s">
        <v>198</v>
      </c>
      <c r="J3310" s="34">
        <v>1392.99</v>
      </c>
      <c r="K3310" s="34">
        <v>40</v>
      </c>
      <c r="L3310" s="34">
        <v>1352.99</v>
      </c>
    </row>
    <row r="3311" spans="2:12" x14ac:dyDescent="0.3">
      <c r="B3311" s="25">
        <v>3327</v>
      </c>
      <c r="C3311" s="33">
        <v>1977</v>
      </c>
      <c r="D3311" s="33" t="s">
        <v>412</v>
      </c>
      <c r="E3311" s="35">
        <v>45057</v>
      </c>
      <c r="F3311" s="33">
        <v>2</v>
      </c>
      <c r="G3311" s="33" t="s">
        <v>231</v>
      </c>
      <c r="H3311" s="33" t="s">
        <v>71</v>
      </c>
      <c r="I3311" s="33" t="s">
        <v>198</v>
      </c>
      <c r="J3311" s="34">
        <v>845.77</v>
      </c>
      <c r="K3311" s="34">
        <v>80</v>
      </c>
      <c r="L3311" s="34">
        <v>765.77</v>
      </c>
    </row>
    <row r="3312" spans="2:12" x14ac:dyDescent="0.3">
      <c r="B3312" s="25">
        <v>3328</v>
      </c>
      <c r="C3312" s="33">
        <v>1979</v>
      </c>
      <c r="D3312" s="33" t="s">
        <v>362</v>
      </c>
      <c r="E3312" s="35">
        <v>45057</v>
      </c>
      <c r="F3312" s="33">
        <v>2</v>
      </c>
      <c r="G3312" s="33" t="s">
        <v>124</v>
      </c>
      <c r="H3312" s="33" t="s">
        <v>71</v>
      </c>
      <c r="I3312" s="33" t="s">
        <v>197</v>
      </c>
      <c r="J3312" s="34">
        <v>1297.73</v>
      </c>
      <c r="K3312" s="34"/>
      <c r="L3312" s="34">
        <v>1297.73</v>
      </c>
    </row>
    <row r="3313" spans="2:12" x14ac:dyDescent="0.3">
      <c r="B3313" s="25">
        <v>3329</v>
      </c>
      <c r="C3313" s="33">
        <v>1985</v>
      </c>
      <c r="D3313" s="33" t="s">
        <v>429</v>
      </c>
      <c r="E3313" s="35">
        <v>45057</v>
      </c>
      <c r="F3313" s="33">
        <v>2</v>
      </c>
      <c r="G3313" s="33" t="s">
        <v>628</v>
      </c>
      <c r="H3313" s="33" t="s">
        <v>71</v>
      </c>
      <c r="I3313" s="33" t="s">
        <v>75</v>
      </c>
      <c r="J3313" s="34">
        <v>664.58</v>
      </c>
      <c r="K3313" s="34">
        <v>80</v>
      </c>
      <c r="L3313" s="34">
        <v>584.58000000000004</v>
      </c>
    </row>
    <row r="3314" spans="2:12" x14ac:dyDescent="0.3">
      <c r="B3314" s="25">
        <v>3330</v>
      </c>
      <c r="C3314" s="33">
        <v>1992</v>
      </c>
      <c r="D3314" s="33" t="s">
        <v>362</v>
      </c>
      <c r="E3314" s="35">
        <v>45058</v>
      </c>
      <c r="F3314" s="33">
        <v>2</v>
      </c>
      <c r="G3314" s="33" t="s">
        <v>124</v>
      </c>
      <c r="H3314" s="33" t="s">
        <v>71</v>
      </c>
      <c r="I3314" s="33" t="s">
        <v>197</v>
      </c>
      <c r="J3314" s="34">
        <v>495.46</v>
      </c>
      <c r="K3314" s="34">
        <v>40</v>
      </c>
      <c r="L3314" s="34">
        <v>455.46</v>
      </c>
    </row>
    <row r="3315" spans="2:12" x14ac:dyDescent="0.3">
      <c r="B3315" s="25">
        <v>3331</v>
      </c>
      <c r="C3315" s="33">
        <v>2009</v>
      </c>
      <c r="D3315" s="33" t="s">
        <v>894</v>
      </c>
      <c r="E3315" s="35">
        <v>45061</v>
      </c>
      <c r="F3315" s="33">
        <v>2</v>
      </c>
      <c r="G3315" s="33" t="s">
        <v>231</v>
      </c>
      <c r="H3315" s="33" t="s">
        <v>71</v>
      </c>
      <c r="I3315" s="33" t="s">
        <v>198</v>
      </c>
      <c r="J3315" s="34">
        <v>2297.5700000000002</v>
      </c>
      <c r="K3315" s="34"/>
      <c r="L3315" s="34">
        <v>2297.5700000000002</v>
      </c>
    </row>
    <row r="3316" spans="2:12" x14ac:dyDescent="0.3">
      <c r="B3316" s="25">
        <v>3332</v>
      </c>
      <c r="C3316" s="33">
        <v>2017</v>
      </c>
      <c r="D3316" s="33" t="s">
        <v>772</v>
      </c>
      <c r="E3316" s="35">
        <v>45061</v>
      </c>
      <c r="F3316" s="33">
        <v>2</v>
      </c>
      <c r="G3316" s="33" t="s">
        <v>124</v>
      </c>
      <c r="H3316" s="33" t="s">
        <v>71</v>
      </c>
      <c r="I3316" s="33" t="s">
        <v>197</v>
      </c>
      <c r="J3316" s="34">
        <v>588.33000000000004</v>
      </c>
      <c r="K3316" s="34">
        <v>80</v>
      </c>
      <c r="L3316" s="34">
        <v>508.33</v>
      </c>
    </row>
    <row r="3317" spans="2:12" x14ac:dyDescent="0.3">
      <c r="B3317" s="25">
        <v>3333</v>
      </c>
      <c r="C3317" s="33">
        <v>2066</v>
      </c>
      <c r="D3317" s="33" t="s">
        <v>1667</v>
      </c>
      <c r="E3317" s="35">
        <v>45062</v>
      </c>
      <c r="F3317" s="33">
        <v>2</v>
      </c>
      <c r="G3317" s="33" t="s">
        <v>628</v>
      </c>
      <c r="H3317" s="33" t="s">
        <v>71</v>
      </c>
      <c r="I3317" s="33" t="s">
        <v>75</v>
      </c>
      <c r="J3317" s="34">
        <v>762.5</v>
      </c>
      <c r="K3317" s="34">
        <v>80</v>
      </c>
      <c r="L3317" s="34">
        <v>682.5</v>
      </c>
    </row>
    <row r="3318" spans="2:12" x14ac:dyDescent="0.3">
      <c r="B3318" s="25">
        <v>3334</v>
      </c>
      <c r="C3318" s="33">
        <v>2079</v>
      </c>
      <c r="D3318" s="33" t="s">
        <v>675</v>
      </c>
      <c r="E3318" s="35">
        <v>45063</v>
      </c>
      <c r="F3318" s="33">
        <v>2</v>
      </c>
      <c r="G3318" s="33" t="s">
        <v>628</v>
      </c>
      <c r="H3318" s="33" t="s">
        <v>71</v>
      </c>
      <c r="I3318" s="33" t="s">
        <v>75</v>
      </c>
      <c r="J3318" s="34">
        <v>1857.73</v>
      </c>
      <c r="K3318" s="34">
        <v>40</v>
      </c>
      <c r="L3318" s="34">
        <v>1817.73</v>
      </c>
    </row>
    <row r="3319" spans="2:12" x14ac:dyDescent="0.3">
      <c r="B3319" s="25">
        <v>3335</v>
      </c>
      <c r="C3319" s="33">
        <v>2108</v>
      </c>
      <c r="D3319" s="33" t="s">
        <v>1668</v>
      </c>
      <c r="E3319" s="35">
        <v>45068</v>
      </c>
      <c r="F3319" s="33">
        <v>2</v>
      </c>
      <c r="G3319" s="33" t="s">
        <v>124</v>
      </c>
      <c r="H3319" s="33" t="s">
        <v>71</v>
      </c>
      <c r="I3319" s="33" t="s">
        <v>197</v>
      </c>
      <c r="J3319" s="34">
        <v>3447.04</v>
      </c>
      <c r="K3319" s="34">
        <v>40</v>
      </c>
      <c r="L3319" s="34">
        <v>3407.04</v>
      </c>
    </row>
    <row r="3320" spans="2:12" x14ac:dyDescent="0.3">
      <c r="B3320" s="25">
        <v>3336</v>
      </c>
      <c r="C3320" s="33" t="s">
        <v>1669</v>
      </c>
      <c r="D3320" s="33" t="s">
        <v>376</v>
      </c>
      <c r="E3320" s="35">
        <v>45069</v>
      </c>
      <c r="F3320" s="33">
        <v>2</v>
      </c>
      <c r="G3320" s="33" t="s">
        <v>124</v>
      </c>
      <c r="H3320" s="33" t="s">
        <v>71</v>
      </c>
      <c r="I3320" s="33" t="s">
        <v>197</v>
      </c>
      <c r="J3320" s="34">
        <v>6440.94</v>
      </c>
      <c r="K3320" s="34"/>
      <c r="L3320" s="34">
        <v>6440.94</v>
      </c>
    </row>
    <row r="3321" spans="2:12" x14ac:dyDescent="0.3">
      <c r="B3321" s="25">
        <v>3337</v>
      </c>
      <c r="C3321" s="33">
        <v>2172</v>
      </c>
      <c r="D3321" s="33" t="s">
        <v>362</v>
      </c>
      <c r="E3321" s="35">
        <v>45071</v>
      </c>
      <c r="F3321" s="33">
        <v>2</v>
      </c>
      <c r="G3321" s="33" t="s">
        <v>124</v>
      </c>
      <c r="H3321" s="33" t="s">
        <v>71</v>
      </c>
      <c r="I3321" s="33" t="s">
        <v>197</v>
      </c>
      <c r="J3321" s="34">
        <v>446.95</v>
      </c>
      <c r="K3321" s="34"/>
      <c r="L3321" s="34">
        <v>446.95</v>
      </c>
    </row>
    <row r="3322" spans="2:12" x14ac:dyDescent="0.3">
      <c r="B3322" s="25">
        <v>3338</v>
      </c>
      <c r="C3322" s="33">
        <v>2173</v>
      </c>
      <c r="D3322" s="33" t="s">
        <v>518</v>
      </c>
      <c r="E3322" s="35">
        <v>45071</v>
      </c>
      <c r="F3322" s="33">
        <v>2</v>
      </c>
      <c r="G3322" s="33" t="s">
        <v>628</v>
      </c>
      <c r="H3322" s="33" t="s">
        <v>71</v>
      </c>
      <c r="I3322" s="33" t="s">
        <v>75</v>
      </c>
      <c r="J3322" s="34">
        <v>767.96</v>
      </c>
      <c r="K3322" s="34">
        <v>80</v>
      </c>
      <c r="L3322" s="34">
        <v>687.96</v>
      </c>
    </row>
    <row r="3323" spans="2:12" x14ac:dyDescent="0.3">
      <c r="B3323" s="25">
        <v>3339</v>
      </c>
      <c r="C3323" s="33">
        <v>2182</v>
      </c>
      <c r="D3323" s="33" t="s">
        <v>772</v>
      </c>
      <c r="E3323" s="35">
        <v>45071</v>
      </c>
      <c r="F3323" s="33">
        <v>2</v>
      </c>
      <c r="G3323" s="33" t="s">
        <v>124</v>
      </c>
      <c r="H3323" s="33" t="s">
        <v>71</v>
      </c>
      <c r="I3323" s="33" t="s">
        <v>197</v>
      </c>
      <c r="J3323" s="34">
        <v>909.78</v>
      </c>
      <c r="K3323" s="34">
        <v>40</v>
      </c>
      <c r="L3323" s="34">
        <v>869.78</v>
      </c>
    </row>
    <row r="3324" spans="2:12" x14ac:dyDescent="0.3">
      <c r="B3324" s="25">
        <v>3340</v>
      </c>
      <c r="C3324" s="33">
        <v>2297</v>
      </c>
      <c r="D3324" s="33" t="s">
        <v>363</v>
      </c>
      <c r="E3324" s="35">
        <v>45076</v>
      </c>
      <c r="F3324" s="33">
        <v>2</v>
      </c>
      <c r="G3324" s="33" t="s">
        <v>124</v>
      </c>
      <c r="H3324" s="33" t="s">
        <v>71</v>
      </c>
      <c r="I3324" s="33" t="s">
        <v>197</v>
      </c>
      <c r="J3324" s="34">
        <v>931.6</v>
      </c>
      <c r="K3324" s="34">
        <v>40</v>
      </c>
      <c r="L3324" s="34">
        <v>891.6</v>
      </c>
    </row>
    <row r="3325" spans="2:12" x14ac:dyDescent="0.3">
      <c r="B3325" s="25">
        <v>3341</v>
      </c>
      <c r="C3325" s="33">
        <v>1856</v>
      </c>
      <c r="D3325" s="33" t="s">
        <v>1670</v>
      </c>
      <c r="E3325" s="35">
        <v>45040</v>
      </c>
      <c r="F3325" s="33">
        <v>2</v>
      </c>
      <c r="G3325" s="33" t="s">
        <v>124</v>
      </c>
      <c r="H3325" s="33" t="s">
        <v>71</v>
      </c>
      <c r="I3325" s="33" t="s">
        <v>197</v>
      </c>
      <c r="J3325" s="34">
        <v>394.41</v>
      </c>
      <c r="K3325" s="34">
        <v>40</v>
      </c>
      <c r="L3325" s="34">
        <v>354.41</v>
      </c>
    </row>
    <row r="3326" spans="2:12" x14ac:dyDescent="0.3">
      <c r="B3326" s="25">
        <v>3342</v>
      </c>
      <c r="C3326" s="33">
        <v>2011</v>
      </c>
      <c r="D3326" s="33" t="s">
        <v>759</v>
      </c>
      <c r="E3326" s="35">
        <v>45061</v>
      </c>
      <c r="F3326" s="33">
        <v>2</v>
      </c>
      <c r="G3326" s="33" t="s">
        <v>124</v>
      </c>
      <c r="H3326" s="33" t="s">
        <v>71</v>
      </c>
      <c r="I3326" s="33" t="s">
        <v>197</v>
      </c>
      <c r="J3326" s="34">
        <v>177.8</v>
      </c>
      <c r="K3326" s="34">
        <v>35</v>
      </c>
      <c r="L3326" s="34">
        <v>142.80000000000001</v>
      </c>
    </row>
    <row r="3327" spans="2:12" x14ac:dyDescent="0.3">
      <c r="B3327" s="25">
        <v>3343</v>
      </c>
      <c r="C3327" s="33">
        <v>12276</v>
      </c>
      <c r="D3327" s="33" t="s">
        <v>1671</v>
      </c>
      <c r="E3327" s="35">
        <v>45077</v>
      </c>
      <c r="F3327" s="33">
        <v>2</v>
      </c>
      <c r="G3327" s="33" t="s">
        <v>122</v>
      </c>
      <c r="H3327" s="33" t="s">
        <v>73</v>
      </c>
      <c r="I3327" s="33" t="s">
        <v>196</v>
      </c>
      <c r="J3327" s="34">
        <v>2991</v>
      </c>
      <c r="K3327" s="34"/>
      <c r="L3327" s="34">
        <v>2991</v>
      </c>
    </row>
    <row r="3328" spans="2:12" x14ac:dyDescent="0.3">
      <c r="B3328" s="25">
        <v>3344</v>
      </c>
      <c r="C3328" s="33">
        <v>35937</v>
      </c>
      <c r="D3328" s="33" t="s">
        <v>470</v>
      </c>
      <c r="E3328" s="35">
        <v>45078</v>
      </c>
      <c r="F3328" s="33">
        <v>2</v>
      </c>
      <c r="G3328" s="33" t="s">
        <v>628</v>
      </c>
      <c r="H3328" s="33" t="s">
        <v>72</v>
      </c>
      <c r="I3328" s="33" t="s">
        <v>75</v>
      </c>
      <c r="J3328" s="34">
        <v>3655</v>
      </c>
      <c r="K3328" s="34"/>
      <c r="L3328" s="34">
        <v>3655</v>
      </c>
    </row>
    <row r="3329" spans="2:12" x14ac:dyDescent="0.3">
      <c r="B3329" s="25">
        <v>3345</v>
      </c>
      <c r="C3329" s="33">
        <v>35938</v>
      </c>
      <c r="D3329" s="33" t="s">
        <v>803</v>
      </c>
      <c r="E3329" s="35">
        <v>45078</v>
      </c>
      <c r="F3329" s="33">
        <v>2</v>
      </c>
      <c r="G3329" s="33" t="s">
        <v>122</v>
      </c>
      <c r="H3329" s="33" t="s">
        <v>72</v>
      </c>
      <c r="I3329" s="33" t="s">
        <v>196</v>
      </c>
      <c r="J3329" s="34">
        <v>1787.6</v>
      </c>
      <c r="K3329" s="34"/>
      <c r="L3329" s="34">
        <v>1787.6</v>
      </c>
    </row>
    <row r="3330" spans="2:12" x14ac:dyDescent="0.3">
      <c r="B3330" s="25">
        <v>3346</v>
      </c>
      <c r="C3330" s="33">
        <v>35957</v>
      </c>
      <c r="D3330" s="33" t="s">
        <v>1672</v>
      </c>
      <c r="E3330" s="35">
        <v>45090</v>
      </c>
      <c r="F3330" s="33">
        <v>2</v>
      </c>
      <c r="G3330" s="33" t="s">
        <v>124</v>
      </c>
      <c r="H3330" s="33" t="s">
        <v>72</v>
      </c>
      <c r="I3330" s="33" t="s">
        <v>197</v>
      </c>
      <c r="J3330" s="34">
        <v>6196.8</v>
      </c>
      <c r="K3330" s="34"/>
      <c r="L3330" s="34">
        <v>6196.8</v>
      </c>
    </row>
    <row r="3331" spans="2:12" x14ac:dyDescent="0.3">
      <c r="B3331" s="25">
        <v>3347</v>
      </c>
      <c r="C3331" s="33">
        <v>5701</v>
      </c>
      <c r="D3331" s="33" t="s">
        <v>1266</v>
      </c>
      <c r="E3331" s="35">
        <v>45084</v>
      </c>
      <c r="F3331" s="33">
        <v>2</v>
      </c>
      <c r="G3331" s="33" t="s">
        <v>628</v>
      </c>
      <c r="H3331" s="33" t="s">
        <v>630</v>
      </c>
      <c r="I3331" s="33" t="s">
        <v>75</v>
      </c>
      <c r="J3331" s="34">
        <v>135.4</v>
      </c>
      <c r="K3331" s="34">
        <v>40</v>
      </c>
      <c r="L3331" s="34">
        <v>95.4</v>
      </c>
    </row>
    <row r="3332" spans="2:12" x14ac:dyDescent="0.3">
      <c r="B3332" s="25">
        <v>3348</v>
      </c>
      <c r="C3332" s="33" t="s">
        <v>1673</v>
      </c>
      <c r="D3332" s="33" t="s">
        <v>1535</v>
      </c>
      <c r="E3332" s="35">
        <v>45085</v>
      </c>
      <c r="F3332" s="33">
        <v>2</v>
      </c>
      <c r="G3332" s="33" t="s">
        <v>628</v>
      </c>
      <c r="H3332" s="33" t="s">
        <v>630</v>
      </c>
      <c r="I3332" s="33" t="s">
        <v>75</v>
      </c>
      <c r="J3332" s="34">
        <v>1412.4</v>
      </c>
      <c r="K3332" s="34"/>
      <c r="L3332" s="34">
        <v>1412.4</v>
      </c>
    </row>
    <row r="3333" spans="2:12" x14ac:dyDescent="0.3">
      <c r="B3333" s="25">
        <v>3349</v>
      </c>
      <c r="C3333" s="33">
        <v>3618</v>
      </c>
      <c r="D3333" s="33" t="s">
        <v>362</v>
      </c>
      <c r="E3333" s="35">
        <v>45077</v>
      </c>
      <c r="F3333" s="33">
        <v>2</v>
      </c>
      <c r="G3333" s="33" t="s">
        <v>124</v>
      </c>
      <c r="H3333" s="33" t="s">
        <v>201</v>
      </c>
      <c r="I3333" s="33" t="s">
        <v>197</v>
      </c>
      <c r="J3333" s="34">
        <v>1660.98</v>
      </c>
      <c r="K3333" s="34"/>
      <c r="L3333" s="34">
        <v>1660.98</v>
      </c>
    </row>
    <row r="3334" spans="2:12" x14ac:dyDescent="0.3">
      <c r="B3334" s="25">
        <v>3350</v>
      </c>
      <c r="C3334" s="33" t="s">
        <v>1674</v>
      </c>
      <c r="D3334" s="33" t="s">
        <v>602</v>
      </c>
      <c r="E3334" s="35">
        <v>45077</v>
      </c>
      <c r="F3334" s="33">
        <v>2</v>
      </c>
      <c r="G3334" s="33" t="s">
        <v>628</v>
      </c>
      <c r="H3334" s="33" t="s">
        <v>201</v>
      </c>
      <c r="I3334" s="33" t="s">
        <v>75</v>
      </c>
      <c r="J3334" s="34">
        <v>4452.7299999999996</v>
      </c>
      <c r="K3334" s="34"/>
      <c r="L3334" s="34">
        <v>4452.7299999999996</v>
      </c>
    </row>
    <row r="3335" spans="2:12" x14ac:dyDescent="0.3">
      <c r="B3335" s="25">
        <v>3351</v>
      </c>
      <c r="C3335" s="33">
        <v>3622</v>
      </c>
      <c r="D3335" s="33" t="s">
        <v>1382</v>
      </c>
      <c r="E3335" s="35">
        <v>45077</v>
      </c>
      <c r="F3335" s="33">
        <v>2</v>
      </c>
      <c r="G3335" s="33" t="s">
        <v>628</v>
      </c>
      <c r="H3335" s="33" t="s">
        <v>201</v>
      </c>
      <c r="I3335" s="33" t="s">
        <v>75</v>
      </c>
      <c r="J3335" s="34">
        <v>1575.6</v>
      </c>
      <c r="K3335" s="34"/>
      <c r="L3335" s="34">
        <v>1575.6</v>
      </c>
    </row>
    <row r="3336" spans="2:12" x14ac:dyDescent="0.3">
      <c r="B3336" s="25">
        <v>3352</v>
      </c>
      <c r="C3336" s="33">
        <v>3809</v>
      </c>
      <c r="D3336" s="33" t="s">
        <v>420</v>
      </c>
      <c r="E3336" s="35">
        <v>45085</v>
      </c>
      <c r="F3336" s="33">
        <v>2</v>
      </c>
      <c r="G3336" s="33" t="s">
        <v>628</v>
      </c>
      <c r="H3336" s="33" t="s">
        <v>201</v>
      </c>
      <c r="I3336" s="33" t="s">
        <v>75</v>
      </c>
      <c r="J3336" s="34">
        <v>1124.2</v>
      </c>
      <c r="K3336" s="34"/>
      <c r="L3336" s="34">
        <v>1124.2</v>
      </c>
    </row>
    <row r="3337" spans="2:12" x14ac:dyDescent="0.3">
      <c r="B3337" s="25">
        <v>3353</v>
      </c>
      <c r="C3337" s="33">
        <v>3815</v>
      </c>
      <c r="D3337" s="33" t="s">
        <v>1047</v>
      </c>
      <c r="E3337" s="35">
        <v>45085</v>
      </c>
      <c r="F3337" s="33">
        <v>2</v>
      </c>
      <c r="G3337" s="33" t="s">
        <v>124</v>
      </c>
      <c r="H3337" s="33" t="s">
        <v>201</v>
      </c>
      <c r="I3337" s="33" t="s">
        <v>197</v>
      </c>
      <c r="J3337" s="34">
        <v>1382.82</v>
      </c>
      <c r="K3337" s="34"/>
      <c r="L3337" s="34">
        <v>1382.82</v>
      </c>
    </row>
    <row r="3338" spans="2:12" x14ac:dyDescent="0.3">
      <c r="B3338" s="25">
        <v>3354</v>
      </c>
      <c r="C3338" s="33">
        <v>3816</v>
      </c>
      <c r="D3338" s="33" t="s">
        <v>473</v>
      </c>
      <c r="E3338" s="35">
        <v>45085</v>
      </c>
      <c r="F3338" s="33">
        <v>2</v>
      </c>
      <c r="G3338" s="33" t="s">
        <v>122</v>
      </c>
      <c r="H3338" s="33" t="s">
        <v>201</v>
      </c>
      <c r="I3338" s="33" t="s">
        <v>196</v>
      </c>
      <c r="J3338" s="34">
        <v>368.68</v>
      </c>
      <c r="K3338" s="34"/>
      <c r="L3338" s="34">
        <v>368.68</v>
      </c>
    </row>
    <row r="3339" spans="2:12" x14ac:dyDescent="0.3">
      <c r="B3339" s="25">
        <v>3355</v>
      </c>
      <c r="C3339" s="33">
        <v>3817</v>
      </c>
      <c r="D3339" s="33" t="s">
        <v>556</v>
      </c>
      <c r="E3339" s="35">
        <v>45085</v>
      </c>
      <c r="F3339" s="33">
        <v>2</v>
      </c>
      <c r="G3339" s="33" t="s">
        <v>124</v>
      </c>
      <c r="H3339" s="33" t="s">
        <v>201</v>
      </c>
      <c r="I3339" s="33" t="s">
        <v>197</v>
      </c>
      <c r="J3339" s="34">
        <v>773.74</v>
      </c>
      <c r="K3339" s="34">
        <v>31</v>
      </c>
      <c r="L3339" s="34">
        <v>742.74</v>
      </c>
    </row>
    <row r="3340" spans="2:12" x14ac:dyDescent="0.3">
      <c r="B3340" s="25">
        <v>3356</v>
      </c>
      <c r="C3340" s="33">
        <v>3818</v>
      </c>
      <c r="D3340" s="33" t="s">
        <v>556</v>
      </c>
      <c r="E3340" s="35">
        <v>45085</v>
      </c>
      <c r="F3340" s="33">
        <v>2</v>
      </c>
      <c r="G3340" s="33" t="s">
        <v>124</v>
      </c>
      <c r="H3340" s="33" t="s">
        <v>201</v>
      </c>
      <c r="I3340" s="33" t="s">
        <v>197</v>
      </c>
      <c r="J3340" s="34">
        <v>4307.6400000000003</v>
      </c>
      <c r="K3340" s="34">
        <v>125</v>
      </c>
      <c r="L3340" s="34">
        <v>4182.6400000000003</v>
      </c>
    </row>
    <row r="3341" spans="2:12" x14ac:dyDescent="0.3">
      <c r="B3341" s="25">
        <v>3357</v>
      </c>
      <c r="C3341" s="33">
        <v>3819</v>
      </c>
      <c r="D3341" s="33" t="s">
        <v>584</v>
      </c>
      <c r="E3341" s="35">
        <v>45085</v>
      </c>
      <c r="F3341" s="33">
        <v>2</v>
      </c>
      <c r="G3341" s="33" t="s">
        <v>122</v>
      </c>
      <c r="H3341" s="33" t="s">
        <v>201</v>
      </c>
      <c r="I3341" s="33" t="s">
        <v>196</v>
      </c>
      <c r="J3341" s="34">
        <v>1314.34</v>
      </c>
      <c r="K3341" s="34"/>
      <c r="L3341" s="34">
        <v>1314.34</v>
      </c>
    </row>
    <row r="3342" spans="2:12" x14ac:dyDescent="0.3">
      <c r="B3342" s="25">
        <v>3358</v>
      </c>
      <c r="C3342" s="33">
        <v>3833</v>
      </c>
      <c r="D3342" s="33" t="s">
        <v>1336</v>
      </c>
      <c r="E3342" s="35">
        <v>45085</v>
      </c>
      <c r="F3342" s="33">
        <v>2</v>
      </c>
      <c r="G3342" s="33" t="s">
        <v>124</v>
      </c>
      <c r="H3342" s="33" t="s">
        <v>201</v>
      </c>
      <c r="I3342" s="33" t="s">
        <v>197</v>
      </c>
      <c r="J3342" s="34">
        <v>1410.18</v>
      </c>
      <c r="K3342" s="34"/>
      <c r="L3342" s="34">
        <v>1410.18</v>
      </c>
    </row>
    <row r="3343" spans="2:12" x14ac:dyDescent="0.3">
      <c r="B3343" s="25">
        <v>3359</v>
      </c>
      <c r="C3343" s="33">
        <v>36010</v>
      </c>
      <c r="D3343" s="33" t="s">
        <v>1610</v>
      </c>
      <c r="E3343" s="35">
        <v>45093</v>
      </c>
      <c r="F3343" s="33">
        <v>2</v>
      </c>
      <c r="G3343" s="33" t="s">
        <v>124</v>
      </c>
      <c r="H3343" s="33" t="s">
        <v>72</v>
      </c>
      <c r="I3343" s="33" t="s">
        <v>197</v>
      </c>
      <c r="J3343" s="34">
        <v>8294.5499999999993</v>
      </c>
      <c r="K3343" s="34"/>
      <c r="L3343" s="34">
        <v>8294.5499999999993</v>
      </c>
    </row>
    <row r="3344" spans="2:12" x14ac:dyDescent="0.3">
      <c r="B3344" s="25">
        <v>3360</v>
      </c>
      <c r="C3344" s="33">
        <v>36021</v>
      </c>
      <c r="D3344" s="33" t="s">
        <v>394</v>
      </c>
      <c r="E3344" s="35">
        <v>45093</v>
      </c>
      <c r="F3344" s="33">
        <v>2</v>
      </c>
      <c r="G3344" s="33" t="s">
        <v>122</v>
      </c>
      <c r="H3344" s="33" t="s">
        <v>72</v>
      </c>
      <c r="I3344" s="33" t="s">
        <v>196</v>
      </c>
      <c r="J3344" s="34">
        <v>2573.15</v>
      </c>
      <c r="K3344" s="34"/>
      <c r="L3344" s="34">
        <v>2573.15</v>
      </c>
    </row>
    <row r="3345" spans="2:12" x14ac:dyDescent="0.3">
      <c r="B3345" s="25">
        <v>3361</v>
      </c>
      <c r="C3345" s="33">
        <v>52618</v>
      </c>
      <c r="D3345" s="33" t="s">
        <v>400</v>
      </c>
      <c r="E3345" s="35">
        <v>45064</v>
      </c>
      <c r="F3345" s="33">
        <v>2</v>
      </c>
      <c r="G3345" s="33" t="s">
        <v>231</v>
      </c>
      <c r="H3345" s="33" t="s">
        <v>69</v>
      </c>
      <c r="I3345" s="33" t="s">
        <v>198</v>
      </c>
      <c r="J3345" s="34">
        <v>1208.1199999999999</v>
      </c>
      <c r="K3345" s="34"/>
      <c r="L3345" s="34">
        <v>1208.1199999999999</v>
      </c>
    </row>
    <row r="3346" spans="2:12" x14ac:dyDescent="0.3">
      <c r="B3346" s="25">
        <v>3362</v>
      </c>
      <c r="C3346" s="33">
        <v>52619</v>
      </c>
      <c r="D3346" s="33" t="s">
        <v>400</v>
      </c>
      <c r="E3346" s="35">
        <v>45064</v>
      </c>
      <c r="F3346" s="33">
        <v>2</v>
      </c>
      <c r="G3346" s="33" t="s">
        <v>231</v>
      </c>
      <c r="H3346" s="33" t="s">
        <v>69</v>
      </c>
      <c r="I3346" s="33" t="s">
        <v>198</v>
      </c>
      <c r="J3346" s="34">
        <v>316.19</v>
      </c>
      <c r="K3346" s="34"/>
      <c r="L3346" s="34">
        <v>316.19</v>
      </c>
    </row>
    <row r="3347" spans="2:12" x14ac:dyDescent="0.3">
      <c r="B3347" s="25">
        <v>3363</v>
      </c>
      <c r="C3347" s="33">
        <v>52620</v>
      </c>
      <c r="D3347" s="33" t="s">
        <v>400</v>
      </c>
      <c r="E3347" s="35">
        <v>45064</v>
      </c>
      <c r="F3347" s="33">
        <v>2</v>
      </c>
      <c r="G3347" s="33" t="s">
        <v>231</v>
      </c>
      <c r="H3347" s="33" t="s">
        <v>69</v>
      </c>
      <c r="I3347" s="33" t="s">
        <v>198</v>
      </c>
      <c r="J3347" s="34">
        <v>10.18</v>
      </c>
      <c r="K3347" s="34"/>
      <c r="L3347" s="34">
        <v>10.18</v>
      </c>
    </row>
    <row r="3348" spans="2:12" x14ac:dyDescent="0.3">
      <c r="B3348" s="25">
        <v>3364</v>
      </c>
      <c r="C3348" s="33">
        <v>52621</v>
      </c>
      <c r="D3348" s="33" t="s">
        <v>416</v>
      </c>
      <c r="E3348" s="35">
        <v>45064</v>
      </c>
      <c r="F3348" s="33">
        <v>2</v>
      </c>
      <c r="G3348" s="33" t="s">
        <v>231</v>
      </c>
      <c r="H3348" s="33" t="s">
        <v>69</v>
      </c>
      <c r="I3348" s="33" t="s">
        <v>198</v>
      </c>
      <c r="J3348" s="34">
        <v>1648</v>
      </c>
      <c r="K3348" s="34"/>
      <c r="L3348" s="34">
        <v>1648</v>
      </c>
    </row>
    <row r="3349" spans="2:12" x14ac:dyDescent="0.3">
      <c r="B3349" s="25">
        <v>3365</v>
      </c>
      <c r="C3349" s="33">
        <v>52622</v>
      </c>
      <c r="D3349" s="33" t="s">
        <v>593</v>
      </c>
      <c r="E3349" s="35">
        <v>45064</v>
      </c>
      <c r="F3349" s="33">
        <v>2</v>
      </c>
      <c r="G3349" s="33" t="s">
        <v>122</v>
      </c>
      <c r="H3349" s="33" t="s">
        <v>69</v>
      </c>
      <c r="I3349" s="33" t="s">
        <v>196</v>
      </c>
      <c r="J3349" s="34">
        <v>2245.0100000000002</v>
      </c>
      <c r="K3349" s="34"/>
      <c r="L3349" s="34">
        <v>2245.0100000000002</v>
      </c>
    </row>
    <row r="3350" spans="2:12" x14ac:dyDescent="0.3">
      <c r="B3350" s="25">
        <v>3366</v>
      </c>
      <c r="C3350" s="33">
        <v>52623</v>
      </c>
      <c r="D3350" s="33" t="s">
        <v>404</v>
      </c>
      <c r="E3350" s="35">
        <v>45064</v>
      </c>
      <c r="F3350" s="33">
        <v>2</v>
      </c>
      <c r="G3350" s="33" t="s">
        <v>122</v>
      </c>
      <c r="H3350" s="33" t="s">
        <v>69</v>
      </c>
      <c r="I3350" s="33" t="s">
        <v>196</v>
      </c>
      <c r="J3350" s="34">
        <v>758</v>
      </c>
      <c r="K3350" s="34"/>
      <c r="L3350" s="34">
        <v>758</v>
      </c>
    </row>
    <row r="3351" spans="2:12" x14ac:dyDescent="0.3">
      <c r="B3351" s="25">
        <v>3367</v>
      </c>
      <c r="C3351" s="33">
        <v>52624</v>
      </c>
      <c r="D3351" s="33" t="s">
        <v>404</v>
      </c>
      <c r="E3351" s="35">
        <v>45064</v>
      </c>
      <c r="F3351" s="33">
        <v>2</v>
      </c>
      <c r="G3351" s="33" t="s">
        <v>122</v>
      </c>
      <c r="H3351" s="33" t="s">
        <v>69</v>
      </c>
      <c r="I3351" s="33" t="s">
        <v>196</v>
      </c>
      <c r="J3351" s="34">
        <v>1755</v>
      </c>
      <c r="K3351" s="34"/>
      <c r="L3351" s="34">
        <v>1755</v>
      </c>
    </row>
    <row r="3352" spans="2:12" x14ac:dyDescent="0.3">
      <c r="B3352" s="25">
        <v>3368</v>
      </c>
      <c r="C3352" s="33">
        <v>52629</v>
      </c>
      <c r="D3352" s="33" t="s">
        <v>512</v>
      </c>
      <c r="E3352" s="35">
        <v>45064</v>
      </c>
      <c r="F3352" s="33">
        <v>2</v>
      </c>
      <c r="G3352" s="33" t="s">
        <v>122</v>
      </c>
      <c r="H3352" s="33" t="s">
        <v>69</v>
      </c>
      <c r="I3352" s="33" t="s">
        <v>196</v>
      </c>
      <c r="J3352" s="34">
        <v>176</v>
      </c>
      <c r="K3352" s="34"/>
      <c r="L3352" s="34">
        <v>176</v>
      </c>
    </row>
    <row r="3353" spans="2:12" x14ac:dyDescent="0.3">
      <c r="B3353" s="25">
        <v>3369</v>
      </c>
      <c r="C3353" s="33">
        <v>52630</v>
      </c>
      <c r="D3353" s="33" t="s">
        <v>411</v>
      </c>
      <c r="E3353" s="35">
        <v>45064</v>
      </c>
      <c r="F3353" s="33">
        <v>2</v>
      </c>
      <c r="G3353" s="33" t="s">
        <v>122</v>
      </c>
      <c r="H3353" s="33" t="s">
        <v>69</v>
      </c>
      <c r="I3353" s="33" t="s">
        <v>196</v>
      </c>
      <c r="J3353" s="34">
        <v>2778.5</v>
      </c>
      <c r="K3353" s="34"/>
      <c r="L3353" s="34">
        <v>2778.5</v>
      </c>
    </row>
    <row r="3354" spans="2:12" x14ac:dyDescent="0.3">
      <c r="B3354" s="25">
        <v>3370</v>
      </c>
      <c r="C3354" s="33">
        <v>52632</v>
      </c>
      <c r="D3354" s="33" t="s">
        <v>275</v>
      </c>
      <c r="E3354" s="35">
        <v>45064</v>
      </c>
      <c r="F3354" s="33">
        <v>2</v>
      </c>
      <c r="G3354" s="33" t="s">
        <v>124</v>
      </c>
      <c r="H3354" s="33" t="s">
        <v>69</v>
      </c>
      <c r="I3354" s="33" t="s">
        <v>197</v>
      </c>
      <c r="J3354" s="34">
        <v>1241</v>
      </c>
      <c r="K3354" s="34"/>
      <c r="L3354" s="34">
        <v>1241</v>
      </c>
    </row>
    <row r="3355" spans="2:12" x14ac:dyDescent="0.3">
      <c r="B3355" s="25">
        <v>3371</v>
      </c>
      <c r="C3355" s="33">
        <v>52634</v>
      </c>
      <c r="D3355" s="33" t="s">
        <v>1300</v>
      </c>
      <c r="E3355" s="35">
        <v>45064</v>
      </c>
      <c r="F3355" s="33">
        <v>2</v>
      </c>
      <c r="G3355" s="33" t="s">
        <v>124</v>
      </c>
      <c r="H3355" s="33" t="s">
        <v>69</v>
      </c>
      <c r="I3355" s="33" t="s">
        <v>197</v>
      </c>
      <c r="J3355" s="34">
        <v>859.8</v>
      </c>
      <c r="K3355" s="34"/>
      <c r="L3355" s="34">
        <v>859.8</v>
      </c>
    </row>
    <row r="3356" spans="2:12" x14ac:dyDescent="0.3">
      <c r="B3356" s="25">
        <v>3372</v>
      </c>
      <c r="C3356" s="33">
        <v>52661</v>
      </c>
      <c r="D3356" s="33" t="s">
        <v>805</v>
      </c>
      <c r="E3356" s="35">
        <v>45064</v>
      </c>
      <c r="F3356" s="33">
        <v>2</v>
      </c>
      <c r="G3356" s="33" t="s">
        <v>231</v>
      </c>
      <c r="H3356" s="33" t="s">
        <v>69</v>
      </c>
      <c r="I3356" s="33" t="s">
        <v>198</v>
      </c>
      <c r="J3356" s="34">
        <v>2070</v>
      </c>
      <c r="K3356" s="34"/>
      <c r="L3356" s="34">
        <v>2070</v>
      </c>
    </row>
    <row r="3357" spans="2:12" x14ac:dyDescent="0.3">
      <c r="B3357" s="25">
        <v>3373</v>
      </c>
      <c r="C3357" s="33">
        <v>52761</v>
      </c>
      <c r="D3357" s="33" t="s">
        <v>1649</v>
      </c>
      <c r="E3357" s="35">
        <v>45071</v>
      </c>
      <c r="F3357" s="33">
        <v>2</v>
      </c>
      <c r="G3357" s="33" t="s">
        <v>124</v>
      </c>
      <c r="H3357" s="33" t="s">
        <v>69</v>
      </c>
      <c r="I3357" s="33" t="s">
        <v>197</v>
      </c>
      <c r="J3357" s="34">
        <v>988.01</v>
      </c>
      <c r="K3357" s="34"/>
      <c r="L3357" s="34">
        <v>988.01</v>
      </c>
    </row>
    <row r="3358" spans="2:12" x14ac:dyDescent="0.3">
      <c r="B3358" s="25">
        <v>3374</v>
      </c>
      <c r="C3358" s="33">
        <v>52762</v>
      </c>
      <c r="D3358" s="33" t="s">
        <v>367</v>
      </c>
      <c r="E3358" s="35">
        <v>45071</v>
      </c>
      <c r="F3358" s="33">
        <v>2</v>
      </c>
      <c r="G3358" s="33" t="s">
        <v>124</v>
      </c>
      <c r="H3358" s="33" t="s">
        <v>69</v>
      </c>
      <c r="I3358" s="33" t="s">
        <v>197</v>
      </c>
      <c r="J3358" s="34">
        <v>1400.5</v>
      </c>
      <c r="K3358" s="34"/>
      <c r="L3358" s="34">
        <v>1400.5</v>
      </c>
    </row>
    <row r="3359" spans="2:12" x14ac:dyDescent="0.3">
      <c r="B3359" s="25">
        <v>3375</v>
      </c>
      <c r="C3359" s="33">
        <v>52768</v>
      </c>
      <c r="D3359" s="33" t="s">
        <v>275</v>
      </c>
      <c r="E3359" s="35">
        <v>45071</v>
      </c>
      <c r="F3359" s="33">
        <v>2</v>
      </c>
      <c r="G3359" s="33" t="s">
        <v>124</v>
      </c>
      <c r="H3359" s="33" t="s">
        <v>69</v>
      </c>
      <c r="I3359" s="33" t="s">
        <v>197</v>
      </c>
      <c r="J3359" s="34">
        <v>416.52</v>
      </c>
      <c r="K3359" s="34"/>
      <c r="L3359" s="34">
        <v>416.52</v>
      </c>
    </row>
    <row r="3360" spans="2:12" x14ac:dyDescent="0.3">
      <c r="B3360" s="25">
        <v>3376</v>
      </c>
      <c r="C3360" s="33">
        <v>52888</v>
      </c>
      <c r="D3360" s="33" t="s">
        <v>416</v>
      </c>
      <c r="E3360" s="35">
        <v>45077</v>
      </c>
      <c r="F3360" s="33">
        <v>2</v>
      </c>
      <c r="G3360" s="33" t="s">
        <v>231</v>
      </c>
      <c r="H3360" s="33" t="s">
        <v>69</v>
      </c>
      <c r="I3360" s="33" t="s">
        <v>198</v>
      </c>
      <c r="J3360" s="34">
        <v>1168</v>
      </c>
      <c r="K3360" s="34"/>
      <c r="L3360" s="34">
        <v>1168</v>
      </c>
    </row>
    <row r="3361" spans="2:12" x14ac:dyDescent="0.3">
      <c r="B3361" s="25">
        <v>3377</v>
      </c>
      <c r="C3361" s="33">
        <v>52889</v>
      </c>
      <c r="D3361" s="33" t="s">
        <v>1675</v>
      </c>
      <c r="E3361" s="35">
        <v>45077</v>
      </c>
      <c r="F3361" s="33">
        <v>2</v>
      </c>
      <c r="G3361" s="33" t="s">
        <v>124</v>
      </c>
      <c r="H3361" s="33" t="s">
        <v>69</v>
      </c>
      <c r="I3361" s="33" t="s">
        <v>197</v>
      </c>
      <c r="J3361" s="34">
        <v>2413.4899999999998</v>
      </c>
      <c r="K3361" s="34"/>
      <c r="L3361" s="34">
        <v>2413.4899999999998</v>
      </c>
    </row>
    <row r="3362" spans="2:12" x14ac:dyDescent="0.3">
      <c r="B3362" s="25">
        <v>3378</v>
      </c>
      <c r="C3362" s="33">
        <v>52890</v>
      </c>
      <c r="D3362" s="33" t="s">
        <v>401</v>
      </c>
      <c r="E3362" s="35">
        <v>45077</v>
      </c>
      <c r="F3362" s="33">
        <v>2</v>
      </c>
      <c r="G3362" s="33" t="s">
        <v>231</v>
      </c>
      <c r="H3362" s="33" t="s">
        <v>69</v>
      </c>
      <c r="I3362" s="33" t="s">
        <v>198</v>
      </c>
      <c r="J3362" s="34">
        <v>1775.5</v>
      </c>
      <c r="K3362" s="34"/>
      <c r="L3362" s="34">
        <v>1775.5</v>
      </c>
    </row>
    <row r="3363" spans="2:12" x14ac:dyDescent="0.3">
      <c r="B3363" s="25">
        <v>3379</v>
      </c>
      <c r="C3363" s="33">
        <v>52893</v>
      </c>
      <c r="D3363" s="33" t="s">
        <v>512</v>
      </c>
      <c r="E3363" s="35">
        <v>45077</v>
      </c>
      <c r="F3363" s="33">
        <v>2</v>
      </c>
      <c r="G3363" s="33" t="s">
        <v>122</v>
      </c>
      <c r="H3363" s="33" t="s">
        <v>69</v>
      </c>
      <c r="I3363" s="33" t="s">
        <v>196</v>
      </c>
      <c r="J3363" s="34">
        <v>3420.01</v>
      </c>
      <c r="K3363" s="34"/>
      <c r="L3363" s="34">
        <v>3420.01</v>
      </c>
    </row>
    <row r="3364" spans="2:12" x14ac:dyDescent="0.3">
      <c r="B3364" s="25">
        <v>3380</v>
      </c>
      <c r="C3364" s="33">
        <v>52895</v>
      </c>
      <c r="D3364" s="33" t="s">
        <v>281</v>
      </c>
      <c r="E3364" s="35">
        <v>45077</v>
      </c>
      <c r="F3364" s="33">
        <v>2</v>
      </c>
      <c r="G3364" s="33" t="s">
        <v>124</v>
      </c>
      <c r="H3364" s="33" t="s">
        <v>69</v>
      </c>
      <c r="I3364" s="33" t="s">
        <v>197</v>
      </c>
      <c r="J3364" s="34">
        <v>1181</v>
      </c>
      <c r="K3364" s="34"/>
      <c r="L3364" s="34">
        <v>1181</v>
      </c>
    </row>
    <row r="3365" spans="2:12" x14ac:dyDescent="0.3">
      <c r="B3365" s="25">
        <v>3381</v>
      </c>
      <c r="C3365" s="33">
        <v>52896</v>
      </c>
      <c r="D3365" s="33" t="s">
        <v>957</v>
      </c>
      <c r="E3365" s="35">
        <v>45077</v>
      </c>
      <c r="F3365" s="33">
        <v>2</v>
      </c>
      <c r="G3365" s="33" t="s">
        <v>122</v>
      </c>
      <c r="H3365" s="33" t="s">
        <v>69</v>
      </c>
      <c r="I3365" s="33" t="s">
        <v>196</v>
      </c>
      <c r="J3365" s="34">
        <v>2484.5</v>
      </c>
      <c r="K3365" s="34"/>
      <c r="L3365" s="34">
        <v>2484.5</v>
      </c>
    </row>
    <row r="3366" spans="2:12" x14ac:dyDescent="0.3">
      <c r="B3366" s="25">
        <v>3382</v>
      </c>
      <c r="C3366" s="33">
        <v>8665</v>
      </c>
      <c r="D3366" s="33" t="s">
        <v>410</v>
      </c>
      <c r="E3366" s="35">
        <v>45077</v>
      </c>
      <c r="F3366" s="33">
        <v>2</v>
      </c>
      <c r="G3366" s="33" t="s">
        <v>231</v>
      </c>
      <c r="H3366" s="33" t="s">
        <v>69</v>
      </c>
      <c r="I3366" s="33" t="s">
        <v>198</v>
      </c>
      <c r="J3366" s="34">
        <v>12.5</v>
      </c>
      <c r="K3366" s="34"/>
      <c r="L3366" s="34">
        <v>12.5</v>
      </c>
    </row>
    <row r="3367" spans="2:12" x14ac:dyDescent="0.3">
      <c r="B3367" s="25">
        <v>3383</v>
      </c>
      <c r="C3367" s="33">
        <v>53016</v>
      </c>
      <c r="D3367" s="33" t="s">
        <v>400</v>
      </c>
      <c r="E3367" s="35">
        <v>45085</v>
      </c>
      <c r="F3367" s="33">
        <v>2</v>
      </c>
      <c r="G3367" s="33" t="s">
        <v>231</v>
      </c>
      <c r="H3367" s="33" t="s">
        <v>69</v>
      </c>
      <c r="I3367" s="33" t="s">
        <v>198</v>
      </c>
      <c r="J3367" s="34">
        <v>924.89</v>
      </c>
      <c r="K3367" s="34"/>
      <c r="L3367" s="34">
        <v>924.89</v>
      </c>
    </row>
    <row r="3368" spans="2:12" x14ac:dyDescent="0.3">
      <c r="B3368" s="25">
        <v>3384</v>
      </c>
      <c r="C3368" s="33">
        <v>53023</v>
      </c>
      <c r="D3368" s="33" t="s">
        <v>411</v>
      </c>
      <c r="E3368" s="35">
        <v>45085</v>
      </c>
      <c r="F3368" s="33">
        <v>2</v>
      </c>
      <c r="G3368" s="33" t="s">
        <v>122</v>
      </c>
      <c r="H3368" s="33" t="s">
        <v>69</v>
      </c>
      <c r="I3368" s="33" t="s">
        <v>196</v>
      </c>
      <c r="J3368" s="34">
        <v>1415.5</v>
      </c>
      <c r="K3368" s="34"/>
      <c r="L3368" s="34">
        <v>1415.5</v>
      </c>
    </row>
    <row r="3369" spans="2:12" x14ac:dyDescent="0.3">
      <c r="B3369" s="25">
        <v>3385</v>
      </c>
      <c r="C3369" s="33">
        <v>53024</v>
      </c>
      <c r="D3369" s="33" t="s">
        <v>412</v>
      </c>
      <c r="E3369" s="35">
        <v>45085</v>
      </c>
      <c r="F3369" s="33">
        <v>2</v>
      </c>
      <c r="G3369" s="33" t="s">
        <v>231</v>
      </c>
      <c r="H3369" s="33" t="s">
        <v>69</v>
      </c>
      <c r="I3369" s="33" t="s">
        <v>198</v>
      </c>
      <c r="J3369" s="34">
        <v>45</v>
      </c>
      <c r="K3369" s="34"/>
      <c r="L3369" s="34">
        <v>45</v>
      </c>
    </row>
    <row r="3370" spans="2:12" x14ac:dyDescent="0.3">
      <c r="B3370" s="25">
        <v>3386</v>
      </c>
      <c r="C3370" s="33">
        <v>53025</v>
      </c>
      <c r="D3370" s="33" t="s">
        <v>281</v>
      </c>
      <c r="E3370" s="35">
        <v>45085</v>
      </c>
      <c r="F3370" s="33">
        <v>2</v>
      </c>
      <c r="G3370" s="33" t="s">
        <v>124</v>
      </c>
      <c r="H3370" s="33" t="s">
        <v>69</v>
      </c>
      <c r="I3370" s="33" t="s">
        <v>197</v>
      </c>
      <c r="J3370" s="34">
        <v>1469</v>
      </c>
      <c r="K3370" s="34"/>
      <c r="L3370" s="34">
        <v>1469</v>
      </c>
    </row>
    <row r="3371" spans="2:12" x14ac:dyDescent="0.3">
      <c r="B3371" s="25">
        <v>3387</v>
      </c>
      <c r="C3371" s="33">
        <v>51900</v>
      </c>
      <c r="D3371" s="33" t="s">
        <v>414</v>
      </c>
      <c r="E3371" s="35">
        <v>45064</v>
      </c>
      <c r="F3371" s="33">
        <v>2</v>
      </c>
      <c r="G3371" s="33" t="s">
        <v>122</v>
      </c>
      <c r="H3371" s="33">
        <v>53</v>
      </c>
      <c r="I3371" s="33" t="s">
        <v>196</v>
      </c>
      <c r="J3371" s="34">
        <v>3090.46</v>
      </c>
      <c r="K3371" s="34"/>
      <c r="L3371" s="34">
        <v>3090.46</v>
      </c>
    </row>
    <row r="3372" spans="2:12" x14ac:dyDescent="0.3">
      <c r="B3372" s="25">
        <v>3388</v>
      </c>
      <c r="C3372" s="33">
        <v>51992</v>
      </c>
      <c r="D3372" s="33" t="s">
        <v>400</v>
      </c>
      <c r="E3372" s="35">
        <v>45070</v>
      </c>
      <c r="F3372" s="33">
        <v>2</v>
      </c>
      <c r="G3372" s="33" t="s">
        <v>231</v>
      </c>
      <c r="H3372" s="33">
        <v>53</v>
      </c>
      <c r="I3372" s="33" t="s">
        <v>198</v>
      </c>
      <c r="J3372" s="34">
        <v>568.9</v>
      </c>
      <c r="K3372" s="34"/>
      <c r="L3372" s="34">
        <v>568.9</v>
      </c>
    </row>
    <row r="3373" spans="2:12" x14ac:dyDescent="0.3">
      <c r="B3373" s="25">
        <v>3389</v>
      </c>
      <c r="C3373" s="33">
        <v>51993</v>
      </c>
      <c r="D3373" s="33" t="s">
        <v>400</v>
      </c>
      <c r="E3373" s="35">
        <v>45070</v>
      </c>
      <c r="F3373" s="33">
        <v>2</v>
      </c>
      <c r="G3373" s="33" t="s">
        <v>231</v>
      </c>
      <c r="H3373" s="33">
        <v>53</v>
      </c>
      <c r="I3373" s="33" t="s">
        <v>198</v>
      </c>
      <c r="J3373" s="34">
        <v>15.03</v>
      </c>
      <c r="K3373" s="34"/>
      <c r="L3373" s="34">
        <v>15.03</v>
      </c>
    </row>
    <row r="3374" spans="2:12" x14ac:dyDescent="0.3">
      <c r="B3374" s="25">
        <v>3390</v>
      </c>
      <c r="C3374" s="33">
        <v>52070</v>
      </c>
      <c r="D3374" s="33" t="s">
        <v>411</v>
      </c>
      <c r="E3374" s="35">
        <v>45077</v>
      </c>
      <c r="F3374" s="33">
        <v>2</v>
      </c>
      <c r="G3374" s="33" t="s">
        <v>122</v>
      </c>
      <c r="H3374" s="33">
        <v>53</v>
      </c>
      <c r="I3374" s="33" t="s">
        <v>196</v>
      </c>
      <c r="J3374" s="34">
        <v>1039.5</v>
      </c>
      <c r="K3374" s="34"/>
      <c r="L3374" s="34">
        <v>1039.5</v>
      </c>
    </row>
    <row r="3375" spans="2:12" x14ac:dyDescent="0.3">
      <c r="B3375" s="25">
        <v>3391</v>
      </c>
      <c r="C3375" s="33">
        <v>52185</v>
      </c>
      <c r="D3375" s="33" t="s">
        <v>400</v>
      </c>
      <c r="E3375" s="35">
        <v>45085</v>
      </c>
      <c r="F3375" s="33">
        <v>2</v>
      </c>
      <c r="G3375" s="33" t="s">
        <v>231</v>
      </c>
      <c r="H3375" s="33">
        <v>53</v>
      </c>
      <c r="I3375" s="33" t="s">
        <v>198</v>
      </c>
      <c r="J3375" s="34">
        <v>1394.4</v>
      </c>
      <c r="K3375" s="34"/>
      <c r="L3375" s="34">
        <v>1394.4</v>
      </c>
    </row>
    <row r="3376" spans="2:12" x14ac:dyDescent="0.3">
      <c r="B3376" s="25">
        <v>3392</v>
      </c>
      <c r="C3376" s="33">
        <v>52186</v>
      </c>
      <c r="D3376" s="33" t="s">
        <v>400</v>
      </c>
      <c r="E3376" s="35">
        <v>45085</v>
      </c>
      <c r="F3376" s="33">
        <v>2</v>
      </c>
      <c r="G3376" s="33" t="s">
        <v>231</v>
      </c>
      <c r="H3376" s="33">
        <v>53</v>
      </c>
      <c r="I3376" s="33" t="s">
        <v>198</v>
      </c>
      <c r="J3376" s="34">
        <v>199.8</v>
      </c>
      <c r="K3376" s="34"/>
      <c r="L3376" s="34">
        <v>199.8</v>
      </c>
    </row>
    <row r="3377" spans="2:12" x14ac:dyDescent="0.3">
      <c r="B3377" s="25">
        <v>3393</v>
      </c>
      <c r="C3377" s="33">
        <v>52187</v>
      </c>
      <c r="D3377" s="33" t="s">
        <v>400</v>
      </c>
      <c r="E3377" s="35">
        <v>45085</v>
      </c>
      <c r="F3377" s="33">
        <v>2</v>
      </c>
      <c r="G3377" s="33" t="s">
        <v>231</v>
      </c>
      <c r="H3377" s="33">
        <v>53</v>
      </c>
      <c r="I3377" s="33" t="s">
        <v>198</v>
      </c>
      <c r="J3377" s="34">
        <v>66.930000000000007</v>
      </c>
      <c r="K3377" s="34"/>
      <c r="L3377" s="34">
        <v>66.930000000000007</v>
      </c>
    </row>
    <row r="3378" spans="2:12" x14ac:dyDescent="0.3">
      <c r="B3378" s="25">
        <v>3395</v>
      </c>
      <c r="C3378" s="33" t="s">
        <v>1676</v>
      </c>
      <c r="D3378" s="33" t="s">
        <v>600</v>
      </c>
      <c r="E3378" s="35">
        <v>45092</v>
      </c>
      <c r="F3378" s="33">
        <v>2</v>
      </c>
      <c r="G3378" s="33" t="s">
        <v>628</v>
      </c>
      <c r="H3378" s="33" t="s">
        <v>201</v>
      </c>
      <c r="I3378" s="33" t="s">
        <v>75</v>
      </c>
      <c r="J3378" s="34">
        <v>575.20000000000005</v>
      </c>
      <c r="K3378" s="34"/>
      <c r="L3378" s="34">
        <v>575.20000000000005</v>
      </c>
    </row>
    <row r="3379" spans="2:12" x14ac:dyDescent="0.3">
      <c r="B3379" s="25">
        <v>3396</v>
      </c>
      <c r="C3379" s="33">
        <v>4010</v>
      </c>
      <c r="D3379" s="33" t="s">
        <v>793</v>
      </c>
      <c r="E3379" s="35">
        <v>45092</v>
      </c>
      <c r="F3379" s="33">
        <v>2</v>
      </c>
      <c r="G3379" s="33" t="s">
        <v>124</v>
      </c>
      <c r="H3379" s="33" t="s">
        <v>201</v>
      </c>
      <c r="I3379" s="33" t="s">
        <v>197</v>
      </c>
      <c r="J3379" s="34">
        <v>787.6</v>
      </c>
      <c r="K3379" s="34"/>
      <c r="L3379" s="34">
        <v>787.6</v>
      </c>
    </row>
    <row r="3380" spans="2:12" x14ac:dyDescent="0.3">
      <c r="B3380" s="25">
        <v>3397</v>
      </c>
      <c r="C3380" s="33">
        <v>4014</v>
      </c>
      <c r="D3380" s="33" t="s">
        <v>584</v>
      </c>
      <c r="E3380" s="35">
        <v>45092</v>
      </c>
      <c r="F3380" s="33">
        <v>2</v>
      </c>
      <c r="G3380" s="33" t="s">
        <v>122</v>
      </c>
      <c r="H3380" s="33" t="s">
        <v>201</v>
      </c>
      <c r="I3380" s="33" t="s">
        <v>196</v>
      </c>
      <c r="J3380" s="34">
        <v>1074.99</v>
      </c>
      <c r="K3380" s="34"/>
      <c r="L3380" s="34">
        <v>1074.99</v>
      </c>
    </row>
    <row r="3381" spans="2:12" x14ac:dyDescent="0.3">
      <c r="B3381" s="25">
        <v>3398</v>
      </c>
      <c r="C3381" s="33">
        <v>4015</v>
      </c>
      <c r="D3381" s="33" t="s">
        <v>584</v>
      </c>
      <c r="E3381" s="35">
        <v>45092</v>
      </c>
      <c r="F3381" s="33">
        <v>2</v>
      </c>
      <c r="G3381" s="33" t="s">
        <v>122</v>
      </c>
      <c r="H3381" s="33" t="s">
        <v>201</v>
      </c>
      <c r="I3381" s="33" t="s">
        <v>196</v>
      </c>
      <c r="J3381" s="34">
        <v>9192.48</v>
      </c>
      <c r="K3381" s="34"/>
      <c r="L3381" s="34">
        <v>9192.48</v>
      </c>
    </row>
    <row r="3382" spans="2:12" x14ac:dyDescent="0.3">
      <c r="B3382" s="25">
        <v>3399</v>
      </c>
      <c r="C3382" s="33">
        <v>4020</v>
      </c>
      <c r="D3382" s="33" t="s">
        <v>362</v>
      </c>
      <c r="E3382" s="35">
        <v>45092</v>
      </c>
      <c r="F3382" s="33">
        <v>2</v>
      </c>
      <c r="G3382" s="33" t="s">
        <v>124</v>
      </c>
      <c r="H3382" s="33" t="s">
        <v>201</v>
      </c>
      <c r="I3382" s="33" t="s">
        <v>197</v>
      </c>
      <c r="J3382" s="34">
        <v>2774.77</v>
      </c>
      <c r="K3382" s="34"/>
      <c r="L3382" s="34">
        <v>2774.77</v>
      </c>
    </row>
    <row r="3383" spans="2:12" x14ac:dyDescent="0.3">
      <c r="B3383" s="25">
        <v>3400</v>
      </c>
      <c r="C3383" s="33">
        <v>36062</v>
      </c>
      <c r="D3383" s="33" t="s">
        <v>394</v>
      </c>
      <c r="E3383" s="35">
        <v>45106</v>
      </c>
      <c r="F3383" s="33">
        <v>2</v>
      </c>
      <c r="G3383" s="33" t="s">
        <v>122</v>
      </c>
      <c r="H3383" s="33" t="s">
        <v>72</v>
      </c>
      <c r="I3383" s="33" t="s">
        <v>196</v>
      </c>
      <c r="J3383" s="34">
        <v>15290.95</v>
      </c>
      <c r="K3383" s="34"/>
      <c r="L3383" s="34">
        <v>15290.95</v>
      </c>
    </row>
    <row r="3384" spans="2:12" x14ac:dyDescent="0.3">
      <c r="B3384" s="25">
        <v>3401</v>
      </c>
      <c r="C3384" s="33">
        <v>36113</v>
      </c>
      <c r="D3384" s="33" t="s">
        <v>687</v>
      </c>
      <c r="E3384" s="35">
        <v>45107</v>
      </c>
      <c r="F3384" s="33">
        <v>2</v>
      </c>
      <c r="G3384" s="33" t="s">
        <v>122</v>
      </c>
      <c r="H3384" s="33" t="s">
        <v>72</v>
      </c>
      <c r="I3384" s="33" t="s">
        <v>196</v>
      </c>
      <c r="J3384" s="34">
        <v>11499.4</v>
      </c>
      <c r="K3384" s="34"/>
      <c r="L3384" s="34">
        <v>11499.4</v>
      </c>
    </row>
    <row r="3385" spans="2:12" x14ac:dyDescent="0.3">
      <c r="B3385" s="25">
        <v>3402</v>
      </c>
      <c r="C3385" s="33">
        <v>36042</v>
      </c>
      <c r="D3385" s="33" t="s">
        <v>1677</v>
      </c>
      <c r="E3385" s="35">
        <v>45104</v>
      </c>
      <c r="F3385" s="33">
        <v>2</v>
      </c>
      <c r="G3385" s="33" t="s">
        <v>628</v>
      </c>
      <c r="H3385" s="33" t="s">
        <v>72</v>
      </c>
      <c r="I3385" s="33" t="s">
        <v>75</v>
      </c>
      <c r="J3385" s="34">
        <v>4876.8</v>
      </c>
      <c r="K3385" s="34"/>
      <c r="L3385" s="34">
        <v>4876.8</v>
      </c>
    </row>
    <row r="3386" spans="2:12" x14ac:dyDescent="0.3">
      <c r="B3386" s="25">
        <v>3404</v>
      </c>
      <c r="C3386" s="33">
        <v>9833</v>
      </c>
      <c r="D3386" s="33" t="s">
        <v>410</v>
      </c>
      <c r="E3386" s="35">
        <v>45097</v>
      </c>
      <c r="F3386" s="33">
        <v>2</v>
      </c>
      <c r="G3386" s="33" t="s">
        <v>231</v>
      </c>
      <c r="H3386" s="33" t="s">
        <v>69</v>
      </c>
      <c r="I3386" s="33" t="s">
        <v>198</v>
      </c>
      <c r="J3386" s="34">
        <v>350</v>
      </c>
      <c r="K3386" s="34"/>
      <c r="L3386" s="34">
        <v>350</v>
      </c>
    </row>
    <row r="3387" spans="2:12" x14ac:dyDescent="0.3">
      <c r="B3387" s="25">
        <v>3405</v>
      </c>
      <c r="C3387" s="33" t="s">
        <v>1678</v>
      </c>
      <c r="D3387" s="33" t="s">
        <v>367</v>
      </c>
      <c r="E3387" s="35">
        <v>45099</v>
      </c>
      <c r="F3387" s="33">
        <v>2</v>
      </c>
      <c r="G3387" s="33" t="s">
        <v>124</v>
      </c>
      <c r="H3387" s="33" t="s">
        <v>69</v>
      </c>
      <c r="I3387" s="33" t="s">
        <v>197</v>
      </c>
      <c r="J3387" s="34">
        <v>-75</v>
      </c>
      <c r="K3387" s="34"/>
      <c r="L3387" s="34">
        <v>-75</v>
      </c>
    </row>
    <row r="3388" spans="2:12" x14ac:dyDescent="0.3">
      <c r="B3388" s="25">
        <v>3406</v>
      </c>
      <c r="C3388" s="33">
        <v>10270</v>
      </c>
      <c r="D3388" s="33" t="s">
        <v>410</v>
      </c>
      <c r="E3388" s="35">
        <v>45104</v>
      </c>
      <c r="F3388" s="33">
        <v>2</v>
      </c>
      <c r="G3388" s="33" t="s">
        <v>231</v>
      </c>
      <c r="H3388" s="33" t="s">
        <v>69</v>
      </c>
      <c r="I3388" s="33" t="s">
        <v>198</v>
      </c>
      <c r="J3388" s="34">
        <v>710</v>
      </c>
      <c r="K3388" s="34"/>
      <c r="L3388" s="34">
        <v>710</v>
      </c>
    </row>
    <row r="3389" spans="2:12" x14ac:dyDescent="0.3">
      <c r="B3389" s="25">
        <v>3407</v>
      </c>
      <c r="C3389" s="33">
        <v>10273</v>
      </c>
      <c r="D3389" s="33" t="s">
        <v>403</v>
      </c>
      <c r="E3389" s="35">
        <v>45104</v>
      </c>
      <c r="F3389" s="33">
        <v>2</v>
      </c>
      <c r="G3389" s="33" t="s">
        <v>122</v>
      </c>
      <c r="H3389" s="33" t="s">
        <v>69</v>
      </c>
      <c r="I3389" s="33" t="s">
        <v>196</v>
      </c>
      <c r="J3389" s="34">
        <v>2269</v>
      </c>
      <c r="K3389" s="34"/>
      <c r="L3389" s="34">
        <v>2269</v>
      </c>
    </row>
    <row r="3390" spans="2:12" x14ac:dyDescent="0.3">
      <c r="B3390" s="25">
        <v>3408</v>
      </c>
      <c r="C3390" s="33" t="s">
        <v>1679</v>
      </c>
      <c r="D3390" s="33" t="s">
        <v>406</v>
      </c>
      <c r="E3390" s="35">
        <v>45094</v>
      </c>
      <c r="F3390" s="33">
        <v>2</v>
      </c>
      <c r="G3390" s="33" t="s">
        <v>122</v>
      </c>
      <c r="H3390" s="33" t="s">
        <v>69</v>
      </c>
      <c r="I3390" s="33" t="s">
        <v>196</v>
      </c>
      <c r="J3390" s="34">
        <v>1004</v>
      </c>
      <c r="K3390" s="34"/>
      <c r="L3390" s="34">
        <v>1004</v>
      </c>
    </row>
    <row r="3391" spans="2:12" x14ac:dyDescent="0.3">
      <c r="B3391" s="25">
        <v>3409</v>
      </c>
      <c r="C3391" s="33">
        <v>53164</v>
      </c>
      <c r="D3391" s="33" t="s">
        <v>484</v>
      </c>
      <c r="E3391" s="35">
        <v>45092</v>
      </c>
      <c r="F3391" s="33">
        <v>2</v>
      </c>
      <c r="G3391" s="33" t="s">
        <v>122</v>
      </c>
      <c r="H3391" s="33" t="s">
        <v>69</v>
      </c>
      <c r="I3391" s="33" t="s">
        <v>196</v>
      </c>
      <c r="J3391" s="34">
        <v>1277</v>
      </c>
      <c r="K3391" s="34"/>
      <c r="L3391" s="34">
        <v>1277</v>
      </c>
    </row>
    <row r="3392" spans="2:12" x14ac:dyDescent="0.3">
      <c r="B3392" s="25">
        <v>3410</v>
      </c>
      <c r="C3392" s="33">
        <v>53165</v>
      </c>
      <c r="D3392" s="33" t="s">
        <v>1613</v>
      </c>
      <c r="E3392" s="35">
        <v>45092</v>
      </c>
      <c r="F3392" s="33">
        <v>2</v>
      </c>
      <c r="G3392" s="33" t="s">
        <v>124</v>
      </c>
      <c r="H3392" s="33" t="s">
        <v>69</v>
      </c>
      <c r="I3392" s="33" t="s">
        <v>197</v>
      </c>
      <c r="J3392" s="34">
        <v>1066</v>
      </c>
      <c r="K3392" s="34"/>
      <c r="L3392" s="34">
        <v>1066</v>
      </c>
    </row>
    <row r="3393" spans="2:12" x14ac:dyDescent="0.3">
      <c r="B3393" s="25">
        <v>3411</v>
      </c>
      <c r="C3393" s="33">
        <v>53166</v>
      </c>
      <c r="D3393" s="33" t="s">
        <v>416</v>
      </c>
      <c r="E3393" s="35">
        <v>45092</v>
      </c>
      <c r="F3393" s="33">
        <v>2</v>
      </c>
      <c r="G3393" s="33" t="s">
        <v>231</v>
      </c>
      <c r="H3393" s="33" t="s">
        <v>69</v>
      </c>
      <c r="I3393" s="33" t="s">
        <v>198</v>
      </c>
      <c r="J3393" s="34">
        <v>2728.5</v>
      </c>
      <c r="K3393" s="34"/>
      <c r="L3393" s="34">
        <v>2728.5</v>
      </c>
    </row>
    <row r="3394" spans="2:12" x14ac:dyDescent="0.3">
      <c r="B3394" s="25">
        <v>3412</v>
      </c>
      <c r="C3394" s="33">
        <v>53167</v>
      </c>
      <c r="D3394" s="33" t="s">
        <v>401</v>
      </c>
      <c r="E3394" s="35">
        <v>45092</v>
      </c>
      <c r="F3394" s="33">
        <v>2</v>
      </c>
      <c r="G3394" s="33" t="s">
        <v>231</v>
      </c>
      <c r="H3394" s="33" t="s">
        <v>69</v>
      </c>
      <c r="I3394" s="33" t="s">
        <v>198</v>
      </c>
      <c r="J3394" s="34">
        <v>964</v>
      </c>
      <c r="K3394" s="34"/>
      <c r="L3394" s="34">
        <v>964</v>
      </c>
    </row>
    <row r="3395" spans="2:12" x14ac:dyDescent="0.3">
      <c r="B3395" s="25">
        <v>3413</v>
      </c>
      <c r="C3395" s="33">
        <v>53170</v>
      </c>
      <c r="D3395" s="33" t="s">
        <v>411</v>
      </c>
      <c r="E3395" s="35">
        <v>45092</v>
      </c>
      <c r="F3395" s="33">
        <v>2</v>
      </c>
      <c r="G3395" s="33" t="s">
        <v>122</v>
      </c>
      <c r="H3395" s="33" t="s">
        <v>69</v>
      </c>
      <c r="I3395" s="33" t="s">
        <v>196</v>
      </c>
      <c r="J3395" s="34">
        <v>737</v>
      </c>
      <c r="K3395" s="34"/>
      <c r="L3395" s="34">
        <v>737</v>
      </c>
    </row>
    <row r="3396" spans="2:12" x14ac:dyDescent="0.3">
      <c r="B3396" s="25">
        <v>3414</v>
      </c>
      <c r="C3396" s="33">
        <v>53171</v>
      </c>
      <c r="D3396" s="33" t="s">
        <v>275</v>
      </c>
      <c r="E3396" s="35">
        <v>45092</v>
      </c>
      <c r="F3396" s="33">
        <v>2</v>
      </c>
      <c r="G3396" s="33" t="s">
        <v>124</v>
      </c>
      <c r="H3396" s="33" t="s">
        <v>69</v>
      </c>
      <c r="I3396" s="33" t="s">
        <v>197</v>
      </c>
      <c r="J3396" s="34">
        <v>2053.4899999999998</v>
      </c>
      <c r="K3396" s="34"/>
      <c r="L3396" s="34">
        <v>2053.4899999999998</v>
      </c>
    </row>
    <row r="3397" spans="2:12" x14ac:dyDescent="0.3">
      <c r="B3397" s="25">
        <v>3415</v>
      </c>
      <c r="C3397" s="33">
        <v>36155</v>
      </c>
      <c r="D3397" s="33" t="s">
        <v>1065</v>
      </c>
      <c r="E3397" s="35">
        <v>45117</v>
      </c>
      <c r="F3397" s="33">
        <v>3</v>
      </c>
      <c r="G3397" s="33" t="s">
        <v>122</v>
      </c>
      <c r="H3397" s="33" t="s">
        <v>72</v>
      </c>
      <c r="I3397" s="33" t="s">
        <v>196</v>
      </c>
      <c r="J3397" s="34">
        <v>29324.400000000001</v>
      </c>
      <c r="K3397" s="34"/>
      <c r="L3397" s="34">
        <v>29324.400000000001</v>
      </c>
    </row>
    <row r="3398" spans="2:12" x14ac:dyDescent="0.3">
      <c r="B3398" s="25">
        <v>3416</v>
      </c>
      <c r="C3398" s="33">
        <v>36131</v>
      </c>
      <c r="D3398" s="33" t="s">
        <v>659</v>
      </c>
      <c r="E3398" s="35">
        <v>45113</v>
      </c>
      <c r="F3398" s="33">
        <v>3</v>
      </c>
      <c r="G3398" s="33" t="s">
        <v>122</v>
      </c>
      <c r="H3398" s="33" t="s">
        <v>72</v>
      </c>
      <c r="I3398" s="33" t="s">
        <v>196</v>
      </c>
      <c r="J3398" s="34">
        <v>7794.3</v>
      </c>
      <c r="K3398" s="34"/>
      <c r="L3398" s="34">
        <v>7794.3</v>
      </c>
    </row>
    <row r="3399" spans="2:12" x14ac:dyDescent="0.3">
      <c r="B3399" s="25">
        <v>3417</v>
      </c>
      <c r="C3399" s="33">
        <v>4168</v>
      </c>
      <c r="D3399" s="33" t="s">
        <v>1281</v>
      </c>
      <c r="E3399" s="35">
        <v>45099</v>
      </c>
      <c r="F3399" s="33">
        <v>2</v>
      </c>
      <c r="G3399" s="33" t="s">
        <v>124</v>
      </c>
      <c r="H3399" s="33" t="s">
        <v>201</v>
      </c>
      <c r="I3399" s="33" t="s">
        <v>197</v>
      </c>
      <c r="J3399" s="34">
        <v>5215.1000000000004</v>
      </c>
      <c r="K3399" s="34"/>
      <c r="L3399" s="34">
        <v>5215.1000000000004</v>
      </c>
    </row>
    <row r="3400" spans="2:12" x14ac:dyDescent="0.3">
      <c r="B3400" s="25">
        <v>3418</v>
      </c>
      <c r="C3400" s="33">
        <v>4343</v>
      </c>
      <c r="D3400" s="33" t="s">
        <v>394</v>
      </c>
      <c r="E3400" s="35">
        <v>45106</v>
      </c>
      <c r="F3400" s="33">
        <v>2</v>
      </c>
      <c r="G3400" s="33" t="s">
        <v>122</v>
      </c>
      <c r="H3400" s="33" t="s">
        <v>201</v>
      </c>
      <c r="I3400" s="33" t="s">
        <v>196</v>
      </c>
      <c r="J3400" s="34">
        <v>1914</v>
      </c>
      <c r="K3400" s="34"/>
      <c r="L3400" s="34">
        <v>1914</v>
      </c>
    </row>
    <row r="3401" spans="2:12" x14ac:dyDescent="0.3">
      <c r="B3401" s="25">
        <v>3419</v>
      </c>
      <c r="C3401" s="33">
        <v>4347</v>
      </c>
      <c r="D3401" s="33" t="s">
        <v>566</v>
      </c>
      <c r="E3401" s="35">
        <v>45106</v>
      </c>
      <c r="F3401" s="33">
        <v>2</v>
      </c>
      <c r="G3401" s="33" t="s">
        <v>122</v>
      </c>
      <c r="H3401" s="33" t="s">
        <v>201</v>
      </c>
      <c r="I3401" s="33" t="s">
        <v>196</v>
      </c>
      <c r="J3401" s="34">
        <v>2088.62</v>
      </c>
      <c r="K3401" s="34"/>
      <c r="L3401" s="34">
        <v>2088.62</v>
      </c>
    </row>
    <row r="3402" spans="2:12" x14ac:dyDescent="0.3">
      <c r="B3402" s="25">
        <v>3420</v>
      </c>
      <c r="C3402" s="33" t="s">
        <v>1680</v>
      </c>
      <c r="D3402" s="33" t="s">
        <v>856</v>
      </c>
      <c r="E3402" s="35">
        <v>45106</v>
      </c>
      <c r="F3402" s="33">
        <v>2</v>
      </c>
      <c r="G3402" s="33" t="s">
        <v>628</v>
      </c>
      <c r="H3402" s="33" t="s">
        <v>201</v>
      </c>
      <c r="I3402" s="33" t="s">
        <v>75</v>
      </c>
      <c r="J3402" s="34">
        <v>797.5</v>
      </c>
      <c r="K3402" s="34"/>
      <c r="L3402" s="34">
        <v>797.5</v>
      </c>
    </row>
    <row r="3403" spans="2:12" x14ac:dyDescent="0.3">
      <c r="B3403" s="25">
        <v>3421</v>
      </c>
      <c r="C3403" s="33">
        <v>4352</v>
      </c>
      <c r="D3403" s="33" t="s">
        <v>958</v>
      </c>
      <c r="E3403" s="35">
        <v>45106</v>
      </c>
      <c r="F3403" s="33">
        <v>2</v>
      </c>
      <c r="G3403" s="33" t="s">
        <v>231</v>
      </c>
      <c r="H3403" s="33" t="s">
        <v>201</v>
      </c>
      <c r="I3403" s="33" t="s">
        <v>198</v>
      </c>
      <c r="J3403" s="34">
        <v>6806.49</v>
      </c>
      <c r="K3403" s="34"/>
      <c r="L3403" s="34">
        <v>6806.49</v>
      </c>
    </row>
    <row r="3404" spans="2:12" x14ac:dyDescent="0.3">
      <c r="B3404" s="25">
        <v>3422</v>
      </c>
      <c r="C3404" s="33">
        <v>4353</v>
      </c>
      <c r="D3404" s="33" t="s">
        <v>1605</v>
      </c>
      <c r="E3404" s="35">
        <v>45106</v>
      </c>
      <c r="F3404" s="33">
        <v>2</v>
      </c>
      <c r="G3404" s="33" t="s">
        <v>628</v>
      </c>
      <c r="H3404" s="33" t="s">
        <v>201</v>
      </c>
      <c r="I3404" s="33" t="s">
        <v>75</v>
      </c>
      <c r="J3404" s="34">
        <v>780.4</v>
      </c>
      <c r="K3404" s="34">
        <v>100</v>
      </c>
      <c r="L3404" s="34">
        <v>680.4</v>
      </c>
    </row>
    <row r="3405" spans="2:12" x14ac:dyDescent="0.3">
      <c r="B3405" s="25">
        <v>3423</v>
      </c>
      <c r="C3405" s="33">
        <v>53175</v>
      </c>
      <c r="D3405" s="33" t="s">
        <v>1355</v>
      </c>
      <c r="E3405" s="35">
        <v>45092</v>
      </c>
      <c r="F3405" s="33">
        <v>2</v>
      </c>
      <c r="G3405" s="33" t="s">
        <v>122</v>
      </c>
      <c r="H3405" s="33" t="s">
        <v>69</v>
      </c>
      <c r="I3405" s="33" t="s">
        <v>196</v>
      </c>
      <c r="J3405" s="34">
        <v>295.5</v>
      </c>
      <c r="K3405" s="34"/>
      <c r="L3405" s="34">
        <v>295.5</v>
      </c>
    </row>
    <row r="3406" spans="2:12" x14ac:dyDescent="0.3">
      <c r="B3406" s="25">
        <v>3424</v>
      </c>
      <c r="C3406" s="33">
        <v>53211</v>
      </c>
      <c r="D3406" s="33" t="s">
        <v>482</v>
      </c>
      <c r="E3406" s="35">
        <v>45093</v>
      </c>
      <c r="F3406" s="33">
        <v>2</v>
      </c>
      <c r="G3406" s="33" t="s">
        <v>122</v>
      </c>
      <c r="H3406" s="33" t="s">
        <v>69</v>
      </c>
      <c r="I3406" s="33" t="s">
        <v>196</v>
      </c>
      <c r="J3406" s="34">
        <v>7816</v>
      </c>
      <c r="K3406" s="34"/>
      <c r="L3406" s="34">
        <v>7816</v>
      </c>
    </row>
    <row r="3407" spans="2:12" x14ac:dyDescent="0.3">
      <c r="B3407" s="25">
        <v>3425</v>
      </c>
      <c r="C3407" s="33">
        <v>53216</v>
      </c>
      <c r="D3407" s="33" t="s">
        <v>414</v>
      </c>
      <c r="E3407" s="35">
        <v>45093</v>
      </c>
      <c r="F3407" s="33">
        <v>2</v>
      </c>
      <c r="G3407" s="33" t="s">
        <v>122</v>
      </c>
      <c r="H3407" s="33" t="s">
        <v>69</v>
      </c>
      <c r="I3407" s="33" t="s">
        <v>196</v>
      </c>
      <c r="J3407" s="34">
        <v>13228.49</v>
      </c>
      <c r="K3407" s="34"/>
      <c r="L3407" s="34">
        <v>13228.49</v>
      </c>
    </row>
    <row r="3408" spans="2:12" x14ac:dyDescent="0.3">
      <c r="B3408" s="25">
        <v>3426</v>
      </c>
      <c r="C3408" s="33">
        <v>53220</v>
      </c>
      <c r="D3408" s="33" t="s">
        <v>1681</v>
      </c>
      <c r="E3408" s="35">
        <v>45093</v>
      </c>
      <c r="F3408" s="33">
        <v>2</v>
      </c>
      <c r="G3408" s="33" t="s">
        <v>122</v>
      </c>
      <c r="H3408" s="33" t="s">
        <v>69</v>
      </c>
      <c r="I3408" s="33" t="s">
        <v>196</v>
      </c>
      <c r="J3408" s="34">
        <v>2528.5</v>
      </c>
      <c r="K3408" s="34"/>
      <c r="L3408" s="34">
        <v>2528.5</v>
      </c>
    </row>
    <row r="3409" spans="2:12" x14ac:dyDescent="0.3">
      <c r="B3409" s="25">
        <v>3427</v>
      </c>
      <c r="C3409" s="33" t="s">
        <v>1682</v>
      </c>
      <c r="D3409" s="33" t="s">
        <v>416</v>
      </c>
      <c r="E3409" s="35">
        <v>45099</v>
      </c>
      <c r="F3409" s="33">
        <v>2</v>
      </c>
      <c r="G3409" s="33" t="s">
        <v>231</v>
      </c>
      <c r="H3409" s="33" t="s">
        <v>69</v>
      </c>
      <c r="I3409" s="33" t="s">
        <v>198</v>
      </c>
      <c r="J3409" s="34">
        <v>602.49</v>
      </c>
      <c r="K3409" s="34"/>
      <c r="L3409" s="34">
        <v>602.49</v>
      </c>
    </row>
    <row r="3410" spans="2:12" x14ac:dyDescent="0.3">
      <c r="B3410" s="25">
        <v>3428</v>
      </c>
      <c r="C3410" s="33">
        <v>53289</v>
      </c>
      <c r="D3410" s="33" t="s">
        <v>369</v>
      </c>
      <c r="E3410" s="35">
        <v>45099</v>
      </c>
      <c r="F3410" s="33">
        <v>2</v>
      </c>
      <c r="G3410" s="33" t="s">
        <v>124</v>
      </c>
      <c r="H3410" s="33" t="s">
        <v>69</v>
      </c>
      <c r="I3410" s="33" t="s">
        <v>197</v>
      </c>
      <c r="J3410" s="34">
        <v>5768.85</v>
      </c>
      <c r="K3410" s="34"/>
      <c r="L3410" s="34">
        <v>5768.85</v>
      </c>
    </row>
    <row r="3411" spans="2:12" x14ac:dyDescent="0.3">
      <c r="B3411" s="25">
        <v>3429</v>
      </c>
      <c r="C3411" s="33" t="s">
        <v>1683</v>
      </c>
      <c r="D3411" s="33" t="s">
        <v>411</v>
      </c>
      <c r="E3411" s="35">
        <v>45099</v>
      </c>
      <c r="F3411" s="33">
        <v>2</v>
      </c>
      <c r="G3411" s="33" t="s">
        <v>122</v>
      </c>
      <c r="H3411" s="33" t="s">
        <v>69</v>
      </c>
      <c r="I3411" s="33" t="s">
        <v>196</v>
      </c>
      <c r="J3411" s="34">
        <v>1129.5</v>
      </c>
      <c r="K3411" s="34"/>
      <c r="L3411" s="34">
        <v>1129.5</v>
      </c>
    </row>
    <row r="3412" spans="2:12" x14ac:dyDescent="0.3">
      <c r="B3412" s="25">
        <v>3430</v>
      </c>
      <c r="C3412" s="33" t="s">
        <v>1684</v>
      </c>
      <c r="D3412" s="33" t="s">
        <v>411</v>
      </c>
      <c r="E3412" s="35">
        <v>45099</v>
      </c>
      <c r="F3412" s="33">
        <v>2</v>
      </c>
      <c r="G3412" s="33" t="s">
        <v>122</v>
      </c>
      <c r="H3412" s="33" t="s">
        <v>69</v>
      </c>
      <c r="I3412" s="33" t="s">
        <v>196</v>
      </c>
      <c r="J3412" s="34">
        <v>2860</v>
      </c>
      <c r="K3412" s="34"/>
      <c r="L3412" s="34">
        <v>2860</v>
      </c>
    </row>
    <row r="3413" spans="2:12" x14ac:dyDescent="0.3">
      <c r="B3413" s="25">
        <v>3431</v>
      </c>
      <c r="C3413" s="33" t="s">
        <v>1685</v>
      </c>
      <c r="D3413" s="33" t="s">
        <v>1686</v>
      </c>
      <c r="E3413" s="35">
        <v>45099</v>
      </c>
      <c r="F3413" s="33">
        <v>2</v>
      </c>
      <c r="G3413" s="33" t="s">
        <v>124</v>
      </c>
      <c r="H3413" s="33" t="s">
        <v>69</v>
      </c>
      <c r="I3413" s="33" t="s">
        <v>197</v>
      </c>
      <c r="J3413" s="34">
        <v>412</v>
      </c>
      <c r="K3413" s="34"/>
      <c r="L3413" s="34">
        <v>412</v>
      </c>
    </row>
    <row r="3414" spans="2:12" x14ac:dyDescent="0.3">
      <c r="B3414" s="25">
        <v>3432</v>
      </c>
      <c r="C3414" s="33">
        <v>53328</v>
      </c>
      <c r="D3414" s="33" t="s">
        <v>400</v>
      </c>
      <c r="E3414" s="35">
        <v>45099</v>
      </c>
      <c r="F3414" s="33">
        <v>2</v>
      </c>
      <c r="G3414" s="33" t="s">
        <v>231</v>
      </c>
      <c r="H3414" s="33" t="s">
        <v>69</v>
      </c>
      <c r="I3414" s="33" t="s">
        <v>198</v>
      </c>
      <c r="J3414" s="34">
        <v>3297.91</v>
      </c>
      <c r="K3414" s="34"/>
      <c r="L3414" s="34">
        <v>3297.91</v>
      </c>
    </row>
    <row r="3415" spans="2:12" x14ac:dyDescent="0.3">
      <c r="B3415" s="25">
        <v>3433</v>
      </c>
      <c r="C3415" s="33">
        <v>53329</v>
      </c>
      <c r="D3415" s="33" t="s">
        <v>400</v>
      </c>
      <c r="E3415" s="35">
        <v>45099</v>
      </c>
      <c r="F3415" s="33">
        <v>2</v>
      </c>
      <c r="G3415" s="33" t="s">
        <v>231</v>
      </c>
      <c r="H3415" s="33" t="s">
        <v>69</v>
      </c>
      <c r="I3415" s="33" t="s">
        <v>198</v>
      </c>
      <c r="J3415" s="34">
        <v>2905.09</v>
      </c>
      <c r="K3415" s="34"/>
      <c r="L3415" s="34">
        <v>2905.09</v>
      </c>
    </row>
    <row r="3416" spans="2:12" x14ac:dyDescent="0.3">
      <c r="B3416" s="25">
        <v>3434</v>
      </c>
      <c r="C3416" s="33">
        <v>53330</v>
      </c>
      <c r="D3416" s="33" t="s">
        <v>400</v>
      </c>
      <c r="E3416" s="35">
        <v>45099</v>
      </c>
      <c r="F3416" s="33">
        <v>2</v>
      </c>
      <c r="G3416" s="33" t="s">
        <v>231</v>
      </c>
      <c r="H3416" s="33" t="s">
        <v>69</v>
      </c>
      <c r="I3416" s="33" t="s">
        <v>198</v>
      </c>
      <c r="J3416" s="34">
        <v>1330.83</v>
      </c>
      <c r="K3416" s="34"/>
      <c r="L3416" s="34">
        <v>1330.83</v>
      </c>
    </row>
    <row r="3417" spans="2:12" x14ac:dyDescent="0.3">
      <c r="B3417" s="25">
        <v>3435</v>
      </c>
      <c r="C3417" s="33">
        <v>53331</v>
      </c>
      <c r="D3417" s="33" t="s">
        <v>400</v>
      </c>
      <c r="E3417" s="35">
        <v>45099</v>
      </c>
      <c r="F3417" s="33">
        <v>2</v>
      </c>
      <c r="G3417" s="33" t="s">
        <v>231</v>
      </c>
      <c r="H3417" s="33" t="s">
        <v>69</v>
      </c>
      <c r="I3417" s="33" t="s">
        <v>198</v>
      </c>
      <c r="J3417" s="34">
        <v>319.12</v>
      </c>
      <c r="K3417" s="34"/>
      <c r="L3417" s="34">
        <v>319.12</v>
      </c>
    </row>
    <row r="3418" spans="2:12" x14ac:dyDescent="0.3">
      <c r="B3418" s="25">
        <v>3436</v>
      </c>
      <c r="C3418" s="33">
        <v>53332</v>
      </c>
      <c r="D3418" s="33" t="s">
        <v>400</v>
      </c>
      <c r="E3418" s="35">
        <v>45099</v>
      </c>
      <c r="F3418" s="33">
        <v>2</v>
      </c>
      <c r="G3418" s="33" t="s">
        <v>231</v>
      </c>
      <c r="H3418" s="33" t="s">
        <v>69</v>
      </c>
      <c r="I3418" s="33" t="s">
        <v>198</v>
      </c>
      <c r="J3418" s="34">
        <v>820.11</v>
      </c>
      <c r="K3418" s="34"/>
      <c r="L3418" s="34">
        <v>820.11</v>
      </c>
    </row>
    <row r="3419" spans="2:12" x14ac:dyDescent="0.3">
      <c r="B3419" s="25">
        <v>3437</v>
      </c>
      <c r="C3419" s="33">
        <v>53333</v>
      </c>
      <c r="D3419" s="33" t="s">
        <v>400</v>
      </c>
      <c r="E3419" s="35">
        <v>45099</v>
      </c>
      <c r="F3419" s="33">
        <v>2</v>
      </c>
      <c r="G3419" s="33" t="s">
        <v>231</v>
      </c>
      <c r="H3419" s="33" t="s">
        <v>69</v>
      </c>
      <c r="I3419" s="33" t="s">
        <v>198</v>
      </c>
      <c r="J3419" s="34">
        <v>3099.5</v>
      </c>
      <c r="K3419" s="34"/>
      <c r="L3419" s="34">
        <v>3099.5</v>
      </c>
    </row>
    <row r="3420" spans="2:12" x14ac:dyDescent="0.3">
      <c r="B3420" s="25">
        <v>3438</v>
      </c>
      <c r="C3420" s="33">
        <v>53334</v>
      </c>
      <c r="D3420" s="33" t="s">
        <v>400</v>
      </c>
      <c r="E3420" s="35">
        <v>45099</v>
      </c>
      <c r="F3420" s="33">
        <v>2</v>
      </c>
      <c r="G3420" s="33" t="s">
        <v>231</v>
      </c>
      <c r="H3420" s="33" t="s">
        <v>69</v>
      </c>
      <c r="I3420" s="33" t="s">
        <v>198</v>
      </c>
      <c r="J3420" s="34">
        <v>126.1</v>
      </c>
      <c r="K3420" s="34"/>
      <c r="L3420" s="34">
        <v>126.1</v>
      </c>
    </row>
    <row r="3421" spans="2:12" x14ac:dyDescent="0.3">
      <c r="B3421" s="25">
        <v>3439</v>
      </c>
      <c r="C3421" s="33">
        <v>384162</v>
      </c>
      <c r="D3421" s="33" t="s">
        <v>1292</v>
      </c>
      <c r="E3421" s="35">
        <v>45019</v>
      </c>
      <c r="F3421" s="33">
        <v>2</v>
      </c>
      <c r="G3421" s="33" t="s">
        <v>124</v>
      </c>
      <c r="H3421" s="33" t="s">
        <v>200</v>
      </c>
      <c r="I3421" s="33" t="s">
        <v>197</v>
      </c>
      <c r="J3421" s="34">
        <v>1391.28</v>
      </c>
      <c r="K3421" s="34"/>
      <c r="L3421" s="34">
        <v>1391.28</v>
      </c>
    </row>
    <row r="3422" spans="2:12" x14ac:dyDescent="0.3">
      <c r="B3422" s="25">
        <v>3441</v>
      </c>
      <c r="C3422" s="33">
        <v>384303</v>
      </c>
      <c r="D3422" s="33" t="s">
        <v>939</v>
      </c>
      <c r="E3422" s="35">
        <v>45033</v>
      </c>
      <c r="F3422" s="33">
        <v>2</v>
      </c>
      <c r="G3422" s="33" t="s">
        <v>124</v>
      </c>
      <c r="H3422" s="33" t="s">
        <v>200</v>
      </c>
      <c r="I3422" s="33" t="s">
        <v>197</v>
      </c>
      <c r="J3422" s="34">
        <v>3373.54</v>
      </c>
      <c r="K3422" s="34"/>
      <c r="L3422" s="34">
        <v>3373.54</v>
      </c>
    </row>
    <row r="3423" spans="2:12" x14ac:dyDescent="0.3">
      <c r="B3423" s="25">
        <v>3442</v>
      </c>
      <c r="C3423" s="33">
        <v>384304</v>
      </c>
      <c r="D3423" s="33" t="s">
        <v>1295</v>
      </c>
      <c r="E3423" s="35">
        <v>45033</v>
      </c>
      <c r="F3423" s="33">
        <v>2</v>
      </c>
      <c r="G3423" s="33" t="s">
        <v>122</v>
      </c>
      <c r="H3423" s="33" t="s">
        <v>200</v>
      </c>
      <c r="I3423" s="33" t="s">
        <v>196</v>
      </c>
      <c r="J3423" s="34">
        <v>720.46</v>
      </c>
      <c r="K3423" s="34">
        <v>50</v>
      </c>
      <c r="L3423" s="34">
        <v>670.46</v>
      </c>
    </row>
    <row r="3424" spans="2:12" x14ac:dyDescent="0.3">
      <c r="B3424" s="25">
        <v>3443</v>
      </c>
      <c r="C3424" s="33">
        <v>384351</v>
      </c>
      <c r="D3424" s="33" t="s">
        <v>1687</v>
      </c>
      <c r="E3424" s="35">
        <v>45040</v>
      </c>
      <c r="F3424" s="33">
        <v>2</v>
      </c>
      <c r="G3424" s="33" t="s">
        <v>628</v>
      </c>
      <c r="H3424" s="33" t="s">
        <v>200</v>
      </c>
      <c r="I3424" s="33" t="s">
        <v>75</v>
      </c>
      <c r="J3424" s="34">
        <v>8570.59</v>
      </c>
      <c r="K3424" s="34"/>
      <c r="L3424" s="34">
        <v>8570.59</v>
      </c>
    </row>
    <row r="3425" spans="2:12" x14ac:dyDescent="0.3">
      <c r="B3425" s="25">
        <v>3444</v>
      </c>
      <c r="C3425" s="33">
        <v>384405</v>
      </c>
      <c r="D3425" s="33" t="s">
        <v>1688</v>
      </c>
      <c r="E3425" s="35">
        <v>45049</v>
      </c>
      <c r="F3425" s="33">
        <v>2</v>
      </c>
      <c r="G3425" s="33" t="s">
        <v>628</v>
      </c>
      <c r="H3425" s="33" t="s">
        <v>200</v>
      </c>
      <c r="I3425" s="33" t="s">
        <v>75</v>
      </c>
      <c r="J3425" s="34">
        <v>3758.07</v>
      </c>
      <c r="K3425" s="34"/>
      <c r="L3425" s="34">
        <v>3758.07</v>
      </c>
    </row>
    <row r="3426" spans="2:12" x14ac:dyDescent="0.3">
      <c r="B3426" s="25">
        <v>3445</v>
      </c>
      <c r="C3426" s="33">
        <v>384527</v>
      </c>
      <c r="D3426" s="33" t="s">
        <v>1689</v>
      </c>
      <c r="E3426" s="35">
        <v>45068</v>
      </c>
      <c r="F3426" s="33">
        <v>2</v>
      </c>
      <c r="G3426" s="33" t="s">
        <v>628</v>
      </c>
      <c r="H3426" s="33" t="s">
        <v>200</v>
      </c>
      <c r="I3426" s="33" t="s">
        <v>75</v>
      </c>
      <c r="J3426" s="34">
        <v>868.99</v>
      </c>
      <c r="K3426" s="34"/>
      <c r="L3426" s="34">
        <v>868.99</v>
      </c>
    </row>
    <row r="3427" spans="2:12" x14ac:dyDescent="0.3">
      <c r="B3427" s="25">
        <v>3446</v>
      </c>
      <c r="C3427" s="33">
        <v>384549</v>
      </c>
      <c r="D3427" s="33" t="s">
        <v>1690</v>
      </c>
      <c r="E3427" s="35">
        <v>45071</v>
      </c>
      <c r="F3427" s="33">
        <v>2</v>
      </c>
      <c r="G3427" s="33" t="s">
        <v>122</v>
      </c>
      <c r="H3427" s="33" t="s">
        <v>200</v>
      </c>
      <c r="I3427" s="33" t="s">
        <v>196</v>
      </c>
      <c r="J3427" s="34">
        <v>1004.34</v>
      </c>
      <c r="K3427" s="34"/>
      <c r="L3427" s="34">
        <v>1004.34</v>
      </c>
    </row>
    <row r="3428" spans="2:12" x14ac:dyDescent="0.3">
      <c r="B3428" s="25">
        <v>3447</v>
      </c>
      <c r="C3428" s="33">
        <v>384427</v>
      </c>
      <c r="D3428" s="33" t="s">
        <v>1366</v>
      </c>
      <c r="E3428" s="35">
        <v>45051</v>
      </c>
      <c r="F3428" s="33">
        <v>2</v>
      </c>
      <c r="G3428" s="33" t="s">
        <v>628</v>
      </c>
      <c r="H3428" s="33" t="s">
        <v>200</v>
      </c>
      <c r="I3428" s="33" t="s">
        <v>75</v>
      </c>
      <c r="J3428" s="34">
        <v>90</v>
      </c>
      <c r="K3428" s="34"/>
      <c r="L3428" s="34">
        <v>90</v>
      </c>
    </row>
    <row r="3429" spans="2:12" x14ac:dyDescent="0.3">
      <c r="B3429" s="25">
        <v>3448</v>
      </c>
      <c r="C3429" s="33">
        <v>384468</v>
      </c>
      <c r="D3429" s="33" t="s">
        <v>1691</v>
      </c>
      <c r="E3429" s="35">
        <v>45057</v>
      </c>
      <c r="F3429" s="33">
        <v>2</v>
      </c>
      <c r="G3429" s="33" t="s">
        <v>231</v>
      </c>
      <c r="H3429" s="33" t="s">
        <v>200</v>
      </c>
      <c r="I3429" s="33" t="s">
        <v>198</v>
      </c>
      <c r="J3429" s="34">
        <v>2606.98</v>
      </c>
      <c r="K3429" s="34"/>
      <c r="L3429" s="34">
        <v>2606.98</v>
      </c>
    </row>
    <row r="3430" spans="2:12" x14ac:dyDescent="0.3">
      <c r="B3430" s="25">
        <v>3449</v>
      </c>
      <c r="C3430" s="33">
        <v>384624</v>
      </c>
      <c r="D3430" s="33" t="s">
        <v>395</v>
      </c>
      <c r="E3430" s="35">
        <v>45084</v>
      </c>
      <c r="F3430" s="33">
        <v>2</v>
      </c>
      <c r="G3430" s="33" t="s">
        <v>122</v>
      </c>
      <c r="H3430" s="33" t="s">
        <v>200</v>
      </c>
      <c r="I3430" s="33" t="s">
        <v>196</v>
      </c>
      <c r="J3430" s="34">
        <v>670.92</v>
      </c>
      <c r="K3430" s="34"/>
      <c r="L3430" s="34">
        <v>670.92</v>
      </c>
    </row>
    <row r="3431" spans="2:12" x14ac:dyDescent="0.3">
      <c r="B3431" s="25">
        <v>3450</v>
      </c>
      <c r="C3431" s="33">
        <v>36169</v>
      </c>
      <c r="D3431" s="33" t="s">
        <v>394</v>
      </c>
      <c r="E3431" s="35">
        <v>45118</v>
      </c>
      <c r="F3431" s="33">
        <v>3</v>
      </c>
      <c r="G3431" s="33" t="s">
        <v>122</v>
      </c>
      <c r="H3431" s="33" t="s">
        <v>72</v>
      </c>
      <c r="I3431" s="33" t="s">
        <v>196</v>
      </c>
      <c r="J3431" s="34">
        <v>10030</v>
      </c>
      <c r="K3431" s="34"/>
      <c r="L3431" s="34">
        <v>10030</v>
      </c>
    </row>
    <row r="3432" spans="2:12" x14ac:dyDescent="0.3">
      <c r="B3432" s="25">
        <v>3451</v>
      </c>
      <c r="C3432" s="33">
        <v>3442</v>
      </c>
      <c r="D3432" s="33" t="s">
        <v>676</v>
      </c>
      <c r="E3432" s="35">
        <v>45071</v>
      </c>
      <c r="F3432" s="33">
        <v>2</v>
      </c>
      <c r="G3432" s="33" t="s">
        <v>124</v>
      </c>
      <c r="H3432" s="33" t="s">
        <v>201</v>
      </c>
      <c r="I3432" s="33" t="s">
        <v>197</v>
      </c>
      <c r="J3432" s="34">
        <v>495</v>
      </c>
      <c r="K3432" s="34"/>
      <c r="L3432" s="34">
        <v>495</v>
      </c>
    </row>
    <row r="3433" spans="2:12" x14ac:dyDescent="0.3">
      <c r="B3433" s="25">
        <v>3452</v>
      </c>
      <c r="C3433" s="33">
        <v>2329</v>
      </c>
      <c r="D3433" s="33" t="s">
        <v>372</v>
      </c>
      <c r="E3433" s="35">
        <v>45078</v>
      </c>
      <c r="F3433" s="33">
        <v>2</v>
      </c>
      <c r="G3433" s="33" t="s">
        <v>124</v>
      </c>
      <c r="H3433" s="33" t="s">
        <v>71</v>
      </c>
      <c r="I3433" s="33" t="s">
        <v>197</v>
      </c>
      <c r="J3433" s="34">
        <v>535.46</v>
      </c>
      <c r="K3433" s="34">
        <v>80</v>
      </c>
      <c r="L3433" s="34">
        <v>455.46</v>
      </c>
    </row>
    <row r="3434" spans="2:12" x14ac:dyDescent="0.3">
      <c r="B3434" s="25">
        <v>3453</v>
      </c>
      <c r="C3434" s="33">
        <v>2352</v>
      </c>
      <c r="D3434" s="33" t="s">
        <v>277</v>
      </c>
      <c r="E3434" s="35">
        <v>45082</v>
      </c>
      <c r="F3434" s="33">
        <v>2</v>
      </c>
      <c r="G3434" s="33" t="s">
        <v>124</v>
      </c>
      <c r="H3434" s="33" t="s">
        <v>71</v>
      </c>
      <c r="I3434" s="33" t="s">
        <v>197</v>
      </c>
      <c r="J3434" s="34">
        <v>1476.97</v>
      </c>
      <c r="K3434" s="34">
        <v>40</v>
      </c>
      <c r="L3434" s="34">
        <v>1436.97</v>
      </c>
    </row>
    <row r="3435" spans="2:12" x14ac:dyDescent="0.3">
      <c r="B3435" s="25">
        <v>3454</v>
      </c>
      <c r="C3435" s="33" t="s">
        <v>1692</v>
      </c>
      <c r="D3435" s="33" t="s">
        <v>675</v>
      </c>
      <c r="E3435" s="35">
        <v>45086</v>
      </c>
      <c r="F3435" s="33">
        <v>2</v>
      </c>
      <c r="G3435" s="33" t="s">
        <v>628</v>
      </c>
      <c r="H3435" s="33" t="s">
        <v>71</v>
      </c>
      <c r="I3435" s="33" t="s">
        <v>75</v>
      </c>
      <c r="J3435" s="34">
        <v>470.39</v>
      </c>
      <c r="K3435" s="34">
        <v>80</v>
      </c>
      <c r="L3435" s="34">
        <v>390.39</v>
      </c>
    </row>
    <row r="3436" spans="2:12" x14ac:dyDescent="0.3">
      <c r="B3436" s="25">
        <v>3455</v>
      </c>
      <c r="C3436" s="33">
        <v>2410</v>
      </c>
      <c r="D3436" s="33" t="s">
        <v>281</v>
      </c>
      <c r="E3436" s="35">
        <v>45086</v>
      </c>
      <c r="F3436" s="33">
        <v>2</v>
      </c>
      <c r="G3436" s="33" t="s">
        <v>124</v>
      </c>
      <c r="H3436" s="33" t="s">
        <v>71</v>
      </c>
      <c r="I3436" s="33" t="s">
        <v>197</v>
      </c>
      <c r="J3436" s="34">
        <v>695.86</v>
      </c>
      <c r="K3436" s="34">
        <v>110</v>
      </c>
      <c r="L3436" s="34">
        <v>585.86</v>
      </c>
    </row>
    <row r="3437" spans="2:12" x14ac:dyDescent="0.3">
      <c r="B3437" s="25">
        <v>3456</v>
      </c>
      <c r="C3437" s="33">
        <v>2427</v>
      </c>
      <c r="D3437" s="33" t="s">
        <v>1693</v>
      </c>
      <c r="E3437" s="35">
        <v>45090</v>
      </c>
      <c r="F3437" s="33">
        <v>2</v>
      </c>
      <c r="G3437" s="33" t="s">
        <v>124</v>
      </c>
      <c r="H3437" s="33" t="s">
        <v>71</v>
      </c>
      <c r="I3437" s="33" t="s">
        <v>197</v>
      </c>
      <c r="J3437" s="34">
        <v>718.82</v>
      </c>
      <c r="K3437" s="34">
        <v>80</v>
      </c>
      <c r="L3437" s="34">
        <v>638.82000000000005</v>
      </c>
    </row>
    <row r="3438" spans="2:12" x14ac:dyDescent="0.3">
      <c r="B3438" s="25">
        <v>3457</v>
      </c>
      <c r="C3438" s="33" t="s">
        <v>1694</v>
      </c>
      <c r="D3438" s="33" t="s">
        <v>1666</v>
      </c>
      <c r="E3438" s="35">
        <v>45098</v>
      </c>
      <c r="F3438" s="33">
        <v>2</v>
      </c>
      <c r="G3438" s="33" t="s">
        <v>231</v>
      </c>
      <c r="H3438" s="33" t="s">
        <v>71</v>
      </c>
      <c r="I3438" s="33" t="s">
        <v>198</v>
      </c>
      <c r="J3438" s="34">
        <v>287.48</v>
      </c>
      <c r="K3438" s="34">
        <v>80</v>
      </c>
      <c r="L3438" s="34">
        <v>207.48</v>
      </c>
    </row>
    <row r="3439" spans="2:12" x14ac:dyDescent="0.3">
      <c r="B3439" s="25">
        <v>3458</v>
      </c>
      <c r="C3439" s="33">
        <v>2637</v>
      </c>
      <c r="D3439" s="33" t="s">
        <v>429</v>
      </c>
      <c r="E3439" s="35">
        <v>45099</v>
      </c>
      <c r="F3439" s="33">
        <v>2</v>
      </c>
      <c r="G3439" s="33" t="s">
        <v>628</v>
      </c>
      <c r="H3439" s="33" t="s">
        <v>71</v>
      </c>
      <c r="I3439" s="33" t="s">
        <v>75</v>
      </c>
      <c r="J3439" s="34">
        <v>451.05</v>
      </c>
      <c r="K3439" s="34">
        <v>80</v>
      </c>
      <c r="L3439" s="34">
        <v>371.05</v>
      </c>
    </row>
    <row r="3440" spans="2:12" x14ac:dyDescent="0.3">
      <c r="B3440" s="25">
        <v>3459</v>
      </c>
      <c r="C3440" s="33">
        <v>2638</v>
      </c>
      <c r="D3440" s="33" t="s">
        <v>429</v>
      </c>
      <c r="E3440" s="35">
        <v>45099</v>
      </c>
      <c r="F3440" s="33">
        <v>2</v>
      </c>
      <c r="G3440" s="33" t="s">
        <v>628</v>
      </c>
      <c r="H3440" s="33" t="s">
        <v>71</v>
      </c>
      <c r="I3440" s="33" t="s">
        <v>75</v>
      </c>
      <c r="J3440" s="34">
        <v>708.63</v>
      </c>
      <c r="K3440" s="34">
        <v>80</v>
      </c>
      <c r="L3440" s="34">
        <v>628.63</v>
      </c>
    </row>
    <row r="3441" spans="2:12" x14ac:dyDescent="0.3">
      <c r="B3441" s="25">
        <v>3460</v>
      </c>
      <c r="C3441" s="33">
        <v>2639</v>
      </c>
      <c r="D3441" s="33" t="s">
        <v>429</v>
      </c>
      <c r="E3441" s="35">
        <v>45099</v>
      </c>
      <c r="F3441" s="33">
        <v>2</v>
      </c>
      <c r="G3441" s="33" t="s">
        <v>628</v>
      </c>
      <c r="H3441" s="33" t="s">
        <v>71</v>
      </c>
      <c r="I3441" s="33" t="s">
        <v>75</v>
      </c>
      <c r="J3441" s="34">
        <v>875.12</v>
      </c>
      <c r="K3441" s="34">
        <v>40</v>
      </c>
      <c r="L3441" s="34">
        <v>835.12</v>
      </c>
    </row>
    <row r="3442" spans="2:12" x14ac:dyDescent="0.3">
      <c r="B3442" s="25">
        <v>3461</v>
      </c>
      <c r="C3442" s="33" t="s">
        <v>1695</v>
      </c>
      <c r="D3442" s="33" t="s">
        <v>470</v>
      </c>
      <c r="E3442" s="35">
        <v>45099</v>
      </c>
      <c r="F3442" s="33">
        <v>2</v>
      </c>
      <c r="G3442" s="33" t="s">
        <v>628</v>
      </c>
      <c r="H3442" s="33" t="s">
        <v>71</v>
      </c>
      <c r="I3442" s="33" t="s">
        <v>75</v>
      </c>
      <c r="J3442" s="34">
        <v>1256.22</v>
      </c>
      <c r="K3442" s="34">
        <v>40</v>
      </c>
      <c r="L3442" s="34">
        <v>1216.22</v>
      </c>
    </row>
    <row r="3443" spans="2:12" x14ac:dyDescent="0.3">
      <c r="B3443" s="25">
        <v>3462</v>
      </c>
      <c r="C3443" s="33">
        <v>2729</v>
      </c>
      <c r="D3443" s="33" t="s">
        <v>838</v>
      </c>
      <c r="E3443" s="35">
        <v>45105</v>
      </c>
      <c r="F3443" s="33">
        <v>2</v>
      </c>
      <c r="G3443" s="33" t="s">
        <v>124</v>
      </c>
      <c r="H3443" s="33" t="s">
        <v>71</v>
      </c>
      <c r="I3443" s="33" t="s">
        <v>197</v>
      </c>
      <c r="J3443" s="34">
        <v>531.79999999999995</v>
      </c>
      <c r="K3443" s="34">
        <v>80</v>
      </c>
      <c r="L3443" s="34">
        <v>451.8</v>
      </c>
    </row>
    <row r="3444" spans="2:12" x14ac:dyDescent="0.3">
      <c r="B3444" s="25">
        <v>3463</v>
      </c>
      <c r="C3444" s="33">
        <v>2753</v>
      </c>
      <c r="D3444" s="33" t="s">
        <v>363</v>
      </c>
      <c r="E3444" s="35">
        <v>45105</v>
      </c>
      <c r="F3444" s="33">
        <v>2</v>
      </c>
      <c r="G3444" s="33" t="s">
        <v>124</v>
      </c>
      <c r="H3444" s="33" t="s">
        <v>71</v>
      </c>
      <c r="I3444" s="33" t="s">
        <v>197</v>
      </c>
      <c r="J3444" s="34">
        <v>328.43</v>
      </c>
      <c r="K3444" s="34">
        <v>80</v>
      </c>
      <c r="L3444" s="34">
        <v>248.43</v>
      </c>
    </row>
    <row r="3445" spans="2:12" x14ac:dyDescent="0.3">
      <c r="B3445" s="25">
        <v>3464</v>
      </c>
      <c r="C3445" s="33" t="s">
        <v>1696</v>
      </c>
      <c r="D3445" s="33" t="s">
        <v>403</v>
      </c>
      <c r="E3445" s="35">
        <v>45086</v>
      </c>
      <c r="F3445" s="33">
        <v>2</v>
      </c>
      <c r="G3445" s="33" t="s">
        <v>122</v>
      </c>
      <c r="H3445" s="33" t="s">
        <v>71</v>
      </c>
      <c r="I3445" s="33" t="s">
        <v>196</v>
      </c>
      <c r="J3445" s="34">
        <v>718.82</v>
      </c>
      <c r="K3445" s="34"/>
      <c r="L3445" s="34">
        <v>718.82</v>
      </c>
    </row>
    <row r="3446" spans="2:12" x14ac:dyDescent="0.3">
      <c r="B3446" s="25">
        <v>3465</v>
      </c>
      <c r="C3446" s="33">
        <v>36190</v>
      </c>
      <c r="D3446" s="33" t="s">
        <v>470</v>
      </c>
      <c r="E3446" s="35">
        <v>45121</v>
      </c>
      <c r="F3446" s="33">
        <v>3</v>
      </c>
      <c r="G3446" s="33" t="s">
        <v>628</v>
      </c>
      <c r="H3446" s="33" t="s">
        <v>72</v>
      </c>
      <c r="I3446" s="33" t="s">
        <v>75</v>
      </c>
      <c r="J3446" s="34">
        <v>8528.6</v>
      </c>
      <c r="K3446" s="34"/>
      <c r="L3446" s="34">
        <v>8528.6</v>
      </c>
    </row>
    <row r="3447" spans="2:12" x14ac:dyDescent="0.3">
      <c r="B3447" s="25">
        <v>3466</v>
      </c>
      <c r="C3447" s="33">
        <v>36195</v>
      </c>
      <c r="D3447" s="33" t="s">
        <v>463</v>
      </c>
      <c r="E3447" s="35">
        <v>45121</v>
      </c>
      <c r="F3447" s="33">
        <v>3</v>
      </c>
      <c r="G3447" s="33" t="s">
        <v>122</v>
      </c>
      <c r="H3447" s="33" t="s">
        <v>72</v>
      </c>
      <c r="I3447" s="33" t="s">
        <v>196</v>
      </c>
      <c r="J3447" s="34">
        <v>7172.55</v>
      </c>
      <c r="K3447" s="34"/>
      <c r="L3447" s="34">
        <v>7172.55</v>
      </c>
    </row>
    <row r="3448" spans="2:12" x14ac:dyDescent="0.3">
      <c r="B3448" s="25">
        <v>3467</v>
      </c>
      <c r="C3448" s="33">
        <v>36196</v>
      </c>
      <c r="D3448" s="33" t="s">
        <v>687</v>
      </c>
      <c r="E3448" s="35">
        <v>45121</v>
      </c>
      <c r="F3448" s="33">
        <v>3</v>
      </c>
      <c r="G3448" s="33" t="s">
        <v>122</v>
      </c>
      <c r="H3448" s="33" t="s">
        <v>72</v>
      </c>
      <c r="I3448" s="33" t="s">
        <v>196</v>
      </c>
      <c r="J3448" s="34">
        <v>3660.8</v>
      </c>
      <c r="K3448" s="34"/>
      <c r="L3448" s="34">
        <v>3660.8</v>
      </c>
    </row>
    <row r="3449" spans="2:12" x14ac:dyDescent="0.3">
      <c r="B3449" s="25">
        <v>3468</v>
      </c>
      <c r="C3449" s="33">
        <v>36198</v>
      </c>
      <c r="D3449" s="33" t="s">
        <v>687</v>
      </c>
      <c r="E3449" s="35">
        <v>45121</v>
      </c>
      <c r="F3449" s="33">
        <v>3</v>
      </c>
      <c r="G3449" s="33" t="s">
        <v>122</v>
      </c>
      <c r="H3449" s="33" t="s">
        <v>72</v>
      </c>
      <c r="I3449" s="33" t="s">
        <v>196</v>
      </c>
      <c r="J3449" s="34">
        <v>5269</v>
      </c>
      <c r="K3449" s="34"/>
      <c r="L3449" s="34">
        <v>5269</v>
      </c>
    </row>
    <row r="3450" spans="2:12" x14ac:dyDescent="0.3">
      <c r="B3450" s="25">
        <v>3469</v>
      </c>
      <c r="C3450" s="33">
        <v>36199</v>
      </c>
      <c r="D3450" s="33" t="s">
        <v>687</v>
      </c>
      <c r="E3450" s="35">
        <v>45121</v>
      </c>
      <c r="F3450" s="33">
        <v>3</v>
      </c>
      <c r="G3450" s="33" t="s">
        <v>122</v>
      </c>
      <c r="H3450" s="33" t="s">
        <v>72</v>
      </c>
      <c r="I3450" s="33" t="s">
        <v>196</v>
      </c>
      <c r="J3450" s="34">
        <v>979</v>
      </c>
      <c r="K3450" s="34"/>
      <c r="L3450" s="34">
        <v>979</v>
      </c>
    </row>
    <row r="3451" spans="2:12" x14ac:dyDescent="0.3">
      <c r="B3451" s="25">
        <v>3470</v>
      </c>
      <c r="C3451" s="33">
        <v>36200</v>
      </c>
      <c r="D3451" s="33" t="s">
        <v>394</v>
      </c>
      <c r="E3451" s="35">
        <v>45121</v>
      </c>
      <c r="F3451" s="33">
        <v>3</v>
      </c>
      <c r="G3451" s="33" t="s">
        <v>122</v>
      </c>
      <c r="H3451" s="33" t="s">
        <v>72</v>
      </c>
      <c r="I3451" s="33" t="s">
        <v>196</v>
      </c>
      <c r="J3451" s="34">
        <v>7463.99</v>
      </c>
      <c r="K3451" s="34"/>
      <c r="L3451" s="34">
        <v>7463.99</v>
      </c>
    </row>
    <row r="3452" spans="2:12" x14ac:dyDescent="0.3">
      <c r="B3452" s="25">
        <v>3471</v>
      </c>
      <c r="C3452" s="33">
        <v>5809</v>
      </c>
      <c r="D3452" s="33" t="s">
        <v>675</v>
      </c>
      <c r="E3452" s="35">
        <v>45126</v>
      </c>
      <c r="F3452" s="33">
        <v>3</v>
      </c>
      <c r="G3452" s="33" t="s">
        <v>628</v>
      </c>
      <c r="H3452" s="33" t="s">
        <v>630</v>
      </c>
      <c r="I3452" s="33" t="s">
        <v>75</v>
      </c>
      <c r="J3452" s="34">
        <v>4044</v>
      </c>
      <c r="K3452" s="34"/>
      <c r="L3452" s="34">
        <v>4044</v>
      </c>
    </row>
    <row r="3453" spans="2:12" x14ac:dyDescent="0.3">
      <c r="B3453" s="25">
        <v>3472</v>
      </c>
      <c r="C3453" s="33">
        <v>12116</v>
      </c>
      <c r="D3453" s="33" t="s">
        <v>1697</v>
      </c>
      <c r="E3453" s="35">
        <v>45077</v>
      </c>
      <c r="F3453" s="33">
        <v>2</v>
      </c>
      <c r="G3453" s="33" t="s">
        <v>122</v>
      </c>
      <c r="H3453" s="33" t="s">
        <v>73</v>
      </c>
      <c r="I3453" s="33" t="s">
        <v>196</v>
      </c>
      <c r="J3453" s="34">
        <v>1080.5999999999999</v>
      </c>
      <c r="K3453" s="34"/>
      <c r="L3453" s="34">
        <v>1080.5999999999999</v>
      </c>
    </row>
    <row r="3454" spans="2:12" x14ac:dyDescent="0.3">
      <c r="B3454" s="25">
        <v>3473</v>
      </c>
      <c r="C3454" s="33">
        <v>52626</v>
      </c>
      <c r="D3454" s="33" t="s">
        <v>1698</v>
      </c>
      <c r="E3454" s="35">
        <v>45064</v>
      </c>
      <c r="F3454" s="33">
        <v>2</v>
      </c>
      <c r="G3454" s="33" t="s">
        <v>124</v>
      </c>
      <c r="H3454" s="33" t="s">
        <v>69</v>
      </c>
      <c r="I3454" s="33" t="s">
        <v>197</v>
      </c>
      <c r="J3454" s="34">
        <v>841.94</v>
      </c>
      <c r="K3454" s="34"/>
      <c r="L3454" s="34">
        <v>841.94</v>
      </c>
    </row>
    <row r="3455" spans="2:12" x14ac:dyDescent="0.3">
      <c r="B3455" s="25">
        <v>3474</v>
      </c>
      <c r="C3455" s="33">
        <v>52627</v>
      </c>
      <c r="D3455" s="33" t="s">
        <v>1698</v>
      </c>
      <c r="E3455" s="35">
        <v>45064</v>
      </c>
      <c r="F3455" s="33">
        <v>2</v>
      </c>
      <c r="G3455" s="33" t="s">
        <v>124</v>
      </c>
      <c r="H3455" s="33" t="s">
        <v>69</v>
      </c>
      <c r="I3455" s="33" t="s">
        <v>197</v>
      </c>
      <c r="J3455" s="34">
        <v>892.86</v>
      </c>
      <c r="K3455" s="34"/>
      <c r="L3455" s="34">
        <v>892.86</v>
      </c>
    </row>
    <row r="3456" spans="2:12" x14ac:dyDescent="0.3">
      <c r="B3456" s="25">
        <v>3475</v>
      </c>
      <c r="C3456" s="33">
        <v>52628</v>
      </c>
      <c r="D3456" s="33" t="s">
        <v>1698</v>
      </c>
      <c r="E3456" s="35">
        <v>45064</v>
      </c>
      <c r="F3456" s="33">
        <v>2</v>
      </c>
      <c r="G3456" s="33" t="s">
        <v>124</v>
      </c>
      <c r="H3456" s="33" t="s">
        <v>69</v>
      </c>
      <c r="I3456" s="33" t="s">
        <v>197</v>
      </c>
      <c r="J3456" s="34">
        <v>21.09</v>
      </c>
      <c r="K3456" s="34"/>
      <c r="L3456" s="34">
        <v>21.09</v>
      </c>
    </row>
    <row r="3457" spans="2:12" x14ac:dyDescent="0.3">
      <c r="B3457" s="25">
        <v>3476</v>
      </c>
      <c r="C3457" s="33">
        <v>52638</v>
      </c>
      <c r="D3457" s="33" t="s">
        <v>441</v>
      </c>
      <c r="E3457" s="35">
        <v>45064</v>
      </c>
      <c r="F3457" s="33">
        <v>2</v>
      </c>
      <c r="G3457" s="33" t="s">
        <v>122</v>
      </c>
      <c r="H3457" s="33" t="s">
        <v>69</v>
      </c>
      <c r="I3457" s="33" t="s">
        <v>196</v>
      </c>
      <c r="J3457" s="34">
        <v>12638.5</v>
      </c>
      <c r="K3457" s="34"/>
      <c r="L3457" s="34">
        <v>12638.5</v>
      </c>
    </row>
    <row r="3458" spans="2:12" x14ac:dyDescent="0.3">
      <c r="B3458" s="25">
        <v>3477</v>
      </c>
      <c r="C3458" s="33">
        <v>52767</v>
      </c>
      <c r="D3458" s="33" t="s">
        <v>441</v>
      </c>
      <c r="E3458" s="35">
        <v>45071</v>
      </c>
      <c r="F3458" s="33">
        <v>2</v>
      </c>
      <c r="G3458" s="33" t="s">
        <v>122</v>
      </c>
      <c r="H3458" s="33" t="s">
        <v>69</v>
      </c>
      <c r="I3458" s="33" t="s">
        <v>196</v>
      </c>
      <c r="J3458" s="34">
        <v>1546.5</v>
      </c>
      <c r="K3458" s="34"/>
      <c r="L3458" s="34">
        <v>1546.5</v>
      </c>
    </row>
    <row r="3459" spans="2:12" x14ac:dyDescent="0.3">
      <c r="B3459" s="25">
        <v>3478</v>
      </c>
      <c r="C3459" s="33">
        <v>53425</v>
      </c>
      <c r="D3459" s="33" t="s">
        <v>1613</v>
      </c>
      <c r="E3459" s="35">
        <v>45105</v>
      </c>
      <c r="F3459" s="33">
        <v>2</v>
      </c>
      <c r="G3459" s="33" t="s">
        <v>124</v>
      </c>
      <c r="H3459" s="33" t="s">
        <v>69</v>
      </c>
      <c r="I3459" s="33" t="s">
        <v>197</v>
      </c>
      <c r="J3459" s="34">
        <v>1050</v>
      </c>
      <c r="K3459" s="34"/>
      <c r="L3459" s="34">
        <v>1050</v>
      </c>
    </row>
    <row r="3460" spans="2:12" x14ac:dyDescent="0.3">
      <c r="B3460" s="25">
        <v>3479</v>
      </c>
      <c r="C3460" s="33">
        <v>53435</v>
      </c>
      <c r="D3460" s="33" t="s">
        <v>400</v>
      </c>
      <c r="E3460" s="35">
        <v>45105</v>
      </c>
      <c r="F3460" s="33">
        <v>2</v>
      </c>
      <c r="G3460" s="33" t="s">
        <v>231</v>
      </c>
      <c r="H3460" s="33" t="s">
        <v>69</v>
      </c>
      <c r="I3460" s="33" t="s">
        <v>198</v>
      </c>
      <c r="J3460" s="34">
        <v>921</v>
      </c>
      <c r="K3460" s="34"/>
      <c r="L3460" s="34">
        <v>921</v>
      </c>
    </row>
    <row r="3461" spans="2:12" x14ac:dyDescent="0.3">
      <c r="B3461" s="25">
        <v>3480</v>
      </c>
      <c r="C3461" s="33">
        <v>53436</v>
      </c>
      <c r="D3461" s="33" t="s">
        <v>400</v>
      </c>
      <c r="E3461" s="35">
        <v>45105</v>
      </c>
      <c r="F3461" s="33">
        <v>2</v>
      </c>
      <c r="G3461" s="33" t="s">
        <v>231</v>
      </c>
      <c r="H3461" s="33" t="s">
        <v>69</v>
      </c>
      <c r="I3461" s="33" t="s">
        <v>198</v>
      </c>
      <c r="J3461" s="34">
        <v>1142.0999999999999</v>
      </c>
      <c r="K3461" s="34"/>
      <c r="L3461" s="34">
        <v>1142.0999999999999</v>
      </c>
    </row>
    <row r="3462" spans="2:12" x14ac:dyDescent="0.3">
      <c r="B3462" s="25">
        <v>3481</v>
      </c>
      <c r="C3462" s="33">
        <v>53437</v>
      </c>
      <c r="D3462" s="33" t="s">
        <v>400</v>
      </c>
      <c r="E3462" s="35">
        <v>45105</v>
      </c>
      <c r="F3462" s="33">
        <v>2</v>
      </c>
      <c r="G3462" s="33" t="s">
        <v>231</v>
      </c>
      <c r="H3462" s="33" t="s">
        <v>69</v>
      </c>
      <c r="I3462" s="33" t="s">
        <v>198</v>
      </c>
      <c r="J3462" s="34">
        <v>352.11</v>
      </c>
      <c r="K3462" s="34"/>
      <c r="L3462" s="34">
        <v>352.11</v>
      </c>
    </row>
    <row r="3463" spans="2:12" x14ac:dyDescent="0.3">
      <c r="B3463" s="25">
        <v>3482</v>
      </c>
      <c r="C3463" s="33">
        <v>53460</v>
      </c>
      <c r="D3463" s="33" t="s">
        <v>417</v>
      </c>
      <c r="E3463" s="35">
        <v>45106</v>
      </c>
      <c r="F3463" s="33">
        <v>2</v>
      </c>
      <c r="G3463" s="33" t="s">
        <v>122</v>
      </c>
      <c r="H3463" s="33" t="s">
        <v>69</v>
      </c>
      <c r="I3463" s="33" t="s">
        <v>196</v>
      </c>
      <c r="J3463" s="34">
        <v>4994.0200000000004</v>
      </c>
      <c r="K3463" s="34"/>
      <c r="L3463" s="34">
        <v>4994.0200000000004</v>
      </c>
    </row>
    <row r="3464" spans="2:12" x14ac:dyDescent="0.3">
      <c r="B3464" s="25">
        <v>3483</v>
      </c>
      <c r="C3464" s="33">
        <v>52188</v>
      </c>
      <c r="D3464" s="33" t="s">
        <v>394</v>
      </c>
      <c r="E3464" s="35">
        <v>45085</v>
      </c>
      <c r="F3464" s="33">
        <v>2</v>
      </c>
      <c r="G3464" s="33" t="s">
        <v>122</v>
      </c>
      <c r="H3464" s="33" t="s">
        <v>73</v>
      </c>
      <c r="I3464" s="33" t="s">
        <v>196</v>
      </c>
      <c r="J3464" s="34">
        <v>2820.5</v>
      </c>
      <c r="K3464" s="34"/>
      <c r="L3464" s="34">
        <v>2820.5</v>
      </c>
    </row>
    <row r="3465" spans="2:12" x14ac:dyDescent="0.3">
      <c r="B3465" s="25">
        <v>3484</v>
      </c>
      <c r="C3465" s="33" t="s">
        <v>1699</v>
      </c>
      <c r="D3465" s="33" t="s">
        <v>400</v>
      </c>
      <c r="E3465" s="35">
        <v>45092</v>
      </c>
      <c r="F3465" s="33">
        <v>2</v>
      </c>
      <c r="G3465" s="33" t="s">
        <v>231</v>
      </c>
      <c r="H3465" s="33">
        <v>53</v>
      </c>
      <c r="I3465" s="33" t="s">
        <v>198</v>
      </c>
      <c r="J3465" s="34">
        <v>636.78</v>
      </c>
      <c r="K3465" s="34"/>
      <c r="L3465" s="34">
        <v>636.78</v>
      </c>
    </row>
    <row r="3466" spans="2:12" x14ac:dyDescent="0.3">
      <c r="B3466" s="25">
        <v>3485</v>
      </c>
      <c r="C3466" s="33">
        <v>52319</v>
      </c>
      <c r="D3466" s="33" t="s">
        <v>275</v>
      </c>
      <c r="E3466" s="35">
        <v>45092</v>
      </c>
      <c r="F3466" s="33">
        <v>2</v>
      </c>
      <c r="G3466" s="33" t="s">
        <v>124</v>
      </c>
      <c r="H3466" s="33">
        <v>53</v>
      </c>
      <c r="I3466" s="33" t="s">
        <v>197</v>
      </c>
      <c r="J3466" s="34">
        <v>32</v>
      </c>
      <c r="K3466" s="34"/>
      <c r="L3466" s="34">
        <v>32</v>
      </c>
    </row>
    <row r="3467" spans="2:12" x14ac:dyDescent="0.3">
      <c r="B3467" s="25">
        <v>3486</v>
      </c>
      <c r="C3467" s="33" t="s">
        <v>1700</v>
      </c>
      <c r="D3467" s="33" t="s">
        <v>400</v>
      </c>
      <c r="E3467" s="35">
        <v>45098</v>
      </c>
      <c r="F3467" s="33">
        <v>2</v>
      </c>
      <c r="G3467" s="33" t="s">
        <v>231</v>
      </c>
      <c r="H3467" s="33">
        <v>53</v>
      </c>
      <c r="I3467" s="33" t="s">
        <v>198</v>
      </c>
      <c r="J3467" s="34">
        <v>1339.05</v>
      </c>
      <c r="K3467" s="34"/>
      <c r="L3467" s="34">
        <v>1339.05</v>
      </c>
    </row>
    <row r="3468" spans="2:12" x14ac:dyDescent="0.3">
      <c r="B3468" s="25">
        <v>3487</v>
      </c>
      <c r="C3468" s="33">
        <v>52413</v>
      </c>
      <c r="D3468" s="33" t="s">
        <v>411</v>
      </c>
      <c r="E3468" s="35">
        <v>45099</v>
      </c>
      <c r="F3468" s="33">
        <v>2</v>
      </c>
      <c r="G3468" s="33" t="s">
        <v>122</v>
      </c>
      <c r="H3468" s="33" t="s">
        <v>73</v>
      </c>
      <c r="I3468" s="33" t="s">
        <v>196</v>
      </c>
      <c r="J3468" s="34">
        <v>31.5</v>
      </c>
      <c r="K3468" s="34"/>
      <c r="L3468" s="34">
        <v>31.5</v>
      </c>
    </row>
    <row r="3469" spans="2:12" x14ac:dyDescent="0.3">
      <c r="B3469" s="25">
        <v>3488</v>
      </c>
      <c r="C3469" s="33">
        <v>52414</v>
      </c>
      <c r="D3469" s="33" t="s">
        <v>1701</v>
      </c>
      <c r="E3469" s="35">
        <v>45099</v>
      </c>
      <c r="F3469" s="33">
        <v>2</v>
      </c>
      <c r="G3469" s="33" t="s">
        <v>124</v>
      </c>
      <c r="H3469" s="33">
        <v>53</v>
      </c>
      <c r="I3469" s="33" t="s">
        <v>197</v>
      </c>
      <c r="J3469" s="34">
        <v>2103.4899999999998</v>
      </c>
      <c r="K3469" s="34"/>
      <c r="L3469" s="34">
        <v>2103.4899999999998</v>
      </c>
    </row>
    <row r="3470" spans="2:12" x14ac:dyDescent="0.3">
      <c r="B3470" s="25">
        <v>3489</v>
      </c>
      <c r="C3470" s="33">
        <v>52415</v>
      </c>
      <c r="D3470" s="33" t="s">
        <v>412</v>
      </c>
      <c r="E3470" s="35">
        <v>45099</v>
      </c>
      <c r="F3470" s="33">
        <v>2</v>
      </c>
      <c r="G3470" s="33" t="s">
        <v>231</v>
      </c>
      <c r="H3470" s="33">
        <v>53</v>
      </c>
      <c r="I3470" s="33" t="s">
        <v>198</v>
      </c>
      <c r="J3470" s="34">
        <v>2379.19</v>
      </c>
      <c r="K3470" s="34"/>
      <c r="L3470" s="34">
        <v>2379.19</v>
      </c>
    </row>
    <row r="3471" spans="2:12" x14ac:dyDescent="0.3">
      <c r="B3471" s="25">
        <v>3490</v>
      </c>
      <c r="C3471" s="33" t="s">
        <v>1702</v>
      </c>
      <c r="D3471" s="33" t="s">
        <v>1355</v>
      </c>
      <c r="E3471" s="35">
        <v>45044</v>
      </c>
      <c r="F3471" s="33">
        <v>2</v>
      </c>
      <c r="G3471" s="33" t="s">
        <v>122</v>
      </c>
      <c r="H3471" s="33" t="s">
        <v>70</v>
      </c>
      <c r="I3471" s="33" t="s">
        <v>196</v>
      </c>
      <c r="J3471" s="34">
        <v>1883.76</v>
      </c>
      <c r="K3471" s="34">
        <v>105</v>
      </c>
      <c r="L3471" s="34">
        <v>1778.76</v>
      </c>
    </row>
    <row r="3472" spans="2:12" x14ac:dyDescent="0.3">
      <c r="B3472" s="25">
        <v>3491</v>
      </c>
      <c r="C3472" s="33" t="s">
        <v>1703</v>
      </c>
      <c r="D3472" s="33" t="s">
        <v>1355</v>
      </c>
      <c r="E3472" s="35">
        <v>45077</v>
      </c>
      <c r="F3472" s="33">
        <v>2</v>
      </c>
      <c r="G3472" s="33" t="s">
        <v>122</v>
      </c>
      <c r="H3472" s="33" t="s">
        <v>70</v>
      </c>
      <c r="I3472" s="33" t="s">
        <v>196</v>
      </c>
      <c r="J3472" s="34">
        <v>573.96</v>
      </c>
      <c r="K3472" s="34">
        <v>75</v>
      </c>
      <c r="L3472" s="34">
        <v>498.96</v>
      </c>
    </row>
    <row r="3473" spans="2:12" x14ac:dyDescent="0.3">
      <c r="B3473" s="25">
        <v>3492</v>
      </c>
      <c r="C3473" s="33" t="s">
        <v>1704</v>
      </c>
      <c r="D3473" s="33" t="s">
        <v>613</v>
      </c>
      <c r="E3473" s="35">
        <v>45077</v>
      </c>
      <c r="F3473" s="33">
        <v>2</v>
      </c>
      <c r="G3473" s="33" t="s">
        <v>124</v>
      </c>
      <c r="H3473" s="33" t="s">
        <v>70</v>
      </c>
      <c r="I3473" s="33" t="s">
        <v>197</v>
      </c>
      <c r="J3473" s="34">
        <v>1303.24</v>
      </c>
      <c r="K3473" s="34">
        <v>85</v>
      </c>
      <c r="L3473" s="34">
        <v>1218.24</v>
      </c>
    </row>
    <row r="3474" spans="2:12" x14ac:dyDescent="0.3">
      <c r="B3474" s="25">
        <v>3493</v>
      </c>
      <c r="C3474" s="33" t="s">
        <v>1705</v>
      </c>
      <c r="D3474" s="33" t="s">
        <v>426</v>
      </c>
      <c r="E3474" s="35">
        <v>45077</v>
      </c>
      <c r="F3474" s="33">
        <v>2</v>
      </c>
      <c r="G3474" s="33" t="s">
        <v>628</v>
      </c>
      <c r="H3474" s="33" t="s">
        <v>70</v>
      </c>
      <c r="I3474" s="33" t="s">
        <v>75</v>
      </c>
      <c r="J3474" s="34">
        <v>5764.2</v>
      </c>
      <c r="K3474" s="34"/>
      <c r="L3474" s="34">
        <v>5764.2</v>
      </c>
    </row>
    <row r="3475" spans="2:12" x14ac:dyDescent="0.3">
      <c r="B3475" s="25">
        <v>3494</v>
      </c>
      <c r="C3475" s="33" t="s">
        <v>1706</v>
      </c>
      <c r="D3475" s="33" t="s">
        <v>675</v>
      </c>
      <c r="E3475" s="35">
        <v>45077</v>
      </c>
      <c r="F3475" s="33">
        <v>2</v>
      </c>
      <c r="G3475" s="33" t="s">
        <v>628</v>
      </c>
      <c r="H3475" s="33" t="s">
        <v>70</v>
      </c>
      <c r="I3475" s="33" t="s">
        <v>75</v>
      </c>
      <c r="J3475" s="34">
        <v>10425.15</v>
      </c>
      <c r="K3475" s="34"/>
      <c r="L3475" s="34">
        <v>10425.15</v>
      </c>
    </row>
    <row r="3476" spans="2:12" x14ac:dyDescent="0.3">
      <c r="B3476" s="25">
        <v>3495</v>
      </c>
      <c r="C3476" s="33">
        <v>52458</v>
      </c>
      <c r="D3476" s="33" t="s">
        <v>394</v>
      </c>
      <c r="E3476" s="35">
        <v>45103</v>
      </c>
      <c r="F3476" s="33">
        <v>2</v>
      </c>
      <c r="G3476" s="33" t="s">
        <v>122</v>
      </c>
      <c r="H3476" s="33" t="s">
        <v>73</v>
      </c>
      <c r="I3476" s="33" t="s">
        <v>196</v>
      </c>
      <c r="J3476" s="34">
        <v>161.5</v>
      </c>
      <c r="K3476" s="34"/>
      <c r="L3476" s="34">
        <v>161.5</v>
      </c>
    </row>
    <row r="3477" spans="2:12" x14ac:dyDescent="0.3">
      <c r="B3477" s="25">
        <v>3496</v>
      </c>
      <c r="C3477" s="33" t="s">
        <v>1707</v>
      </c>
      <c r="D3477" s="33" t="s">
        <v>369</v>
      </c>
      <c r="E3477" s="35">
        <v>45106</v>
      </c>
      <c r="F3477" s="33">
        <v>2</v>
      </c>
      <c r="G3477" s="33" t="s">
        <v>124</v>
      </c>
      <c r="H3477" s="33">
        <v>53</v>
      </c>
      <c r="I3477" s="33" t="s">
        <v>197</v>
      </c>
      <c r="J3477" s="34">
        <v>5652.2</v>
      </c>
      <c r="K3477" s="34"/>
      <c r="L3477" s="34">
        <v>5652.2</v>
      </c>
    </row>
    <row r="3478" spans="2:12" x14ac:dyDescent="0.3">
      <c r="B3478" s="25">
        <v>3497</v>
      </c>
      <c r="C3478" s="33">
        <v>52599</v>
      </c>
      <c r="D3478" s="33" t="s">
        <v>394</v>
      </c>
      <c r="E3478" s="35">
        <v>45113</v>
      </c>
      <c r="F3478" s="33">
        <v>3</v>
      </c>
      <c r="G3478" s="33" t="s">
        <v>122</v>
      </c>
      <c r="H3478" s="33" t="s">
        <v>73</v>
      </c>
      <c r="I3478" s="33" t="s">
        <v>196</v>
      </c>
      <c r="J3478" s="34">
        <v>2864.5</v>
      </c>
      <c r="K3478" s="34"/>
      <c r="L3478" s="34">
        <v>2864.5</v>
      </c>
    </row>
    <row r="3479" spans="2:12" x14ac:dyDescent="0.3">
      <c r="B3479" s="25">
        <v>3498</v>
      </c>
      <c r="C3479" s="33">
        <v>52600</v>
      </c>
      <c r="D3479" s="33" t="s">
        <v>369</v>
      </c>
      <c r="E3479" s="35">
        <v>45113</v>
      </c>
      <c r="F3479" s="33">
        <v>3</v>
      </c>
      <c r="G3479" s="33" t="s">
        <v>124</v>
      </c>
      <c r="H3479" s="33">
        <v>53</v>
      </c>
      <c r="I3479" s="33" t="s">
        <v>197</v>
      </c>
      <c r="J3479" s="34">
        <v>3.39</v>
      </c>
      <c r="K3479" s="34"/>
      <c r="L3479" s="34">
        <v>3.39</v>
      </c>
    </row>
    <row r="3480" spans="2:12" x14ac:dyDescent="0.3">
      <c r="B3480" s="25">
        <v>3499</v>
      </c>
      <c r="C3480" s="33">
        <v>52540</v>
      </c>
      <c r="D3480" s="33" t="s">
        <v>411</v>
      </c>
      <c r="E3480" s="35">
        <v>45106</v>
      </c>
      <c r="F3480" s="33">
        <v>2</v>
      </c>
      <c r="G3480" s="33" t="s">
        <v>122</v>
      </c>
      <c r="H3480" s="33">
        <v>53</v>
      </c>
      <c r="I3480" s="33" t="s">
        <v>196</v>
      </c>
      <c r="J3480" s="34">
        <v>314</v>
      </c>
      <c r="K3480" s="34"/>
      <c r="L3480" s="34">
        <v>314</v>
      </c>
    </row>
    <row r="3481" spans="2:12" x14ac:dyDescent="0.3">
      <c r="B3481" s="25">
        <v>3500</v>
      </c>
      <c r="C3481" s="33">
        <v>52545</v>
      </c>
      <c r="D3481" s="33" t="s">
        <v>281</v>
      </c>
      <c r="E3481" s="35">
        <v>45106</v>
      </c>
      <c r="F3481" s="33">
        <v>2</v>
      </c>
      <c r="G3481" s="33" t="s">
        <v>124</v>
      </c>
      <c r="H3481" s="33">
        <v>53</v>
      </c>
      <c r="I3481" s="33" t="s">
        <v>197</v>
      </c>
      <c r="J3481" s="34">
        <v>580.5</v>
      </c>
      <c r="K3481" s="34"/>
      <c r="L3481" s="34">
        <v>580.5</v>
      </c>
    </row>
    <row r="3482" spans="2:12" x14ac:dyDescent="0.3">
      <c r="B3482" s="25">
        <v>3501</v>
      </c>
      <c r="C3482" s="33">
        <v>52602</v>
      </c>
      <c r="D3482" s="33" t="s">
        <v>412</v>
      </c>
      <c r="E3482" s="35">
        <v>45113</v>
      </c>
      <c r="F3482" s="33">
        <v>3</v>
      </c>
      <c r="G3482" s="33" t="s">
        <v>231</v>
      </c>
      <c r="H3482" s="33" t="s">
        <v>73</v>
      </c>
      <c r="I3482" s="33" t="s">
        <v>198</v>
      </c>
      <c r="J3482" s="34">
        <v>1857.49</v>
      </c>
      <c r="K3482" s="34"/>
      <c r="L3482" s="34">
        <v>1857.49</v>
      </c>
    </row>
    <row r="3483" spans="2:12" x14ac:dyDescent="0.3">
      <c r="B3483" s="25">
        <v>3502</v>
      </c>
      <c r="C3483" s="33">
        <v>52603</v>
      </c>
      <c r="D3483" s="33" t="s">
        <v>413</v>
      </c>
      <c r="E3483" s="35">
        <v>45113</v>
      </c>
      <c r="F3483" s="33">
        <v>3</v>
      </c>
      <c r="G3483" s="33" t="s">
        <v>122</v>
      </c>
      <c r="H3483" s="33" t="s">
        <v>73</v>
      </c>
      <c r="I3483" s="33" t="s">
        <v>196</v>
      </c>
      <c r="J3483" s="34">
        <v>4098</v>
      </c>
      <c r="K3483" s="34"/>
      <c r="L3483" s="34">
        <v>4098</v>
      </c>
    </row>
    <row r="3484" spans="2:12" x14ac:dyDescent="0.3">
      <c r="B3484" s="25">
        <v>3503</v>
      </c>
      <c r="C3484" s="33">
        <v>36077</v>
      </c>
      <c r="D3484" s="33" t="s">
        <v>449</v>
      </c>
      <c r="E3484" s="35">
        <v>45106</v>
      </c>
      <c r="F3484" s="33">
        <v>2</v>
      </c>
      <c r="G3484" s="33" t="s">
        <v>628</v>
      </c>
      <c r="H3484" s="33" t="s">
        <v>72</v>
      </c>
      <c r="I3484" s="33" t="s">
        <v>75</v>
      </c>
      <c r="J3484" s="34">
        <v>1874</v>
      </c>
      <c r="K3484" s="34">
        <v>110</v>
      </c>
      <c r="L3484" s="34">
        <v>1764</v>
      </c>
    </row>
    <row r="3485" spans="2:12" x14ac:dyDescent="0.3">
      <c r="B3485" s="25">
        <v>3504</v>
      </c>
      <c r="C3485" s="33">
        <v>36089</v>
      </c>
      <c r="D3485" s="33" t="s">
        <v>1708</v>
      </c>
      <c r="E3485" s="35">
        <v>45107</v>
      </c>
      <c r="F3485" s="33">
        <v>2</v>
      </c>
      <c r="G3485" s="33" t="s">
        <v>122</v>
      </c>
      <c r="H3485" s="33" t="s">
        <v>72</v>
      </c>
      <c r="I3485" s="33" t="s">
        <v>196</v>
      </c>
      <c r="J3485" s="34">
        <v>21420</v>
      </c>
      <c r="K3485" s="34"/>
      <c r="L3485" s="34">
        <v>21420</v>
      </c>
    </row>
    <row r="3486" spans="2:12" x14ac:dyDescent="0.3">
      <c r="B3486" s="25">
        <v>3505</v>
      </c>
      <c r="C3486" s="33" t="s">
        <v>1709</v>
      </c>
      <c r="D3486" s="33" t="s">
        <v>1626</v>
      </c>
      <c r="E3486" s="35">
        <v>45028</v>
      </c>
      <c r="F3486" s="33">
        <v>2</v>
      </c>
      <c r="G3486" s="33" t="s">
        <v>628</v>
      </c>
      <c r="H3486" s="33" t="s">
        <v>629</v>
      </c>
      <c r="I3486" s="33" t="s">
        <v>75</v>
      </c>
      <c r="J3486" s="34">
        <v>6360.5</v>
      </c>
      <c r="K3486" s="34"/>
      <c r="L3486" s="34">
        <v>6360.5</v>
      </c>
    </row>
    <row r="3487" spans="2:12" x14ac:dyDescent="0.3">
      <c r="B3487" s="25">
        <v>3506</v>
      </c>
      <c r="C3487" s="33" t="s">
        <v>1710</v>
      </c>
      <c r="D3487" s="33" t="s">
        <v>1711</v>
      </c>
      <c r="E3487" s="35">
        <v>45044</v>
      </c>
      <c r="F3487" s="33">
        <v>2</v>
      </c>
      <c r="G3487" s="33" t="s">
        <v>124</v>
      </c>
      <c r="H3487" s="33" t="s">
        <v>629</v>
      </c>
      <c r="I3487" s="33" t="s">
        <v>197</v>
      </c>
      <c r="J3487" s="34">
        <v>6233</v>
      </c>
      <c r="K3487" s="34"/>
      <c r="L3487" s="34">
        <v>6233</v>
      </c>
    </row>
    <row r="3488" spans="2:12" x14ac:dyDescent="0.3">
      <c r="B3488" s="25">
        <v>3507</v>
      </c>
      <c r="C3488" s="33" t="s">
        <v>1712</v>
      </c>
      <c r="D3488" s="33" t="s">
        <v>1713</v>
      </c>
      <c r="E3488" s="35">
        <v>45054</v>
      </c>
      <c r="F3488" s="33">
        <v>2</v>
      </c>
      <c r="G3488" s="33" t="s">
        <v>124</v>
      </c>
      <c r="H3488" s="33" t="s">
        <v>629</v>
      </c>
      <c r="I3488" s="33" t="s">
        <v>197</v>
      </c>
      <c r="J3488" s="34">
        <v>28635</v>
      </c>
      <c r="K3488" s="34"/>
      <c r="L3488" s="34">
        <v>28635</v>
      </c>
    </row>
    <row r="3489" spans="2:12" x14ac:dyDescent="0.3">
      <c r="B3489" s="25">
        <v>3508</v>
      </c>
      <c r="C3489" s="33" t="s">
        <v>1714</v>
      </c>
      <c r="D3489" s="33" t="s">
        <v>623</v>
      </c>
      <c r="E3489" s="35">
        <v>45057</v>
      </c>
      <c r="F3489" s="33">
        <v>2</v>
      </c>
      <c r="G3489" s="33" t="s">
        <v>122</v>
      </c>
      <c r="H3489" s="33" t="s">
        <v>629</v>
      </c>
      <c r="I3489" s="33" t="s">
        <v>196</v>
      </c>
      <c r="J3489" s="34">
        <v>3572</v>
      </c>
      <c r="K3489" s="34"/>
      <c r="L3489" s="34">
        <v>3572</v>
      </c>
    </row>
    <row r="3490" spans="2:12" x14ac:dyDescent="0.3">
      <c r="B3490" s="25">
        <v>3509</v>
      </c>
      <c r="C3490" s="33" t="s">
        <v>1715</v>
      </c>
      <c r="D3490" s="33" t="s">
        <v>489</v>
      </c>
      <c r="E3490" s="35">
        <v>45096</v>
      </c>
      <c r="F3490" s="33">
        <v>2</v>
      </c>
      <c r="G3490" s="33" t="s">
        <v>628</v>
      </c>
      <c r="H3490" s="33" t="s">
        <v>629</v>
      </c>
      <c r="I3490" s="33" t="s">
        <v>75</v>
      </c>
      <c r="J3490" s="34">
        <v>4317</v>
      </c>
      <c r="K3490" s="34">
        <v>205</v>
      </c>
      <c r="L3490" s="34">
        <v>4112</v>
      </c>
    </row>
    <row r="3491" spans="2:12" x14ac:dyDescent="0.3">
      <c r="B3491" s="25">
        <v>3510</v>
      </c>
      <c r="C3491" s="33" t="s">
        <v>1716</v>
      </c>
      <c r="D3491" s="33" t="s">
        <v>1717</v>
      </c>
      <c r="E3491" s="35">
        <v>45110</v>
      </c>
      <c r="F3491" s="33">
        <v>3</v>
      </c>
      <c r="G3491" s="33" t="s">
        <v>122</v>
      </c>
      <c r="H3491" s="33" t="s">
        <v>629</v>
      </c>
      <c r="I3491" s="33" t="s">
        <v>196</v>
      </c>
      <c r="J3491" s="34">
        <v>-1728</v>
      </c>
      <c r="K3491" s="34"/>
      <c r="L3491" s="34">
        <v>-1728</v>
      </c>
    </row>
    <row r="3492" spans="2:12" x14ac:dyDescent="0.3">
      <c r="B3492" s="25">
        <v>3511</v>
      </c>
      <c r="C3492" s="33">
        <v>2764</v>
      </c>
      <c r="D3492" s="33" t="s">
        <v>1718</v>
      </c>
      <c r="E3492" s="35">
        <v>45106</v>
      </c>
      <c r="F3492" s="33">
        <v>2</v>
      </c>
      <c r="G3492" s="33" t="s">
        <v>122</v>
      </c>
      <c r="H3492" s="33" t="s">
        <v>71</v>
      </c>
      <c r="I3492" s="33" t="s">
        <v>196</v>
      </c>
      <c r="J3492" s="34">
        <v>6535.25</v>
      </c>
      <c r="K3492" s="34"/>
      <c r="L3492" s="34">
        <v>6535.25</v>
      </c>
    </row>
    <row r="3493" spans="2:12" x14ac:dyDescent="0.3">
      <c r="B3493" s="25">
        <v>3512</v>
      </c>
      <c r="C3493" s="33">
        <v>5132</v>
      </c>
      <c r="D3493" s="33" t="s">
        <v>1719</v>
      </c>
      <c r="E3493" s="35">
        <v>45134</v>
      </c>
      <c r="F3493" s="33">
        <v>3</v>
      </c>
      <c r="G3493" s="33" t="s">
        <v>122</v>
      </c>
      <c r="H3493" s="33" t="s">
        <v>201</v>
      </c>
      <c r="I3493" s="33" t="s">
        <v>196</v>
      </c>
      <c r="J3493" s="34">
        <v>2678.17</v>
      </c>
      <c r="K3493" s="34">
        <v>340</v>
      </c>
      <c r="L3493" s="34">
        <v>2338.17</v>
      </c>
    </row>
    <row r="3494" spans="2:12" x14ac:dyDescent="0.3">
      <c r="B3494" s="25">
        <v>3514</v>
      </c>
      <c r="C3494" s="33">
        <v>36257</v>
      </c>
      <c r="D3494" s="33" t="s">
        <v>513</v>
      </c>
      <c r="E3494" s="35">
        <v>45155</v>
      </c>
      <c r="F3494" s="33">
        <v>3</v>
      </c>
      <c r="G3494" s="33" t="s">
        <v>122</v>
      </c>
      <c r="H3494" s="33" t="s">
        <v>72</v>
      </c>
      <c r="I3494" s="33" t="s">
        <v>196</v>
      </c>
      <c r="J3494" s="34">
        <v>976.4</v>
      </c>
      <c r="K3494" s="34"/>
      <c r="L3494" s="34">
        <v>976.4</v>
      </c>
    </row>
    <row r="3495" spans="2:12" x14ac:dyDescent="0.3">
      <c r="B3495" s="25">
        <v>3515</v>
      </c>
      <c r="C3495" s="33">
        <v>36375</v>
      </c>
      <c r="D3495" s="33" t="s">
        <v>662</v>
      </c>
      <c r="E3495" s="35">
        <v>45161</v>
      </c>
      <c r="F3495" s="33">
        <v>3</v>
      </c>
      <c r="G3495" s="33" t="s">
        <v>124</v>
      </c>
      <c r="H3495" s="33" t="s">
        <v>72</v>
      </c>
      <c r="I3495" s="33" t="s">
        <v>197</v>
      </c>
      <c r="J3495" s="34">
        <v>14806</v>
      </c>
      <c r="K3495" s="34"/>
      <c r="L3495" s="34">
        <v>14806</v>
      </c>
    </row>
    <row r="3496" spans="2:12" x14ac:dyDescent="0.3">
      <c r="B3496" s="25">
        <v>3516</v>
      </c>
      <c r="C3496" s="33">
        <v>36376</v>
      </c>
      <c r="D3496" s="33" t="s">
        <v>662</v>
      </c>
      <c r="E3496" s="35">
        <v>45161</v>
      </c>
      <c r="F3496" s="33">
        <v>3</v>
      </c>
      <c r="G3496" s="33" t="s">
        <v>124</v>
      </c>
      <c r="H3496" s="33" t="s">
        <v>72</v>
      </c>
      <c r="I3496" s="33" t="s">
        <v>197</v>
      </c>
      <c r="J3496" s="34">
        <v>18364.87</v>
      </c>
      <c r="K3496" s="34"/>
      <c r="L3496" s="34">
        <v>18364.87</v>
      </c>
    </row>
    <row r="3497" spans="2:12" x14ac:dyDescent="0.3">
      <c r="B3497" s="25">
        <v>3517</v>
      </c>
      <c r="C3497" s="33">
        <v>36296</v>
      </c>
      <c r="D3497" s="33" t="s">
        <v>892</v>
      </c>
      <c r="E3497" s="35">
        <v>45160</v>
      </c>
      <c r="F3497" s="33">
        <v>3</v>
      </c>
      <c r="G3497" s="33" t="s">
        <v>122</v>
      </c>
      <c r="H3497" s="33" t="s">
        <v>72</v>
      </c>
      <c r="I3497" s="33" t="s">
        <v>196</v>
      </c>
      <c r="J3497" s="34">
        <v>7064.2</v>
      </c>
      <c r="K3497" s="34"/>
      <c r="L3497" s="34">
        <v>7064.2</v>
      </c>
    </row>
    <row r="3498" spans="2:12" x14ac:dyDescent="0.3">
      <c r="B3498" s="25">
        <v>3518</v>
      </c>
      <c r="C3498" s="33">
        <v>36388</v>
      </c>
      <c r="D3498" s="33" t="s">
        <v>687</v>
      </c>
      <c r="E3498" s="35">
        <v>45166</v>
      </c>
      <c r="F3498" s="33">
        <v>3</v>
      </c>
      <c r="G3498" s="33" t="s">
        <v>122</v>
      </c>
      <c r="H3498" s="33" t="s">
        <v>72</v>
      </c>
      <c r="I3498" s="33" t="s">
        <v>196</v>
      </c>
      <c r="J3498" s="34">
        <v>29923.85</v>
      </c>
      <c r="K3498" s="34"/>
      <c r="L3498" s="34">
        <v>29923.85</v>
      </c>
    </row>
    <row r="3499" spans="2:12" x14ac:dyDescent="0.3">
      <c r="B3499" s="25">
        <v>3519</v>
      </c>
      <c r="C3499" s="33">
        <v>36396</v>
      </c>
      <c r="D3499" s="33" t="s">
        <v>1087</v>
      </c>
      <c r="E3499" s="35">
        <v>45166</v>
      </c>
      <c r="F3499" s="33">
        <v>3</v>
      </c>
      <c r="G3499" s="33" t="s">
        <v>122</v>
      </c>
      <c r="H3499" s="33" t="s">
        <v>72</v>
      </c>
      <c r="I3499" s="33" t="s">
        <v>196</v>
      </c>
      <c r="J3499" s="34">
        <v>311.60000000000002</v>
      </c>
      <c r="K3499" s="34"/>
      <c r="L3499" s="34">
        <v>311.60000000000002</v>
      </c>
    </row>
    <row r="3500" spans="2:12" x14ac:dyDescent="0.3">
      <c r="B3500" s="25">
        <v>3520</v>
      </c>
      <c r="C3500" s="33" t="s">
        <v>1721</v>
      </c>
      <c r="D3500" s="33" t="s">
        <v>1087</v>
      </c>
      <c r="E3500" s="35">
        <v>45169</v>
      </c>
      <c r="F3500" s="33">
        <v>3</v>
      </c>
      <c r="G3500" s="33" t="s">
        <v>122</v>
      </c>
      <c r="H3500" s="33" t="s">
        <v>72</v>
      </c>
      <c r="I3500" s="33" t="s">
        <v>196</v>
      </c>
      <c r="J3500" s="34">
        <v>-311.60000000000002</v>
      </c>
      <c r="K3500" s="34"/>
      <c r="L3500" s="34">
        <v>-311.60000000000002</v>
      </c>
    </row>
    <row r="3501" spans="2:12" x14ac:dyDescent="0.3">
      <c r="B3501" s="25">
        <v>3521</v>
      </c>
      <c r="C3501" s="33">
        <v>36431</v>
      </c>
      <c r="D3501" s="33" t="s">
        <v>1087</v>
      </c>
      <c r="E3501" s="35">
        <v>45169</v>
      </c>
      <c r="F3501" s="33">
        <v>3</v>
      </c>
      <c r="G3501" s="33" t="s">
        <v>122</v>
      </c>
      <c r="H3501" s="33" t="s">
        <v>72</v>
      </c>
      <c r="I3501" s="33" t="s">
        <v>196</v>
      </c>
      <c r="J3501" s="34">
        <v>201.6</v>
      </c>
      <c r="K3501" s="34"/>
      <c r="L3501" s="34">
        <v>201.6</v>
      </c>
    </row>
    <row r="3502" spans="2:12" x14ac:dyDescent="0.3">
      <c r="B3502" s="25">
        <v>3522</v>
      </c>
      <c r="C3502" s="33">
        <v>12928</v>
      </c>
      <c r="D3502" s="33" t="s">
        <v>1722</v>
      </c>
      <c r="E3502" s="35">
        <v>45169</v>
      </c>
      <c r="F3502" s="33">
        <v>3</v>
      </c>
      <c r="G3502" s="33" t="s">
        <v>122</v>
      </c>
      <c r="H3502" s="33" t="s">
        <v>69</v>
      </c>
      <c r="I3502" s="33" t="s">
        <v>196</v>
      </c>
      <c r="J3502" s="34">
        <v>1256.92</v>
      </c>
      <c r="K3502" s="34"/>
      <c r="L3502" s="34">
        <v>1256.92</v>
      </c>
    </row>
    <row r="3503" spans="2:12" x14ac:dyDescent="0.3">
      <c r="B3503" s="25">
        <v>3523</v>
      </c>
      <c r="C3503" s="33">
        <v>36116</v>
      </c>
      <c r="D3503" s="33" t="s">
        <v>1723</v>
      </c>
      <c r="E3503" s="35">
        <v>45110</v>
      </c>
      <c r="F3503" s="33">
        <v>3</v>
      </c>
      <c r="G3503" s="33" t="s">
        <v>122</v>
      </c>
      <c r="H3503" s="33" t="s">
        <v>72</v>
      </c>
      <c r="I3503" s="33" t="s">
        <v>196</v>
      </c>
      <c r="J3503" s="34">
        <v>10648</v>
      </c>
      <c r="K3503" s="34"/>
      <c r="L3503" s="34">
        <v>10648</v>
      </c>
    </row>
    <row r="3504" spans="2:12" x14ac:dyDescent="0.3">
      <c r="B3504" s="25">
        <v>3524</v>
      </c>
      <c r="C3504" s="33">
        <v>36117</v>
      </c>
      <c r="D3504" s="33" t="s">
        <v>1724</v>
      </c>
      <c r="E3504" s="35">
        <v>45110</v>
      </c>
      <c r="F3504" s="33">
        <v>3</v>
      </c>
      <c r="G3504" s="33" t="s">
        <v>122</v>
      </c>
      <c r="H3504" s="33" t="s">
        <v>72</v>
      </c>
      <c r="I3504" s="33" t="s">
        <v>196</v>
      </c>
      <c r="J3504" s="34">
        <v>8474</v>
      </c>
      <c r="K3504" s="34"/>
      <c r="L3504" s="34">
        <v>8474</v>
      </c>
    </row>
    <row r="3505" spans="2:12" x14ac:dyDescent="0.3">
      <c r="B3505" s="25">
        <v>3525</v>
      </c>
      <c r="C3505" s="33">
        <v>36118</v>
      </c>
      <c r="D3505" s="33" t="s">
        <v>1725</v>
      </c>
      <c r="E3505" s="35">
        <v>45110</v>
      </c>
      <c r="F3505" s="33">
        <v>3</v>
      </c>
      <c r="G3505" s="33" t="s">
        <v>122</v>
      </c>
      <c r="H3505" s="33" t="s">
        <v>72</v>
      </c>
      <c r="I3505" s="33" t="s">
        <v>196</v>
      </c>
      <c r="J3505" s="34">
        <v>10942</v>
      </c>
      <c r="K3505" s="34"/>
      <c r="L3505" s="34">
        <v>10942</v>
      </c>
    </row>
    <row r="3506" spans="2:12" x14ac:dyDescent="0.3">
      <c r="B3506" s="25">
        <v>3526</v>
      </c>
      <c r="C3506" s="33">
        <v>36255</v>
      </c>
      <c r="D3506" s="33" t="s">
        <v>1726</v>
      </c>
      <c r="E3506" s="35">
        <v>45155</v>
      </c>
      <c r="F3506" s="33">
        <v>3</v>
      </c>
      <c r="G3506" s="33" t="s">
        <v>122</v>
      </c>
      <c r="H3506" s="33" t="s">
        <v>72</v>
      </c>
      <c r="I3506" s="33" t="s">
        <v>196</v>
      </c>
      <c r="J3506" s="34">
        <v>9673</v>
      </c>
      <c r="K3506" s="34"/>
      <c r="L3506" s="34">
        <v>9673</v>
      </c>
    </row>
    <row r="3507" spans="2:12" x14ac:dyDescent="0.3">
      <c r="B3507" s="25">
        <v>3527</v>
      </c>
      <c r="C3507" s="33">
        <v>4510</v>
      </c>
      <c r="D3507" s="33" t="s">
        <v>554</v>
      </c>
      <c r="E3507" s="35">
        <v>45113</v>
      </c>
      <c r="F3507" s="33">
        <v>3</v>
      </c>
      <c r="G3507" s="33" t="s">
        <v>124</v>
      </c>
      <c r="H3507" s="33" t="s">
        <v>201</v>
      </c>
      <c r="I3507" s="33" t="s">
        <v>197</v>
      </c>
      <c r="J3507" s="34">
        <v>2035</v>
      </c>
      <c r="K3507" s="34"/>
      <c r="L3507" s="34">
        <v>2035</v>
      </c>
    </row>
    <row r="3508" spans="2:12" x14ac:dyDescent="0.3">
      <c r="B3508" s="25">
        <v>3528</v>
      </c>
      <c r="C3508" s="33">
        <v>4511</v>
      </c>
      <c r="D3508" s="33" t="s">
        <v>396</v>
      </c>
      <c r="E3508" s="35">
        <v>45113</v>
      </c>
      <c r="F3508" s="33">
        <v>3</v>
      </c>
      <c r="G3508" s="33" t="s">
        <v>122</v>
      </c>
      <c r="H3508" s="33" t="s">
        <v>201</v>
      </c>
      <c r="I3508" s="33" t="s">
        <v>196</v>
      </c>
      <c r="J3508" s="34">
        <v>1743.5</v>
      </c>
      <c r="K3508" s="34"/>
      <c r="L3508" s="34">
        <v>1743.5</v>
      </c>
    </row>
    <row r="3509" spans="2:12" x14ac:dyDescent="0.3">
      <c r="B3509" s="25">
        <v>3529</v>
      </c>
      <c r="C3509" s="33">
        <v>4512</v>
      </c>
      <c r="D3509" s="33" t="s">
        <v>563</v>
      </c>
      <c r="E3509" s="35">
        <v>45113</v>
      </c>
      <c r="F3509" s="33">
        <v>3</v>
      </c>
      <c r="G3509" s="33" t="s">
        <v>124</v>
      </c>
      <c r="H3509" s="33" t="s">
        <v>201</v>
      </c>
      <c r="I3509" s="33" t="s">
        <v>197</v>
      </c>
      <c r="J3509" s="34">
        <v>3244.58</v>
      </c>
      <c r="K3509" s="34"/>
      <c r="L3509" s="34">
        <v>3244.58</v>
      </c>
    </row>
    <row r="3510" spans="2:12" x14ac:dyDescent="0.3">
      <c r="B3510" s="25">
        <v>3530</v>
      </c>
      <c r="C3510" s="33">
        <v>4515</v>
      </c>
      <c r="D3510" s="33" t="s">
        <v>611</v>
      </c>
      <c r="E3510" s="35">
        <v>45113</v>
      </c>
      <c r="F3510" s="33">
        <v>3</v>
      </c>
      <c r="G3510" s="33" t="s">
        <v>628</v>
      </c>
      <c r="H3510" s="33" t="s">
        <v>201</v>
      </c>
      <c r="I3510" s="33" t="s">
        <v>75</v>
      </c>
      <c r="J3510" s="34">
        <v>274</v>
      </c>
      <c r="K3510" s="34">
        <v>100</v>
      </c>
      <c r="L3510" s="34">
        <v>174</v>
      </c>
    </row>
    <row r="3511" spans="2:12" x14ac:dyDescent="0.3">
      <c r="B3511" s="25">
        <v>3531</v>
      </c>
      <c r="C3511" s="33" t="s">
        <v>1727</v>
      </c>
      <c r="D3511" s="33" t="s">
        <v>556</v>
      </c>
      <c r="E3511" s="35">
        <v>45113</v>
      </c>
      <c r="F3511" s="33">
        <v>3</v>
      </c>
      <c r="G3511" s="33" t="s">
        <v>124</v>
      </c>
      <c r="H3511" s="33" t="s">
        <v>201</v>
      </c>
      <c r="I3511" s="33" t="s">
        <v>197</v>
      </c>
      <c r="J3511" s="34">
        <v>7217.21</v>
      </c>
      <c r="K3511" s="34">
        <v>93</v>
      </c>
      <c r="L3511" s="34">
        <v>7124.21</v>
      </c>
    </row>
    <row r="3512" spans="2:12" x14ac:dyDescent="0.3">
      <c r="B3512" s="25">
        <v>3532</v>
      </c>
      <c r="C3512" s="33">
        <v>4524</v>
      </c>
      <c r="D3512" s="33" t="s">
        <v>411</v>
      </c>
      <c r="E3512" s="35">
        <v>45113</v>
      </c>
      <c r="F3512" s="33">
        <v>3</v>
      </c>
      <c r="G3512" s="33" t="s">
        <v>122</v>
      </c>
      <c r="H3512" s="33" t="s">
        <v>201</v>
      </c>
      <c r="I3512" s="33" t="s">
        <v>196</v>
      </c>
      <c r="J3512" s="34">
        <v>754.38</v>
      </c>
      <c r="K3512" s="34"/>
      <c r="L3512" s="34">
        <v>754.38</v>
      </c>
    </row>
    <row r="3513" spans="2:12" x14ac:dyDescent="0.3">
      <c r="B3513" s="25">
        <v>3533</v>
      </c>
      <c r="C3513" s="33">
        <v>4527</v>
      </c>
      <c r="D3513" s="33" t="s">
        <v>823</v>
      </c>
      <c r="E3513" s="35">
        <v>45114</v>
      </c>
      <c r="F3513" s="33">
        <v>3</v>
      </c>
      <c r="G3513" s="33" t="s">
        <v>124</v>
      </c>
      <c r="H3513" s="33" t="s">
        <v>201</v>
      </c>
      <c r="I3513" s="33" t="s">
        <v>197</v>
      </c>
      <c r="J3513" s="34">
        <v>1581.6</v>
      </c>
      <c r="K3513" s="34">
        <v>60</v>
      </c>
      <c r="L3513" s="34">
        <v>1521.6</v>
      </c>
    </row>
    <row r="3514" spans="2:12" x14ac:dyDescent="0.3">
      <c r="B3514" s="25">
        <v>3534</v>
      </c>
      <c r="C3514" s="33">
        <v>4530</v>
      </c>
      <c r="D3514" s="33" t="s">
        <v>1300</v>
      </c>
      <c r="E3514" s="35">
        <v>45113</v>
      </c>
      <c r="F3514" s="33">
        <v>3</v>
      </c>
      <c r="G3514" s="33" t="s">
        <v>124</v>
      </c>
      <c r="H3514" s="33" t="s">
        <v>201</v>
      </c>
      <c r="I3514" s="33" t="s">
        <v>197</v>
      </c>
      <c r="J3514" s="34">
        <v>2289.6</v>
      </c>
      <c r="K3514" s="34"/>
      <c r="L3514" s="34">
        <v>2289.6</v>
      </c>
    </row>
    <row r="3515" spans="2:12" x14ac:dyDescent="0.3">
      <c r="B3515" s="25">
        <v>3535</v>
      </c>
      <c r="C3515" s="33">
        <v>4531</v>
      </c>
      <c r="D3515" s="33" t="s">
        <v>1728</v>
      </c>
      <c r="E3515" s="35">
        <v>45113</v>
      </c>
      <c r="F3515" s="33">
        <v>3</v>
      </c>
      <c r="G3515" s="33" t="s">
        <v>231</v>
      </c>
      <c r="H3515" s="33" t="s">
        <v>201</v>
      </c>
      <c r="I3515" s="33" t="s">
        <v>198</v>
      </c>
      <c r="J3515" s="34">
        <v>31024.44</v>
      </c>
      <c r="K3515" s="34"/>
      <c r="L3515" s="34">
        <v>31024.44</v>
      </c>
    </row>
    <row r="3516" spans="2:12" x14ac:dyDescent="0.3">
      <c r="B3516" s="25">
        <v>3536</v>
      </c>
      <c r="C3516" s="33">
        <v>4681</v>
      </c>
      <c r="D3516" s="33" t="s">
        <v>1729</v>
      </c>
      <c r="E3516" s="35">
        <v>45120</v>
      </c>
      <c r="F3516" s="33">
        <v>3</v>
      </c>
      <c r="G3516" s="33" t="s">
        <v>231</v>
      </c>
      <c r="H3516" s="33" t="s">
        <v>201</v>
      </c>
      <c r="I3516" s="33" t="s">
        <v>198</v>
      </c>
      <c r="J3516" s="34">
        <v>1160.4000000000001</v>
      </c>
      <c r="K3516" s="34"/>
      <c r="L3516" s="34">
        <v>1160.4000000000001</v>
      </c>
    </row>
    <row r="3517" spans="2:12" x14ac:dyDescent="0.3">
      <c r="B3517" s="25">
        <v>3537</v>
      </c>
      <c r="C3517" s="33">
        <v>4686</v>
      </c>
      <c r="D3517" s="33" t="s">
        <v>566</v>
      </c>
      <c r="E3517" s="35">
        <v>45120</v>
      </c>
      <c r="F3517" s="33">
        <v>3</v>
      </c>
      <c r="G3517" s="33" t="s">
        <v>122</v>
      </c>
      <c r="H3517" s="33" t="s">
        <v>201</v>
      </c>
      <c r="I3517" s="33" t="s">
        <v>196</v>
      </c>
      <c r="J3517" s="34">
        <v>1836.91</v>
      </c>
      <c r="K3517" s="34"/>
      <c r="L3517" s="34">
        <v>1836.91</v>
      </c>
    </row>
    <row r="3518" spans="2:12" x14ac:dyDescent="0.3">
      <c r="B3518" s="25">
        <v>3538</v>
      </c>
      <c r="C3518" s="33">
        <v>4687</v>
      </c>
      <c r="D3518" s="33" t="s">
        <v>584</v>
      </c>
      <c r="E3518" s="35">
        <v>45120</v>
      </c>
      <c r="F3518" s="33">
        <v>3</v>
      </c>
      <c r="G3518" s="33" t="s">
        <v>122</v>
      </c>
      <c r="H3518" s="33" t="s">
        <v>201</v>
      </c>
      <c r="I3518" s="33" t="s">
        <v>196</v>
      </c>
      <c r="J3518" s="34">
        <v>7065.5</v>
      </c>
      <c r="K3518" s="34"/>
      <c r="L3518" s="34">
        <v>7065.5</v>
      </c>
    </row>
    <row r="3519" spans="2:12" x14ac:dyDescent="0.3">
      <c r="B3519" s="25">
        <v>3539</v>
      </c>
      <c r="C3519" s="33">
        <v>4696</v>
      </c>
      <c r="D3519" s="33" t="s">
        <v>411</v>
      </c>
      <c r="E3519" s="35">
        <v>45120</v>
      </c>
      <c r="F3519" s="33">
        <v>3</v>
      </c>
      <c r="G3519" s="33" t="s">
        <v>122</v>
      </c>
      <c r="H3519" s="33" t="s">
        <v>201</v>
      </c>
      <c r="I3519" s="33" t="s">
        <v>196</v>
      </c>
      <c r="J3519" s="34">
        <v>4999.4399999999996</v>
      </c>
      <c r="K3519" s="34"/>
      <c r="L3519" s="34">
        <v>4999.4399999999996</v>
      </c>
    </row>
    <row r="3520" spans="2:12" x14ac:dyDescent="0.3">
      <c r="B3520" s="25">
        <v>3540</v>
      </c>
      <c r="C3520" s="33">
        <v>4698</v>
      </c>
      <c r="D3520" s="33" t="s">
        <v>369</v>
      </c>
      <c r="E3520" s="35">
        <v>45120</v>
      </c>
      <c r="F3520" s="33">
        <v>3</v>
      </c>
      <c r="G3520" s="33" t="s">
        <v>124</v>
      </c>
      <c r="H3520" s="33" t="s">
        <v>201</v>
      </c>
      <c r="I3520" s="33" t="s">
        <v>197</v>
      </c>
      <c r="J3520" s="34">
        <v>3935.61</v>
      </c>
      <c r="K3520" s="34"/>
      <c r="L3520" s="34">
        <v>3935.61</v>
      </c>
    </row>
    <row r="3521" spans="2:12" x14ac:dyDescent="0.3">
      <c r="B3521" s="25">
        <v>3541</v>
      </c>
      <c r="C3521" s="33">
        <v>4888</v>
      </c>
      <c r="D3521" s="33" t="s">
        <v>362</v>
      </c>
      <c r="E3521" s="35">
        <v>45127</v>
      </c>
      <c r="F3521" s="33">
        <v>3</v>
      </c>
      <c r="G3521" s="33" t="s">
        <v>124</v>
      </c>
      <c r="H3521" s="33" t="s">
        <v>201</v>
      </c>
      <c r="I3521" s="33" t="s">
        <v>197</v>
      </c>
      <c r="J3521" s="34">
        <v>1629.94</v>
      </c>
      <c r="K3521" s="34"/>
      <c r="L3521" s="34">
        <v>1629.94</v>
      </c>
    </row>
    <row r="3522" spans="2:12" x14ac:dyDescent="0.3">
      <c r="B3522" s="25">
        <v>3542</v>
      </c>
      <c r="C3522" s="33">
        <v>4908</v>
      </c>
      <c r="D3522" s="33" t="s">
        <v>759</v>
      </c>
      <c r="E3522" s="35">
        <v>45127</v>
      </c>
      <c r="F3522" s="33">
        <v>3</v>
      </c>
      <c r="G3522" s="33" t="s">
        <v>124</v>
      </c>
      <c r="H3522" s="33" t="s">
        <v>201</v>
      </c>
      <c r="I3522" s="33" t="s">
        <v>197</v>
      </c>
      <c r="J3522" s="34">
        <v>3350.4</v>
      </c>
      <c r="K3522" s="34"/>
      <c r="L3522" s="34">
        <v>3350.4</v>
      </c>
    </row>
    <row r="3523" spans="2:12" x14ac:dyDescent="0.3">
      <c r="B3523" s="25">
        <v>3543</v>
      </c>
      <c r="C3523" s="33">
        <v>4909</v>
      </c>
      <c r="D3523" s="33" t="s">
        <v>554</v>
      </c>
      <c r="E3523" s="35">
        <v>45127</v>
      </c>
      <c r="F3523" s="33">
        <v>3</v>
      </c>
      <c r="G3523" s="33" t="s">
        <v>124</v>
      </c>
      <c r="H3523" s="33" t="s">
        <v>201</v>
      </c>
      <c r="I3523" s="33" t="s">
        <v>197</v>
      </c>
      <c r="J3523" s="34">
        <v>756.7</v>
      </c>
      <c r="K3523" s="34">
        <v>100</v>
      </c>
      <c r="L3523" s="34">
        <v>656.7</v>
      </c>
    </row>
    <row r="3524" spans="2:12" x14ac:dyDescent="0.3">
      <c r="B3524" s="25">
        <v>3544</v>
      </c>
      <c r="C3524" s="33">
        <v>4911</v>
      </c>
      <c r="D3524" s="33" t="s">
        <v>566</v>
      </c>
      <c r="E3524" s="35">
        <v>45127</v>
      </c>
      <c r="F3524" s="33">
        <v>3</v>
      </c>
      <c r="G3524" s="33" t="s">
        <v>122</v>
      </c>
      <c r="H3524" s="33" t="s">
        <v>201</v>
      </c>
      <c r="I3524" s="33" t="s">
        <v>196</v>
      </c>
      <c r="J3524" s="34">
        <v>3101.94</v>
      </c>
      <c r="K3524" s="34"/>
      <c r="L3524" s="34">
        <v>3101.94</v>
      </c>
    </row>
    <row r="3525" spans="2:12" x14ac:dyDescent="0.3">
      <c r="B3525" s="25">
        <v>3545</v>
      </c>
      <c r="C3525" s="33">
        <v>4913</v>
      </c>
      <c r="D3525" s="33" t="s">
        <v>584</v>
      </c>
      <c r="E3525" s="35">
        <v>45127</v>
      </c>
      <c r="F3525" s="33">
        <v>3</v>
      </c>
      <c r="G3525" s="33" t="s">
        <v>122</v>
      </c>
      <c r="H3525" s="33" t="s">
        <v>201</v>
      </c>
      <c r="I3525" s="33" t="s">
        <v>196</v>
      </c>
      <c r="J3525" s="34">
        <v>2048.41</v>
      </c>
      <c r="K3525" s="34"/>
      <c r="L3525" s="34">
        <v>2048.41</v>
      </c>
    </row>
    <row r="3526" spans="2:12" x14ac:dyDescent="0.3">
      <c r="B3526" s="25">
        <v>3546</v>
      </c>
      <c r="C3526" s="33">
        <v>4914</v>
      </c>
      <c r="D3526" s="33" t="s">
        <v>584</v>
      </c>
      <c r="E3526" s="35">
        <v>45127</v>
      </c>
      <c r="F3526" s="33">
        <v>3</v>
      </c>
      <c r="G3526" s="33" t="s">
        <v>122</v>
      </c>
      <c r="H3526" s="33" t="s">
        <v>201</v>
      </c>
      <c r="I3526" s="33" t="s">
        <v>196</v>
      </c>
      <c r="J3526" s="34">
        <v>1919.28</v>
      </c>
      <c r="K3526" s="34"/>
      <c r="L3526" s="34">
        <v>1919.28</v>
      </c>
    </row>
    <row r="3527" spans="2:12" x14ac:dyDescent="0.3">
      <c r="B3527" s="25">
        <v>3547</v>
      </c>
      <c r="C3527" s="33" t="s">
        <v>1730</v>
      </c>
      <c r="D3527" s="33" t="s">
        <v>411</v>
      </c>
      <c r="E3527" s="35">
        <v>45127</v>
      </c>
      <c r="F3527" s="33">
        <v>3</v>
      </c>
      <c r="G3527" s="33" t="s">
        <v>122</v>
      </c>
      <c r="H3527" s="33" t="s">
        <v>201</v>
      </c>
      <c r="I3527" s="33" t="s">
        <v>196</v>
      </c>
      <c r="J3527" s="34">
        <v>2664.09</v>
      </c>
      <c r="K3527" s="34"/>
      <c r="L3527" s="34">
        <v>2664.09</v>
      </c>
    </row>
    <row r="3528" spans="2:12" x14ac:dyDescent="0.3">
      <c r="B3528" s="25">
        <v>3548</v>
      </c>
      <c r="C3528" s="33" t="s">
        <v>1731</v>
      </c>
      <c r="D3528" s="33" t="s">
        <v>283</v>
      </c>
      <c r="E3528" s="35">
        <v>45127</v>
      </c>
      <c r="F3528" s="33">
        <v>3</v>
      </c>
      <c r="G3528" s="33" t="s">
        <v>124</v>
      </c>
      <c r="H3528" s="33" t="s">
        <v>201</v>
      </c>
      <c r="I3528" s="33" t="s">
        <v>197</v>
      </c>
      <c r="J3528" s="34">
        <v>2774.4</v>
      </c>
      <c r="K3528" s="34"/>
      <c r="L3528" s="34">
        <v>2774.4</v>
      </c>
    </row>
    <row r="3529" spans="2:12" x14ac:dyDescent="0.3">
      <c r="B3529" s="25">
        <v>3549</v>
      </c>
      <c r="C3529" s="33">
        <v>4919</v>
      </c>
      <c r="D3529" s="33" t="s">
        <v>280</v>
      </c>
      <c r="E3529" s="35">
        <v>45127</v>
      </c>
      <c r="F3529" s="33">
        <v>3</v>
      </c>
      <c r="G3529" s="33" t="s">
        <v>124</v>
      </c>
      <c r="H3529" s="33" t="s">
        <v>201</v>
      </c>
      <c r="I3529" s="33" t="s">
        <v>197</v>
      </c>
      <c r="J3529" s="34">
        <v>1947.6</v>
      </c>
      <c r="K3529" s="34"/>
      <c r="L3529" s="34">
        <v>1947.6</v>
      </c>
    </row>
    <row r="3530" spans="2:12" x14ac:dyDescent="0.3">
      <c r="B3530" s="25">
        <v>3550</v>
      </c>
      <c r="C3530" s="33" t="s">
        <v>1732</v>
      </c>
      <c r="D3530" s="33" t="s">
        <v>426</v>
      </c>
      <c r="E3530" s="35">
        <v>45127</v>
      </c>
      <c r="F3530" s="33">
        <v>3</v>
      </c>
      <c r="G3530" s="33" t="s">
        <v>628</v>
      </c>
      <c r="H3530" s="33" t="s">
        <v>201</v>
      </c>
      <c r="I3530" s="33" t="s">
        <v>75</v>
      </c>
      <c r="J3530" s="34">
        <v>1092</v>
      </c>
      <c r="K3530" s="34"/>
      <c r="L3530" s="34">
        <v>1092</v>
      </c>
    </row>
    <row r="3531" spans="2:12" x14ac:dyDescent="0.3">
      <c r="B3531" s="25">
        <v>3551</v>
      </c>
      <c r="C3531" s="33">
        <v>4922</v>
      </c>
      <c r="D3531" s="33" t="s">
        <v>470</v>
      </c>
      <c r="E3531" s="35">
        <v>45127</v>
      </c>
      <c r="F3531" s="33">
        <v>3</v>
      </c>
      <c r="G3531" s="33" t="s">
        <v>628</v>
      </c>
      <c r="H3531" s="33" t="s">
        <v>201</v>
      </c>
      <c r="I3531" s="33" t="s">
        <v>75</v>
      </c>
      <c r="J3531" s="34">
        <v>2462.4</v>
      </c>
      <c r="K3531" s="34"/>
      <c r="L3531" s="34">
        <v>2462.4</v>
      </c>
    </row>
    <row r="3532" spans="2:12" x14ac:dyDescent="0.3">
      <c r="B3532" s="25">
        <v>3552</v>
      </c>
      <c r="C3532" s="33">
        <v>5111</v>
      </c>
      <c r="D3532" s="33" t="s">
        <v>561</v>
      </c>
      <c r="E3532" s="35">
        <v>45134</v>
      </c>
      <c r="F3532" s="33">
        <v>3</v>
      </c>
      <c r="G3532" s="33" t="s">
        <v>124</v>
      </c>
      <c r="H3532" s="33" t="s">
        <v>201</v>
      </c>
      <c r="I3532" s="33" t="s">
        <v>197</v>
      </c>
      <c r="J3532" s="34">
        <v>2246.75</v>
      </c>
      <c r="K3532" s="34"/>
      <c r="L3532" s="34">
        <v>2246.75</v>
      </c>
    </row>
    <row r="3533" spans="2:12" x14ac:dyDescent="0.3">
      <c r="B3533" s="25">
        <v>3553</v>
      </c>
      <c r="C3533" s="33">
        <v>5113</v>
      </c>
      <c r="D3533" s="33" t="s">
        <v>394</v>
      </c>
      <c r="E3533" s="35">
        <v>45134</v>
      </c>
      <c r="F3533" s="33">
        <v>3</v>
      </c>
      <c r="G3533" s="33" t="s">
        <v>122</v>
      </c>
      <c r="H3533" s="33" t="s">
        <v>201</v>
      </c>
      <c r="I3533" s="33" t="s">
        <v>196</v>
      </c>
      <c r="J3533" s="34">
        <v>3788.4</v>
      </c>
      <c r="K3533" s="34"/>
      <c r="L3533" s="34">
        <v>3788.4</v>
      </c>
    </row>
    <row r="3534" spans="2:12" x14ac:dyDescent="0.3">
      <c r="B3534" s="25">
        <v>3554</v>
      </c>
      <c r="C3534" s="33">
        <v>5117</v>
      </c>
      <c r="D3534" s="33" t="s">
        <v>473</v>
      </c>
      <c r="E3534" s="35">
        <v>45134</v>
      </c>
      <c r="F3534" s="33">
        <v>3</v>
      </c>
      <c r="G3534" s="33" t="s">
        <v>122</v>
      </c>
      <c r="H3534" s="33" t="s">
        <v>201</v>
      </c>
      <c r="I3534" s="33" t="s">
        <v>196</v>
      </c>
      <c r="J3534" s="34">
        <v>417.32</v>
      </c>
      <c r="K3534" s="34"/>
      <c r="L3534" s="34">
        <v>417.32</v>
      </c>
    </row>
    <row r="3535" spans="2:12" x14ac:dyDescent="0.3">
      <c r="B3535" s="25">
        <v>3555</v>
      </c>
      <c r="C3535" s="33">
        <v>5119</v>
      </c>
      <c r="D3535" s="33" t="s">
        <v>565</v>
      </c>
      <c r="E3535" s="35">
        <v>45134</v>
      </c>
      <c r="F3535" s="33">
        <v>3</v>
      </c>
      <c r="G3535" s="33" t="s">
        <v>124</v>
      </c>
      <c r="H3535" s="33" t="s">
        <v>201</v>
      </c>
      <c r="I3535" s="33" t="s">
        <v>197</v>
      </c>
      <c r="J3535" s="34">
        <v>1405.8</v>
      </c>
      <c r="K3535" s="34"/>
      <c r="L3535" s="34">
        <v>1405.8</v>
      </c>
    </row>
    <row r="3536" spans="2:12" x14ac:dyDescent="0.3">
      <c r="B3536" s="25">
        <v>3556</v>
      </c>
      <c r="C3536" s="33">
        <v>5121</v>
      </c>
      <c r="D3536" s="33" t="s">
        <v>852</v>
      </c>
      <c r="E3536" s="35">
        <v>45134</v>
      </c>
      <c r="F3536" s="33">
        <v>3</v>
      </c>
      <c r="G3536" s="33" t="s">
        <v>124</v>
      </c>
      <c r="H3536" s="33" t="s">
        <v>201</v>
      </c>
      <c r="I3536" s="33" t="s">
        <v>197</v>
      </c>
      <c r="J3536" s="34">
        <v>153.12</v>
      </c>
      <c r="K3536" s="34"/>
      <c r="L3536" s="34">
        <v>153.12</v>
      </c>
    </row>
    <row r="3537" spans="2:12" x14ac:dyDescent="0.3">
      <c r="B3537" s="25">
        <v>3557</v>
      </c>
      <c r="C3537" s="33">
        <v>5122</v>
      </c>
      <c r="D3537" s="33" t="s">
        <v>558</v>
      </c>
      <c r="E3537" s="35">
        <v>45134</v>
      </c>
      <c r="F3537" s="33">
        <v>3</v>
      </c>
      <c r="G3537" s="33" t="s">
        <v>124</v>
      </c>
      <c r="H3537" s="33" t="s">
        <v>201</v>
      </c>
      <c r="I3537" s="33" t="s">
        <v>197</v>
      </c>
      <c r="J3537" s="34">
        <v>6851.72</v>
      </c>
      <c r="K3537" s="34">
        <v>125</v>
      </c>
      <c r="L3537" s="34">
        <v>6726.72</v>
      </c>
    </row>
    <row r="3538" spans="2:12" x14ac:dyDescent="0.3">
      <c r="B3538" s="25">
        <v>3558</v>
      </c>
      <c r="C3538" s="33" t="s">
        <v>1733</v>
      </c>
      <c r="D3538" s="33" t="s">
        <v>562</v>
      </c>
      <c r="E3538" s="35">
        <v>45134</v>
      </c>
      <c r="F3538" s="33">
        <v>3</v>
      </c>
      <c r="G3538" s="33" t="s">
        <v>231</v>
      </c>
      <c r="H3538" s="33" t="s">
        <v>201</v>
      </c>
      <c r="I3538" s="33" t="s">
        <v>198</v>
      </c>
      <c r="J3538" s="34">
        <v>430</v>
      </c>
      <c r="K3538" s="34">
        <v>100</v>
      </c>
      <c r="L3538" s="34">
        <v>330</v>
      </c>
    </row>
    <row r="3539" spans="2:12" x14ac:dyDescent="0.3">
      <c r="B3539" s="25">
        <v>3559</v>
      </c>
      <c r="C3539" s="33" t="s">
        <v>1734</v>
      </c>
      <c r="D3539" s="33" t="s">
        <v>362</v>
      </c>
      <c r="E3539" s="35">
        <v>45134</v>
      </c>
      <c r="F3539" s="33">
        <v>3</v>
      </c>
      <c r="G3539" s="33" t="s">
        <v>124</v>
      </c>
      <c r="H3539" s="33" t="s">
        <v>201</v>
      </c>
      <c r="I3539" s="33" t="s">
        <v>197</v>
      </c>
      <c r="J3539" s="34">
        <v>1990.2</v>
      </c>
      <c r="K3539" s="34"/>
      <c r="L3539" s="34">
        <v>1990.2</v>
      </c>
    </row>
    <row r="3540" spans="2:12" x14ac:dyDescent="0.3">
      <c r="B3540" s="25">
        <v>3560</v>
      </c>
      <c r="C3540" s="33">
        <v>5134</v>
      </c>
      <c r="D3540" s="33" t="s">
        <v>362</v>
      </c>
      <c r="E3540" s="35">
        <v>45134</v>
      </c>
      <c r="F3540" s="33">
        <v>3</v>
      </c>
      <c r="G3540" s="33" t="s">
        <v>124</v>
      </c>
      <c r="H3540" s="33" t="s">
        <v>201</v>
      </c>
      <c r="I3540" s="33" t="s">
        <v>197</v>
      </c>
      <c r="J3540" s="34">
        <v>683.76</v>
      </c>
      <c r="K3540" s="34"/>
      <c r="L3540" s="34">
        <v>683.76</v>
      </c>
    </row>
    <row r="3541" spans="2:12" x14ac:dyDescent="0.3">
      <c r="B3541" s="25">
        <v>3561</v>
      </c>
      <c r="C3541" s="33">
        <v>5136</v>
      </c>
      <c r="D3541" s="33" t="s">
        <v>411</v>
      </c>
      <c r="E3541" s="35">
        <v>45134</v>
      </c>
      <c r="F3541" s="33">
        <v>3</v>
      </c>
      <c r="G3541" s="33" t="s">
        <v>122</v>
      </c>
      <c r="H3541" s="33" t="s">
        <v>201</v>
      </c>
      <c r="I3541" s="33" t="s">
        <v>196</v>
      </c>
      <c r="J3541" s="34">
        <v>4897.53</v>
      </c>
      <c r="K3541" s="34"/>
      <c r="L3541" s="34">
        <v>4897.53</v>
      </c>
    </row>
    <row r="3542" spans="2:12" x14ac:dyDescent="0.3">
      <c r="B3542" s="25">
        <v>3562</v>
      </c>
      <c r="C3542" s="33">
        <v>5140</v>
      </c>
      <c r="D3542" s="33" t="s">
        <v>826</v>
      </c>
      <c r="E3542" s="35">
        <v>45134</v>
      </c>
      <c r="F3542" s="33">
        <v>3</v>
      </c>
      <c r="G3542" s="33" t="s">
        <v>122</v>
      </c>
      <c r="H3542" s="33" t="s">
        <v>201</v>
      </c>
      <c r="I3542" s="33" t="s">
        <v>196</v>
      </c>
      <c r="J3542" s="34">
        <v>4015</v>
      </c>
      <c r="K3542" s="34"/>
      <c r="L3542" s="34">
        <v>4015</v>
      </c>
    </row>
    <row r="3543" spans="2:12" x14ac:dyDescent="0.3">
      <c r="B3543" s="25">
        <v>3563</v>
      </c>
      <c r="C3543" s="33">
        <v>5646</v>
      </c>
      <c r="D3543" s="33" t="s">
        <v>1145</v>
      </c>
      <c r="E3543" s="35">
        <v>45169</v>
      </c>
      <c r="F3543" s="33">
        <v>3</v>
      </c>
      <c r="G3543" s="33" t="s">
        <v>124</v>
      </c>
      <c r="H3543" s="33" t="s">
        <v>201</v>
      </c>
      <c r="I3543" s="33" t="s">
        <v>197</v>
      </c>
      <c r="J3543" s="34">
        <v>500</v>
      </c>
      <c r="K3543" s="34"/>
      <c r="L3543" s="34">
        <v>500</v>
      </c>
    </row>
    <row r="3544" spans="2:12" x14ac:dyDescent="0.3">
      <c r="B3544" s="25">
        <v>3564</v>
      </c>
      <c r="C3544" s="33">
        <v>5643</v>
      </c>
      <c r="D3544" s="33" t="s">
        <v>602</v>
      </c>
      <c r="E3544" s="35">
        <v>45169</v>
      </c>
      <c r="F3544" s="33">
        <v>3</v>
      </c>
      <c r="G3544" s="33" t="s">
        <v>628</v>
      </c>
      <c r="H3544" s="33" t="s">
        <v>201</v>
      </c>
      <c r="I3544" s="33" t="s">
        <v>75</v>
      </c>
      <c r="J3544" s="34">
        <v>950</v>
      </c>
      <c r="K3544" s="34"/>
      <c r="L3544" s="34">
        <v>950</v>
      </c>
    </row>
    <row r="3545" spans="2:12" x14ac:dyDescent="0.3">
      <c r="B3545" s="25">
        <v>3565</v>
      </c>
      <c r="C3545" s="33" t="s">
        <v>1735</v>
      </c>
      <c r="D3545" s="33" t="s">
        <v>401</v>
      </c>
      <c r="E3545" s="35">
        <v>45169</v>
      </c>
      <c r="F3545" s="33">
        <v>3</v>
      </c>
      <c r="G3545" s="33" t="s">
        <v>231</v>
      </c>
      <c r="H3545" s="33" t="s">
        <v>201</v>
      </c>
      <c r="I3545" s="33" t="s">
        <v>198</v>
      </c>
      <c r="J3545" s="34">
        <v>2222.88</v>
      </c>
      <c r="K3545" s="34"/>
      <c r="L3545" s="34">
        <v>2222.88</v>
      </c>
    </row>
    <row r="3546" spans="2:12" x14ac:dyDescent="0.3">
      <c r="B3546" s="25">
        <v>3566</v>
      </c>
      <c r="C3546" s="33" t="s">
        <v>1736</v>
      </c>
      <c r="D3546" s="33" t="s">
        <v>1737</v>
      </c>
      <c r="E3546" s="35">
        <v>45169</v>
      </c>
      <c r="F3546" s="33">
        <v>3</v>
      </c>
      <c r="G3546" s="33" t="s">
        <v>124</v>
      </c>
      <c r="H3546" s="33" t="s">
        <v>201</v>
      </c>
      <c r="I3546" s="33" t="s">
        <v>197</v>
      </c>
      <c r="J3546" s="34">
        <v>6093.94</v>
      </c>
      <c r="K3546" s="34"/>
      <c r="L3546" s="34">
        <v>6093.94</v>
      </c>
    </row>
    <row r="3547" spans="2:12" x14ac:dyDescent="0.3">
      <c r="B3547" s="25">
        <v>3567</v>
      </c>
      <c r="C3547" s="33" t="s">
        <v>1738</v>
      </c>
      <c r="D3547" s="33" t="s">
        <v>1739</v>
      </c>
      <c r="E3547" s="35">
        <v>45169</v>
      </c>
      <c r="F3547" s="33">
        <v>3</v>
      </c>
      <c r="G3547" s="33" t="s">
        <v>122</v>
      </c>
      <c r="H3547" s="33" t="s">
        <v>201</v>
      </c>
      <c r="I3547" s="33" t="s">
        <v>196</v>
      </c>
      <c r="J3547" s="34">
        <v>4476</v>
      </c>
      <c r="K3547" s="34"/>
      <c r="L3547" s="34">
        <v>4476</v>
      </c>
    </row>
    <row r="3548" spans="2:12" x14ac:dyDescent="0.3">
      <c r="B3548" s="25">
        <v>3568</v>
      </c>
      <c r="C3548" s="33">
        <v>5629</v>
      </c>
      <c r="D3548" s="33" t="s">
        <v>395</v>
      </c>
      <c r="E3548" s="35">
        <v>45169</v>
      </c>
      <c r="F3548" s="33">
        <v>3</v>
      </c>
      <c r="G3548" s="33" t="s">
        <v>122</v>
      </c>
      <c r="H3548" s="33" t="s">
        <v>201</v>
      </c>
      <c r="I3548" s="33" t="s">
        <v>196</v>
      </c>
      <c r="J3548" s="34">
        <v>6024</v>
      </c>
      <c r="K3548" s="34"/>
      <c r="L3548" s="34">
        <v>6024</v>
      </c>
    </row>
    <row r="3549" spans="2:12" x14ac:dyDescent="0.3">
      <c r="B3549" s="25">
        <v>3569</v>
      </c>
      <c r="C3549" s="33">
        <v>5616</v>
      </c>
      <c r="D3549" s="33" t="s">
        <v>394</v>
      </c>
      <c r="E3549" s="35">
        <v>45169</v>
      </c>
      <c r="F3549" s="33">
        <v>3</v>
      </c>
      <c r="G3549" s="33" t="s">
        <v>122</v>
      </c>
      <c r="H3549" s="33" t="s">
        <v>201</v>
      </c>
      <c r="I3549" s="33" t="s">
        <v>196</v>
      </c>
      <c r="J3549" s="34">
        <v>1988.8</v>
      </c>
      <c r="K3549" s="34"/>
      <c r="L3549" s="34">
        <v>1988.8</v>
      </c>
    </row>
    <row r="3550" spans="2:12" x14ac:dyDescent="0.3">
      <c r="B3550" s="25">
        <v>3570</v>
      </c>
      <c r="C3550" s="33">
        <v>5617</v>
      </c>
      <c r="D3550" s="33" t="s">
        <v>394</v>
      </c>
      <c r="E3550" s="35">
        <v>45169</v>
      </c>
      <c r="F3550" s="33">
        <v>3</v>
      </c>
      <c r="G3550" s="33" t="s">
        <v>122</v>
      </c>
      <c r="H3550" s="33" t="s">
        <v>201</v>
      </c>
      <c r="I3550" s="33" t="s">
        <v>196</v>
      </c>
      <c r="J3550" s="34">
        <v>2070.75</v>
      </c>
      <c r="K3550" s="34"/>
      <c r="L3550" s="34">
        <v>2070.75</v>
      </c>
    </row>
    <row r="3551" spans="2:12" x14ac:dyDescent="0.3">
      <c r="B3551" s="25">
        <v>3571</v>
      </c>
      <c r="C3551" s="33">
        <v>5621</v>
      </c>
      <c r="D3551" s="33" t="s">
        <v>551</v>
      </c>
      <c r="E3551" s="35">
        <v>45169</v>
      </c>
      <c r="F3551" s="33">
        <v>3</v>
      </c>
      <c r="G3551" s="33" t="s">
        <v>231</v>
      </c>
      <c r="H3551" s="33" t="s">
        <v>201</v>
      </c>
      <c r="I3551" s="33" t="s">
        <v>198</v>
      </c>
      <c r="J3551" s="34">
        <v>3158.54</v>
      </c>
      <c r="K3551" s="34"/>
      <c r="L3551" s="34">
        <v>3158.54</v>
      </c>
    </row>
    <row r="3552" spans="2:12" x14ac:dyDescent="0.3">
      <c r="B3552" s="25">
        <v>3572</v>
      </c>
      <c r="C3552" s="33" t="s">
        <v>1740</v>
      </c>
      <c r="D3552" s="33" t="s">
        <v>573</v>
      </c>
      <c r="E3552" s="35">
        <v>45169</v>
      </c>
      <c r="F3552" s="33">
        <v>3</v>
      </c>
      <c r="G3552" s="33" t="s">
        <v>124</v>
      </c>
      <c r="H3552" s="33" t="s">
        <v>201</v>
      </c>
      <c r="I3552" s="33" t="s">
        <v>197</v>
      </c>
      <c r="J3552" s="34">
        <v>2021.8</v>
      </c>
      <c r="K3552" s="34"/>
      <c r="L3552" s="34">
        <v>2021.8</v>
      </c>
    </row>
    <row r="3553" spans="2:12" x14ac:dyDescent="0.3">
      <c r="B3553" s="25">
        <v>3573</v>
      </c>
      <c r="C3553" s="33" t="s">
        <v>1741</v>
      </c>
      <c r="D3553" s="33" t="s">
        <v>473</v>
      </c>
      <c r="E3553" s="35">
        <v>45169</v>
      </c>
      <c r="F3553" s="33">
        <v>3</v>
      </c>
      <c r="G3553" s="33" t="s">
        <v>122</v>
      </c>
      <c r="H3553" s="33" t="s">
        <v>201</v>
      </c>
      <c r="I3553" s="33" t="s">
        <v>196</v>
      </c>
      <c r="J3553" s="34">
        <v>13005.02</v>
      </c>
      <c r="K3553" s="34"/>
      <c r="L3553" s="34">
        <v>13005.02</v>
      </c>
    </row>
    <row r="3554" spans="2:12" x14ac:dyDescent="0.3">
      <c r="B3554" s="25">
        <v>3574</v>
      </c>
      <c r="C3554" s="33" t="s">
        <v>1742</v>
      </c>
      <c r="D3554" s="33" t="s">
        <v>531</v>
      </c>
      <c r="E3554" s="35">
        <v>45169</v>
      </c>
      <c r="F3554" s="33">
        <v>3</v>
      </c>
      <c r="G3554" s="33" t="s">
        <v>122</v>
      </c>
      <c r="H3554" s="33" t="s">
        <v>201</v>
      </c>
      <c r="I3554" s="33" t="s">
        <v>196</v>
      </c>
      <c r="J3554" s="34">
        <v>2956.8</v>
      </c>
      <c r="K3554" s="34"/>
      <c r="L3554" s="34">
        <v>2956.8</v>
      </c>
    </row>
    <row r="3555" spans="2:12" x14ac:dyDescent="0.3">
      <c r="B3555" s="25">
        <v>3575</v>
      </c>
      <c r="C3555" s="33">
        <v>2998</v>
      </c>
      <c r="D3555" s="33" t="s">
        <v>362</v>
      </c>
      <c r="E3555" s="35">
        <v>45121</v>
      </c>
      <c r="F3555" s="33">
        <v>3</v>
      </c>
      <c r="G3555" s="33" t="s">
        <v>124</v>
      </c>
      <c r="H3555" s="33" t="s">
        <v>71</v>
      </c>
      <c r="I3555" s="33" t="s">
        <v>197</v>
      </c>
      <c r="J3555" s="34">
        <v>1126.8</v>
      </c>
      <c r="K3555" s="34">
        <v>40</v>
      </c>
      <c r="L3555" s="34">
        <v>1086.8</v>
      </c>
    </row>
    <row r="3556" spans="2:12" x14ac:dyDescent="0.3">
      <c r="B3556" s="25">
        <v>3576</v>
      </c>
      <c r="C3556" s="33" t="s">
        <v>1743</v>
      </c>
      <c r="D3556" s="33" t="s">
        <v>1744</v>
      </c>
      <c r="E3556" s="35">
        <v>45125</v>
      </c>
      <c r="F3556" s="33">
        <v>3</v>
      </c>
      <c r="G3556" s="33" t="s">
        <v>124</v>
      </c>
      <c r="H3556" s="33" t="s">
        <v>71</v>
      </c>
      <c r="I3556" s="33" t="s">
        <v>197</v>
      </c>
      <c r="J3556" s="34">
        <v>587.78</v>
      </c>
      <c r="K3556" s="34">
        <v>80</v>
      </c>
      <c r="L3556" s="34">
        <v>507.78</v>
      </c>
    </row>
    <row r="3557" spans="2:12" x14ac:dyDescent="0.3">
      <c r="B3557" s="25">
        <v>3577</v>
      </c>
      <c r="C3557" s="33">
        <v>3141</v>
      </c>
      <c r="D3557" s="33" t="s">
        <v>429</v>
      </c>
      <c r="E3557" s="35">
        <v>45131</v>
      </c>
      <c r="F3557" s="33">
        <v>3</v>
      </c>
      <c r="G3557" s="33" t="s">
        <v>628</v>
      </c>
      <c r="H3557" s="33" t="s">
        <v>71</v>
      </c>
      <c r="I3557" s="33" t="s">
        <v>75</v>
      </c>
      <c r="J3557" s="34">
        <v>600.52</v>
      </c>
      <c r="K3557" s="34">
        <v>80</v>
      </c>
      <c r="L3557" s="34">
        <v>520.52</v>
      </c>
    </row>
    <row r="3558" spans="2:12" x14ac:dyDescent="0.3">
      <c r="B3558" s="25">
        <v>3578</v>
      </c>
      <c r="C3558" s="33">
        <v>3242</v>
      </c>
      <c r="D3558" s="33" t="s">
        <v>393</v>
      </c>
      <c r="E3558" s="35">
        <v>45135</v>
      </c>
      <c r="F3558" s="33">
        <v>3</v>
      </c>
      <c r="G3558" s="33" t="s">
        <v>122</v>
      </c>
      <c r="H3558" s="33" t="s">
        <v>71</v>
      </c>
      <c r="I3558" s="33" t="s">
        <v>196</v>
      </c>
      <c r="J3558" s="34">
        <v>1078.54</v>
      </c>
      <c r="K3558" s="34">
        <v>40</v>
      </c>
      <c r="L3558" s="34">
        <v>1038.54</v>
      </c>
    </row>
    <row r="3559" spans="2:12" x14ac:dyDescent="0.3">
      <c r="B3559" s="25">
        <v>3579</v>
      </c>
      <c r="C3559" s="33">
        <v>3243</v>
      </c>
      <c r="D3559" s="33" t="s">
        <v>1666</v>
      </c>
      <c r="E3559" s="35">
        <v>45135</v>
      </c>
      <c r="F3559" s="33">
        <v>3</v>
      </c>
      <c r="G3559" s="33" t="s">
        <v>231</v>
      </c>
      <c r="H3559" s="33" t="s">
        <v>71</v>
      </c>
      <c r="I3559" s="33" t="s">
        <v>198</v>
      </c>
      <c r="J3559" s="34">
        <v>289.66000000000003</v>
      </c>
      <c r="K3559" s="34">
        <v>80</v>
      </c>
      <c r="L3559" s="34">
        <v>209.66</v>
      </c>
    </row>
    <row r="3560" spans="2:12" x14ac:dyDescent="0.3">
      <c r="B3560" s="25">
        <v>3580</v>
      </c>
      <c r="C3560" s="33" t="s">
        <v>1745</v>
      </c>
      <c r="D3560" s="33" t="s">
        <v>996</v>
      </c>
      <c r="E3560" s="35">
        <v>45120</v>
      </c>
      <c r="F3560" s="33">
        <v>3</v>
      </c>
      <c r="G3560" s="33" t="s">
        <v>231</v>
      </c>
      <c r="H3560" s="33" t="s">
        <v>71</v>
      </c>
      <c r="I3560" s="33" t="s">
        <v>198</v>
      </c>
      <c r="J3560" s="34">
        <v>2555.34</v>
      </c>
      <c r="K3560" s="34"/>
      <c r="L3560" s="34">
        <v>2555.34</v>
      </c>
    </row>
    <row r="3561" spans="2:12" x14ac:dyDescent="0.3">
      <c r="B3561" s="25">
        <v>3581</v>
      </c>
      <c r="C3561" s="33" t="s">
        <v>1746</v>
      </c>
      <c r="D3561" s="33" t="s">
        <v>790</v>
      </c>
      <c r="E3561" s="35">
        <v>45118</v>
      </c>
      <c r="F3561" s="33">
        <v>3</v>
      </c>
      <c r="G3561" s="33" t="s">
        <v>124</v>
      </c>
      <c r="H3561" s="33" t="s">
        <v>71</v>
      </c>
      <c r="I3561" s="33" t="s">
        <v>197</v>
      </c>
      <c r="J3561" s="34">
        <v>3129.63</v>
      </c>
      <c r="K3561" s="34">
        <v>40</v>
      </c>
      <c r="L3561" s="34">
        <v>3089.63</v>
      </c>
    </row>
    <row r="3562" spans="2:12" x14ac:dyDescent="0.3">
      <c r="B3562" s="25">
        <v>3582</v>
      </c>
      <c r="C3562" s="33">
        <v>2872</v>
      </c>
      <c r="D3562" s="33" t="s">
        <v>837</v>
      </c>
      <c r="E3562" s="35">
        <v>45114</v>
      </c>
      <c r="F3562" s="33">
        <v>3</v>
      </c>
      <c r="G3562" s="33" t="s">
        <v>122</v>
      </c>
      <c r="H3562" s="33" t="s">
        <v>71</v>
      </c>
      <c r="I3562" s="33" t="s">
        <v>196</v>
      </c>
      <c r="J3562" s="34">
        <v>636.91999999999996</v>
      </c>
      <c r="K3562" s="34">
        <v>80</v>
      </c>
      <c r="L3562" s="34">
        <v>556.91999999999996</v>
      </c>
    </row>
    <row r="3563" spans="2:12" x14ac:dyDescent="0.3">
      <c r="B3563" s="25">
        <v>3583</v>
      </c>
      <c r="C3563" s="33">
        <v>36475</v>
      </c>
      <c r="D3563" s="33" t="s">
        <v>1747</v>
      </c>
      <c r="E3563" s="35">
        <v>45176</v>
      </c>
      <c r="F3563" s="33">
        <v>3</v>
      </c>
      <c r="G3563" s="33" t="s">
        <v>122</v>
      </c>
      <c r="H3563" s="33" t="s">
        <v>72</v>
      </c>
      <c r="I3563" s="33" t="s">
        <v>196</v>
      </c>
      <c r="J3563" s="34">
        <v>10233</v>
      </c>
      <c r="K3563" s="34"/>
      <c r="L3563" s="34">
        <v>10233</v>
      </c>
    </row>
    <row r="3564" spans="2:12" x14ac:dyDescent="0.3">
      <c r="B3564" s="25">
        <v>3584</v>
      </c>
      <c r="C3564" s="33" t="s">
        <v>1748</v>
      </c>
      <c r="D3564" s="33" t="s">
        <v>623</v>
      </c>
      <c r="E3564" s="35">
        <v>45124</v>
      </c>
      <c r="F3564" s="33">
        <v>3</v>
      </c>
      <c r="G3564" s="33" t="s">
        <v>122</v>
      </c>
      <c r="H3564" s="33" t="s">
        <v>629</v>
      </c>
      <c r="I3564" s="33" t="s">
        <v>196</v>
      </c>
      <c r="J3564" s="34">
        <v>968</v>
      </c>
      <c r="K3564" s="34">
        <v>80</v>
      </c>
      <c r="L3564" s="34">
        <v>888</v>
      </c>
    </row>
    <row r="3565" spans="2:12" x14ac:dyDescent="0.3">
      <c r="B3565" s="25">
        <v>3585</v>
      </c>
      <c r="C3565" s="33" t="s">
        <v>1749</v>
      </c>
      <c r="D3565" s="33" t="s">
        <v>623</v>
      </c>
      <c r="E3565" s="35">
        <v>45169</v>
      </c>
      <c r="F3565" s="33">
        <v>3</v>
      </c>
      <c r="G3565" s="33" t="s">
        <v>122</v>
      </c>
      <c r="H3565" s="33" t="s">
        <v>629</v>
      </c>
      <c r="I3565" s="33" t="s">
        <v>196</v>
      </c>
      <c r="J3565" s="34">
        <v>1720</v>
      </c>
      <c r="K3565" s="34"/>
      <c r="L3565" s="34">
        <v>1720</v>
      </c>
    </row>
    <row r="3566" spans="2:12" x14ac:dyDescent="0.3">
      <c r="B3566" s="25">
        <v>3586</v>
      </c>
      <c r="C3566" s="33">
        <v>53540</v>
      </c>
      <c r="D3566" s="33" t="s">
        <v>484</v>
      </c>
      <c r="E3566" s="35">
        <v>45113</v>
      </c>
      <c r="F3566" s="33">
        <v>3</v>
      </c>
      <c r="G3566" s="33" t="s">
        <v>122</v>
      </c>
      <c r="H3566" s="33" t="s">
        <v>69</v>
      </c>
      <c r="I3566" s="33" t="s">
        <v>196</v>
      </c>
      <c r="J3566" s="34">
        <v>870.5</v>
      </c>
      <c r="K3566" s="34"/>
      <c r="L3566" s="34">
        <v>870.5</v>
      </c>
    </row>
    <row r="3567" spans="2:12" x14ac:dyDescent="0.3">
      <c r="B3567" s="25">
        <v>3587</v>
      </c>
      <c r="C3567" s="33">
        <v>53541</v>
      </c>
      <c r="D3567" s="33" t="s">
        <v>400</v>
      </c>
      <c r="E3567" s="35">
        <v>45113</v>
      </c>
      <c r="F3567" s="33">
        <v>3</v>
      </c>
      <c r="G3567" s="33" t="s">
        <v>231</v>
      </c>
      <c r="H3567" s="33" t="s">
        <v>69</v>
      </c>
      <c r="I3567" s="33" t="s">
        <v>198</v>
      </c>
      <c r="J3567" s="34">
        <v>2537.96</v>
      </c>
      <c r="K3567" s="34"/>
      <c r="L3567" s="34">
        <v>2537.96</v>
      </c>
    </row>
    <row r="3568" spans="2:12" x14ac:dyDescent="0.3">
      <c r="B3568" s="25">
        <v>3588</v>
      </c>
      <c r="C3568" s="33">
        <v>53544</v>
      </c>
      <c r="D3568" s="33" t="s">
        <v>404</v>
      </c>
      <c r="E3568" s="35">
        <v>45113</v>
      </c>
      <c r="F3568" s="33">
        <v>3</v>
      </c>
      <c r="G3568" s="33" t="s">
        <v>122</v>
      </c>
      <c r="H3568" s="33" t="s">
        <v>69</v>
      </c>
      <c r="I3568" s="33" t="s">
        <v>196</v>
      </c>
      <c r="J3568" s="34">
        <v>2157</v>
      </c>
      <c r="K3568" s="34"/>
      <c r="L3568" s="34">
        <v>2157</v>
      </c>
    </row>
    <row r="3569" spans="2:12" x14ac:dyDescent="0.3">
      <c r="B3569" s="25">
        <v>3589</v>
      </c>
      <c r="C3569" s="33" t="s">
        <v>1750</v>
      </c>
      <c r="D3569" s="33" t="s">
        <v>411</v>
      </c>
      <c r="E3569" s="35">
        <v>45113</v>
      </c>
      <c r="F3569" s="33">
        <v>3</v>
      </c>
      <c r="G3569" s="33" t="s">
        <v>122</v>
      </c>
      <c r="H3569" s="33" t="s">
        <v>69</v>
      </c>
      <c r="I3569" s="33" t="s">
        <v>196</v>
      </c>
      <c r="J3569" s="34">
        <v>5538.49</v>
      </c>
      <c r="K3569" s="34"/>
      <c r="L3569" s="34">
        <v>5538.49</v>
      </c>
    </row>
    <row r="3570" spans="2:12" x14ac:dyDescent="0.3">
      <c r="B3570" s="25">
        <v>3590</v>
      </c>
      <c r="C3570" s="33">
        <v>53548</v>
      </c>
      <c r="D3570" s="33" t="s">
        <v>1658</v>
      </c>
      <c r="E3570" s="35">
        <v>45113</v>
      </c>
      <c r="F3570" s="33">
        <v>3</v>
      </c>
      <c r="G3570" s="33" t="s">
        <v>122</v>
      </c>
      <c r="H3570" s="33" t="s">
        <v>69</v>
      </c>
      <c r="I3570" s="33" t="s">
        <v>196</v>
      </c>
      <c r="J3570" s="34">
        <v>295.8</v>
      </c>
      <c r="K3570" s="34"/>
      <c r="L3570" s="34">
        <v>295.8</v>
      </c>
    </row>
    <row r="3571" spans="2:12" x14ac:dyDescent="0.3">
      <c r="B3571" s="25">
        <v>3591</v>
      </c>
      <c r="C3571" s="33" t="s">
        <v>1751</v>
      </c>
      <c r="D3571" s="33" t="s">
        <v>1752</v>
      </c>
      <c r="E3571" s="35">
        <v>45113</v>
      </c>
      <c r="F3571" s="33">
        <v>3</v>
      </c>
      <c r="G3571" s="33" t="s">
        <v>124</v>
      </c>
      <c r="H3571" s="33" t="s">
        <v>69</v>
      </c>
      <c r="I3571" s="33" t="s">
        <v>197</v>
      </c>
      <c r="J3571" s="34">
        <v>17902.72</v>
      </c>
      <c r="K3571" s="34"/>
      <c r="L3571" s="34">
        <v>17902.72</v>
      </c>
    </row>
    <row r="3572" spans="2:12" x14ac:dyDescent="0.3">
      <c r="B3572" s="25">
        <v>3592</v>
      </c>
      <c r="C3572" s="33">
        <v>53585</v>
      </c>
      <c r="D3572" s="33" t="s">
        <v>1752</v>
      </c>
      <c r="E3572" s="35">
        <v>45114</v>
      </c>
      <c r="F3572" s="33">
        <v>3</v>
      </c>
      <c r="G3572" s="33" t="s">
        <v>124</v>
      </c>
      <c r="H3572" s="33" t="s">
        <v>69</v>
      </c>
      <c r="I3572" s="33" t="s">
        <v>197</v>
      </c>
      <c r="J3572" s="34">
        <v>206.06</v>
      </c>
      <c r="K3572" s="34"/>
      <c r="L3572" s="34">
        <v>206.06</v>
      </c>
    </row>
    <row r="3573" spans="2:12" x14ac:dyDescent="0.3">
      <c r="B3573" s="25">
        <v>3593</v>
      </c>
      <c r="C3573" s="33">
        <v>11175</v>
      </c>
      <c r="D3573" s="33" t="s">
        <v>410</v>
      </c>
      <c r="E3573" s="35">
        <v>45118</v>
      </c>
      <c r="F3573" s="33">
        <v>3</v>
      </c>
      <c r="G3573" s="33" t="s">
        <v>231</v>
      </c>
      <c r="H3573" s="33" t="s">
        <v>69</v>
      </c>
      <c r="I3573" s="33" t="s">
        <v>198</v>
      </c>
      <c r="J3573" s="34">
        <v>3270</v>
      </c>
      <c r="K3573" s="34"/>
      <c r="L3573" s="34">
        <v>3270</v>
      </c>
    </row>
    <row r="3574" spans="2:12" x14ac:dyDescent="0.3">
      <c r="B3574" s="25">
        <v>3594</v>
      </c>
      <c r="C3574" s="33">
        <v>53675</v>
      </c>
      <c r="D3574" s="33" t="s">
        <v>1649</v>
      </c>
      <c r="E3574" s="35">
        <v>45120</v>
      </c>
      <c r="F3574" s="33">
        <v>3</v>
      </c>
      <c r="G3574" s="33" t="s">
        <v>124</v>
      </c>
      <c r="H3574" s="33" t="s">
        <v>69</v>
      </c>
      <c r="I3574" s="33" t="s">
        <v>197</v>
      </c>
      <c r="J3574" s="34">
        <v>14</v>
      </c>
      <c r="K3574" s="34"/>
      <c r="L3574" s="34">
        <v>14</v>
      </c>
    </row>
    <row r="3575" spans="2:12" x14ac:dyDescent="0.3">
      <c r="B3575" s="25">
        <v>3595</v>
      </c>
      <c r="C3575" s="33">
        <v>53676</v>
      </c>
      <c r="D3575" s="33" t="s">
        <v>1649</v>
      </c>
      <c r="E3575" s="35">
        <v>45120</v>
      </c>
      <c r="F3575" s="33">
        <v>3</v>
      </c>
      <c r="G3575" s="33" t="s">
        <v>124</v>
      </c>
      <c r="H3575" s="33" t="s">
        <v>69</v>
      </c>
      <c r="I3575" s="33" t="s">
        <v>197</v>
      </c>
      <c r="J3575" s="34">
        <v>126</v>
      </c>
      <c r="K3575" s="34"/>
      <c r="L3575" s="34">
        <v>126</v>
      </c>
    </row>
    <row r="3576" spans="2:12" x14ac:dyDescent="0.3">
      <c r="B3576" s="25">
        <v>3596</v>
      </c>
      <c r="C3576" s="33">
        <v>53680</v>
      </c>
      <c r="D3576" s="33" t="s">
        <v>805</v>
      </c>
      <c r="E3576" s="35">
        <v>45120</v>
      </c>
      <c r="F3576" s="33">
        <v>3</v>
      </c>
      <c r="G3576" s="33" t="s">
        <v>231</v>
      </c>
      <c r="H3576" s="33" t="s">
        <v>69</v>
      </c>
      <c r="I3576" s="33" t="s">
        <v>198</v>
      </c>
      <c r="J3576" s="34">
        <v>2807.5</v>
      </c>
      <c r="K3576" s="34"/>
      <c r="L3576" s="34">
        <v>2807.5</v>
      </c>
    </row>
    <row r="3577" spans="2:12" x14ac:dyDescent="0.3">
      <c r="B3577" s="25">
        <v>3597</v>
      </c>
      <c r="C3577" s="33">
        <v>53717</v>
      </c>
      <c r="D3577" s="33" t="s">
        <v>411</v>
      </c>
      <c r="E3577" s="35">
        <v>45121</v>
      </c>
      <c r="F3577" s="33">
        <v>3</v>
      </c>
      <c r="G3577" s="33" t="s">
        <v>122</v>
      </c>
      <c r="H3577" s="33" t="s">
        <v>69</v>
      </c>
      <c r="I3577" s="33" t="s">
        <v>196</v>
      </c>
      <c r="J3577" s="34">
        <v>4709</v>
      </c>
      <c r="K3577" s="34"/>
      <c r="L3577" s="34">
        <v>4709</v>
      </c>
    </row>
    <row r="3578" spans="2:12" x14ac:dyDescent="0.3">
      <c r="B3578" s="25">
        <v>3598</v>
      </c>
      <c r="C3578" s="33">
        <v>53819</v>
      </c>
      <c r="D3578" s="33" t="s">
        <v>482</v>
      </c>
      <c r="E3578" s="35">
        <v>45127</v>
      </c>
      <c r="F3578" s="33">
        <v>3</v>
      </c>
      <c r="G3578" s="33" t="s">
        <v>122</v>
      </c>
      <c r="H3578" s="33" t="s">
        <v>69</v>
      </c>
      <c r="I3578" s="33" t="s">
        <v>196</v>
      </c>
      <c r="J3578" s="34">
        <v>1822</v>
      </c>
      <c r="K3578" s="34"/>
      <c r="L3578" s="34">
        <v>1822</v>
      </c>
    </row>
    <row r="3579" spans="2:12" x14ac:dyDescent="0.3">
      <c r="B3579" s="25">
        <v>3599</v>
      </c>
      <c r="C3579" s="33">
        <v>53820</v>
      </c>
      <c r="D3579" s="33" t="s">
        <v>1530</v>
      </c>
      <c r="E3579" s="35">
        <v>45127</v>
      </c>
      <c r="F3579" s="33">
        <v>3</v>
      </c>
      <c r="G3579" s="33" t="s">
        <v>124</v>
      </c>
      <c r="H3579" s="33" t="s">
        <v>69</v>
      </c>
      <c r="I3579" s="33" t="s">
        <v>197</v>
      </c>
      <c r="J3579" s="34">
        <v>1984.81</v>
      </c>
      <c r="K3579" s="34"/>
      <c r="L3579" s="34">
        <v>1984.81</v>
      </c>
    </row>
    <row r="3580" spans="2:12" x14ac:dyDescent="0.3">
      <c r="B3580" s="25">
        <v>3600</v>
      </c>
      <c r="C3580" s="33">
        <v>53821</v>
      </c>
      <c r="D3580" s="33" t="s">
        <v>401</v>
      </c>
      <c r="E3580" s="35">
        <v>45127</v>
      </c>
      <c r="F3580" s="33">
        <v>3</v>
      </c>
      <c r="G3580" s="33" t="s">
        <v>231</v>
      </c>
      <c r="H3580" s="33" t="s">
        <v>69</v>
      </c>
      <c r="I3580" s="33" t="s">
        <v>198</v>
      </c>
      <c r="J3580" s="34">
        <v>1904</v>
      </c>
      <c r="K3580" s="34"/>
      <c r="L3580" s="34">
        <v>1904</v>
      </c>
    </row>
    <row r="3581" spans="2:12" x14ac:dyDescent="0.3">
      <c r="B3581" s="25">
        <v>3601</v>
      </c>
      <c r="C3581" s="33">
        <v>53824</v>
      </c>
      <c r="D3581" s="33" t="s">
        <v>411</v>
      </c>
      <c r="E3581" s="35">
        <v>45127</v>
      </c>
      <c r="F3581" s="33">
        <v>3</v>
      </c>
      <c r="G3581" s="33" t="s">
        <v>122</v>
      </c>
      <c r="H3581" s="33" t="s">
        <v>69</v>
      </c>
      <c r="I3581" s="33" t="s">
        <v>196</v>
      </c>
      <c r="J3581" s="34">
        <v>2386.5100000000002</v>
      </c>
      <c r="K3581" s="34"/>
      <c r="L3581" s="34">
        <v>2386.5100000000002</v>
      </c>
    </row>
    <row r="3582" spans="2:12" x14ac:dyDescent="0.3">
      <c r="B3582" s="25">
        <v>3602</v>
      </c>
      <c r="C3582" s="33">
        <v>53826</v>
      </c>
      <c r="D3582" s="33" t="s">
        <v>275</v>
      </c>
      <c r="E3582" s="35">
        <v>45127</v>
      </c>
      <c r="F3582" s="33">
        <v>3</v>
      </c>
      <c r="G3582" s="33" t="s">
        <v>124</v>
      </c>
      <c r="H3582" s="33" t="s">
        <v>69</v>
      </c>
      <c r="I3582" s="33" t="s">
        <v>197</v>
      </c>
      <c r="J3582" s="34">
        <v>3370.01</v>
      </c>
      <c r="K3582" s="34"/>
      <c r="L3582" s="34">
        <v>3370.01</v>
      </c>
    </row>
    <row r="3583" spans="2:12" x14ac:dyDescent="0.3">
      <c r="B3583" s="25">
        <v>3603</v>
      </c>
      <c r="C3583" s="33">
        <v>53827</v>
      </c>
      <c r="D3583" s="33" t="s">
        <v>805</v>
      </c>
      <c r="E3583" s="35">
        <v>45127</v>
      </c>
      <c r="F3583" s="33">
        <v>3</v>
      </c>
      <c r="G3583" s="33" t="s">
        <v>231</v>
      </c>
      <c r="H3583" s="33" t="s">
        <v>69</v>
      </c>
      <c r="I3583" s="33" t="s">
        <v>198</v>
      </c>
      <c r="J3583" s="34">
        <v>880.5</v>
      </c>
      <c r="K3583" s="34"/>
      <c r="L3583" s="34">
        <v>880.5</v>
      </c>
    </row>
    <row r="3584" spans="2:12" x14ac:dyDescent="0.3">
      <c r="B3584" s="25">
        <v>3604</v>
      </c>
      <c r="C3584" s="33">
        <v>53832</v>
      </c>
      <c r="D3584" s="33" t="s">
        <v>1681</v>
      </c>
      <c r="E3584" s="35">
        <v>45127</v>
      </c>
      <c r="F3584" s="33">
        <v>3</v>
      </c>
      <c r="G3584" s="33" t="s">
        <v>122</v>
      </c>
      <c r="H3584" s="33" t="s">
        <v>69</v>
      </c>
      <c r="I3584" s="33" t="s">
        <v>196</v>
      </c>
      <c r="J3584" s="34">
        <v>1366.5</v>
      </c>
      <c r="K3584" s="34"/>
      <c r="L3584" s="34">
        <v>1366.5</v>
      </c>
    </row>
    <row r="3585" spans="2:12" x14ac:dyDescent="0.3">
      <c r="B3585" s="25">
        <v>3605</v>
      </c>
      <c r="C3585" s="33">
        <v>53848</v>
      </c>
      <c r="D3585" s="33" t="s">
        <v>400</v>
      </c>
      <c r="E3585" s="35">
        <v>45128</v>
      </c>
      <c r="F3585" s="33">
        <v>3</v>
      </c>
      <c r="G3585" s="33" t="s">
        <v>231</v>
      </c>
      <c r="H3585" s="33" t="s">
        <v>69</v>
      </c>
      <c r="I3585" s="33" t="s">
        <v>198</v>
      </c>
      <c r="J3585" s="34">
        <v>3278.05</v>
      </c>
      <c r="K3585" s="34"/>
      <c r="L3585" s="34">
        <v>3278.05</v>
      </c>
    </row>
    <row r="3586" spans="2:12" x14ac:dyDescent="0.3">
      <c r="B3586" s="25">
        <v>3606</v>
      </c>
      <c r="C3586" s="33">
        <v>53849</v>
      </c>
      <c r="D3586" s="33" t="s">
        <v>400</v>
      </c>
      <c r="E3586" s="35">
        <v>45128</v>
      </c>
      <c r="F3586" s="33">
        <v>3</v>
      </c>
      <c r="G3586" s="33" t="s">
        <v>231</v>
      </c>
      <c r="H3586" s="33" t="s">
        <v>69</v>
      </c>
      <c r="I3586" s="33" t="s">
        <v>198</v>
      </c>
      <c r="J3586" s="34">
        <v>1556.79</v>
      </c>
      <c r="K3586" s="34"/>
      <c r="L3586" s="34">
        <v>1556.79</v>
      </c>
    </row>
    <row r="3587" spans="2:12" x14ac:dyDescent="0.3">
      <c r="B3587" s="25">
        <v>3607</v>
      </c>
      <c r="C3587" s="33">
        <v>53850</v>
      </c>
      <c r="D3587" s="33" t="s">
        <v>400</v>
      </c>
      <c r="E3587" s="35">
        <v>45128</v>
      </c>
      <c r="F3587" s="33">
        <v>3</v>
      </c>
      <c r="G3587" s="33" t="s">
        <v>231</v>
      </c>
      <c r="H3587" s="33" t="s">
        <v>69</v>
      </c>
      <c r="I3587" s="33" t="s">
        <v>198</v>
      </c>
      <c r="J3587" s="34">
        <v>423.39</v>
      </c>
      <c r="K3587" s="34"/>
      <c r="L3587" s="34">
        <v>423.39</v>
      </c>
    </row>
    <row r="3588" spans="2:12" x14ac:dyDescent="0.3">
      <c r="B3588" s="25">
        <v>3608</v>
      </c>
      <c r="C3588" s="33">
        <v>53851</v>
      </c>
      <c r="D3588" s="33" t="s">
        <v>400</v>
      </c>
      <c r="E3588" s="35">
        <v>45128</v>
      </c>
      <c r="F3588" s="33">
        <v>3</v>
      </c>
      <c r="G3588" s="33" t="s">
        <v>231</v>
      </c>
      <c r="H3588" s="33" t="s">
        <v>69</v>
      </c>
      <c r="I3588" s="33" t="s">
        <v>198</v>
      </c>
      <c r="J3588" s="34">
        <v>4762.1099999999997</v>
      </c>
      <c r="K3588" s="34"/>
      <c r="L3588" s="34">
        <v>4762.1099999999997</v>
      </c>
    </row>
    <row r="3589" spans="2:12" x14ac:dyDescent="0.3">
      <c r="B3589" s="25">
        <v>3609</v>
      </c>
      <c r="C3589" s="33" t="s">
        <v>1753</v>
      </c>
      <c r="D3589" s="33" t="s">
        <v>400</v>
      </c>
      <c r="E3589" s="35">
        <v>45128</v>
      </c>
      <c r="F3589" s="33">
        <v>3</v>
      </c>
      <c r="G3589" s="33" t="s">
        <v>231</v>
      </c>
      <c r="H3589" s="33" t="s">
        <v>69</v>
      </c>
      <c r="I3589" s="33" t="s">
        <v>198</v>
      </c>
      <c r="J3589" s="34">
        <v>993.74</v>
      </c>
      <c r="K3589" s="34"/>
      <c r="L3589" s="34">
        <v>993.74</v>
      </c>
    </row>
    <row r="3590" spans="2:12" x14ac:dyDescent="0.3">
      <c r="B3590" s="25">
        <v>3610</v>
      </c>
      <c r="C3590" s="33">
        <v>53853</v>
      </c>
      <c r="D3590" s="33" t="s">
        <v>400</v>
      </c>
      <c r="E3590" s="35">
        <v>45128</v>
      </c>
      <c r="F3590" s="33">
        <v>3</v>
      </c>
      <c r="G3590" s="33" t="s">
        <v>231</v>
      </c>
      <c r="H3590" s="33" t="s">
        <v>69</v>
      </c>
      <c r="I3590" s="33" t="s">
        <v>198</v>
      </c>
      <c r="J3590" s="34">
        <v>1083.8399999999999</v>
      </c>
      <c r="K3590" s="34"/>
      <c r="L3590" s="34">
        <v>1083.8399999999999</v>
      </c>
    </row>
    <row r="3591" spans="2:12" x14ac:dyDescent="0.3">
      <c r="B3591" s="25">
        <v>3611</v>
      </c>
      <c r="C3591" s="33" t="s">
        <v>1754</v>
      </c>
      <c r="D3591" s="33" t="s">
        <v>400</v>
      </c>
      <c r="E3591" s="35">
        <v>45128</v>
      </c>
      <c r="F3591" s="33">
        <v>3</v>
      </c>
      <c r="G3591" s="33" t="s">
        <v>231</v>
      </c>
      <c r="H3591" s="33" t="s">
        <v>69</v>
      </c>
      <c r="I3591" s="33" t="s">
        <v>198</v>
      </c>
      <c r="J3591" s="34">
        <v>3810.87</v>
      </c>
      <c r="K3591" s="34"/>
      <c r="L3591" s="34">
        <v>3810.87</v>
      </c>
    </row>
    <row r="3592" spans="2:12" x14ac:dyDescent="0.3">
      <c r="B3592" s="25">
        <v>3612</v>
      </c>
      <c r="C3592" s="33">
        <v>53855</v>
      </c>
      <c r="D3592" s="33" t="s">
        <v>400</v>
      </c>
      <c r="E3592" s="35">
        <v>45128</v>
      </c>
      <c r="F3592" s="33">
        <v>3</v>
      </c>
      <c r="G3592" s="33" t="s">
        <v>231</v>
      </c>
      <c r="H3592" s="33" t="s">
        <v>69</v>
      </c>
      <c r="I3592" s="33" t="s">
        <v>198</v>
      </c>
      <c r="J3592" s="34">
        <v>1214.21</v>
      </c>
      <c r="K3592" s="34"/>
      <c r="L3592" s="34">
        <v>1214.21</v>
      </c>
    </row>
    <row r="3593" spans="2:12" x14ac:dyDescent="0.3">
      <c r="B3593" s="25">
        <v>3613</v>
      </c>
      <c r="C3593" s="33">
        <v>53856</v>
      </c>
      <c r="D3593" s="33" t="s">
        <v>400</v>
      </c>
      <c r="E3593" s="35">
        <v>45128</v>
      </c>
      <c r="F3593" s="33">
        <v>3</v>
      </c>
      <c r="G3593" s="33" t="s">
        <v>231</v>
      </c>
      <c r="H3593" s="33" t="s">
        <v>69</v>
      </c>
      <c r="I3593" s="33" t="s">
        <v>198</v>
      </c>
      <c r="J3593" s="34">
        <v>2636.81</v>
      </c>
      <c r="K3593" s="34"/>
      <c r="L3593" s="34">
        <v>2636.81</v>
      </c>
    </row>
    <row r="3594" spans="2:12" x14ac:dyDescent="0.3">
      <c r="B3594" s="25">
        <v>3614</v>
      </c>
      <c r="C3594" s="33">
        <v>53857</v>
      </c>
      <c r="D3594" s="33" t="s">
        <v>400</v>
      </c>
      <c r="E3594" s="35">
        <v>45128</v>
      </c>
      <c r="F3594" s="33">
        <v>3</v>
      </c>
      <c r="G3594" s="33" t="s">
        <v>231</v>
      </c>
      <c r="H3594" s="33" t="s">
        <v>69</v>
      </c>
      <c r="I3594" s="33" t="s">
        <v>198</v>
      </c>
      <c r="J3594" s="34">
        <v>939.99</v>
      </c>
      <c r="K3594" s="34"/>
      <c r="L3594" s="34">
        <v>939.99</v>
      </c>
    </row>
    <row r="3595" spans="2:12" x14ac:dyDescent="0.3">
      <c r="B3595" s="25">
        <v>3615</v>
      </c>
      <c r="C3595" s="33">
        <v>53858</v>
      </c>
      <c r="D3595" s="33" t="s">
        <v>400</v>
      </c>
      <c r="E3595" s="35">
        <v>45128</v>
      </c>
      <c r="F3595" s="33">
        <v>3</v>
      </c>
      <c r="G3595" s="33" t="s">
        <v>231</v>
      </c>
      <c r="H3595" s="33" t="s">
        <v>69</v>
      </c>
      <c r="I3595" s="33" t="s">
        <v>198</v>
      </c>
      <c r="J3595" s="34">
        <v>1685.58</v>
      </c>
      <c r="K3595" s="34"/>
      <c r="L3595" s="34">
        <v>1685.58</v>
      </c>
    </row>
    <row r="3596" spans="2:12" x14ac:dyDescent="0.3">
      <c r="B3596" s="25">
        <v>3616</v>
      </c>
      <c r="C3596" s="33" t="s">
        <v>1755</v>
      </c>
      <c r="D3596" s="33" t="s">
        <v>400</v>
      </c>
      <c r="E3596" s="35">
        <v>45128</v>
      </c>
      <c r="F3596" s="33">
        <v>3</v>
      </c>
      <c r="G3596" s="33" t="s">
        <v>231</v>
      </c>
      <c r="H3596" s="33" t="s">
        <v>69</v>
      </c>
      <c r="I3596" s="33" t="s">
        <v>198</v>
      </c>
      <c r="J3596" s="34">
        <v>1312.53</v>
      </c>
      <c r="K3596" s="34"/>
      <c r="L3596" s="34">
        <v>1312.53</v>
      </c>
    </row>
    <row r="3597" spans="2:12" x14ac:dyDescent="0.3">
      <c r="B3597" s="25">
        <v>3617</v>
      </c>
      <c r="C3597" s="33">
        <v>53860</v>
      </c>
      <c r="D3597" s="33" t="s">
        <v>400</v>
      </c>
      <c r="E3597" s="35">
        <v>45128</v>
      </c>
      <c r="F3597" s="33">
        <v>3</v>
      </c>
      <c r="G3597" s="33" t="s">
        <v>231</v>
      </c>
      <c r="H3597" s="33" t="s">
        <v>69</v>
      </c>
      <c r="I3597" s="33" t="s">
        <v>198</v>
      </c>
      <c r="J3597" s="34">
        <v>2406.69</v>
      </c>
      <c r="K3597" s="34"/>
      <c r="L3597" s="34">
        <v>2406.69</v>
      </c>
    </row>
    <row r="3598" spans="2:12" x14ac:dyDescent="0.3">
      <c r="B3598" s="25">
        <v>3618</v>
      </c>
      <c r="C3598" s="33" t="s">
        <v>1756</v>
      </c>
      <c r="D3598" s="33" t="s">
        <v>400</v>
      </c>
      <c r="E3598" s="35">
        <v>45128</v>
      </c>
      <c r="F3598" s="33">
        <v>3</v>
      </c>
      <c r="G3598" s="33" t="s">
        <v>231</v>
      </c>
      <c r="H3598" s="33" t="s">
        <v>69</v>
      </c>
      <c r="I3598" s="33" t="s">
        <v>198</v>
      </c>
      <c r="J3598" s="34">
        <v>992.73</v>
      </c>
      <c r="K3598" s="34"/>
      <c r="L3598" s="34">
        <v>992.73</v>
      </c>
    </row>
    <row r="3599" spans="2:12" x14ac:dyDescent="0.3">
      <c r="B3599" s="25">
        <v>3619</v>
      </c>
      <c r="C3599" s="33">
        <v>53862</v>
      </c>
      <c r="D3599" s="33" t="s">
        <v>400</v>
      </c>
      <c r="E3599" s="35">
        <v>45128</v>
      </c>
      <c r="F3599" s="33">
        <v>3</v>
      </c>
      <c r="G3599" s="33" t="s">
        <v>231</v>
      </c>
      <c r="H3599" s="33" t="s">
        <v>69</v>
      </c>
      <c r="I3599" s="33" t="s">
        <v>198</v>
      </c>
      <c r="J3599" s="34">
        <v>2301.23</v>
      </c>
      <c r="K3599" s="34"/>
      <c r="L3599" s="34">
        <v>2301.23</v>
      </c>
    </row>
    <row r="3600" spans="2:12" x14ac:dyDescent="0.3">
      <c r="B3600" s="25">
        <v>3620</v>
      </c>
      <c r="C3600" s="33">
        <v>53863</v>
      </c>
      <c r="D3600" s="33" t="s">
        <v>400</v>
      </c>
      <c r="E3600" s="35">
        <v>45128</v>
      </c>
      <c r="F3600" s="33">
        <v>3</v>
      </c>
      <c r="G3600" s="33" t="s">
        <v>231</v>
      </c>
      <c r="H3600" s="33" t="s">
        <v>69</v>
      </c>
      <c r="I3600" s="33" t="s">
        <v>198</v>
      </c>
      <c r="J3600" s="34">
        <v>557.48</v>
      </c>
      <c r="K3600" s="34"/>
      <c r="L3600" s="34">
        <v>557.48</v>
      </c>
    </row>
    <row r="3601" spans="2:12" x14ac:dyDescent="0.3">
      <c r="B3601" s="25">
        <v>3621</v>
      </c>
      <c r="C3601" s="33">
        <v>53864</v>
      </c>
      <c r="D3601" s="33" t="s">
        <v>400</v>
      </c>
      <c r="E3601" s="35">
        <v>45128</v>
      </c>
      <c r="F3601" s="33">
        <v>3</v>
      </c>
      <c r="G3601" s="33" t="s">
        <v>231</v>
      </c>
      <c r="H3601" s="33" t="s">
        <v>69</v>
      </c>
      <c r="I3601" s="33" t="s">
        <v>198</v>
      </c>
      <c r="J3601" s="34">
        <v>853.37</v>
      </c>
      <c r="K3601" s="34"/>
      <c r="L3601" s="34">
        <v>853.37</v>
      </c>
    </row>
    <row r="3602" spans="2:12" x14ac:dyDescent="0.3">
      <c r="B3602" s="25">
        <v>3622</v>
      </c>
      <c r="C3602" s="33">
        <v>53865</v>
      </c>
      <c r="D3602" s="33" t="s">
        <v>400</v>
      </c>
      <c r="E3602" s="35">
        <v>45128</v>
      </c>
      <c r="F3602" s="33">
        <v>3</v>
      </c>
      <c r="G3602" s="33" t="s">
        <v>231</v>
      </c>
      <c r="H3602" s="33" t="s">
        <v>69</v>
      </c>
      <c r="I3602" s="33" t="s">
        <v>198</v>
      </c>
      <c r="J3602" s="34">
        <v>210.18</v>
      </c>
      <c r="K3602" s="34"/>
      <c r="L3602" s="34">
        <v>210.18</v>
      </c>
    </row>
    <row r="3603" spans="2:12" x14ac:dyDescent="0.3">
      <c r="B3603" s="25">
        <v>3623</v>
      </c>
      <c r="C3603" s="33" t="s">
        <v>1757</v>
      </c>
      <c r="D3603" s="33" t="s">
        <v>400</v>
      </c>
      <c r="E3603" s="35">
        <v>45134</v>
      </c>
      <c r="F3603" s="33">
        <v>3</v>
      </c>
      <c r="G3603" s="33" t="s">
        <v>231</v>
      </c>
      <c r="H3603" s="33" t="s">
        <v>69</v>
      </c>
      <c r="I3603" s="33" t="s">
        <v>198</v>
      </c>
      <c r="J3603" s="34">
        <v>491.3</v>
      </c>
      <c r="K3603" s="34"/>
      <c r="L3603" s="34">
        <v>491.3</v>
      </c>
    </row>
    <row r="3604" spans="2:12" x14ac:dyDescent="0.3">
      <c r="B3604" s="25">
        <v>3624</v>
      </c>
      <c r="C3604" s="33" t="s">
        <v>1758</v>
      </c>
      <c r="D3604" s="33" t="s">
        <v>400</v>
      </c>
      <c r="E3604" s="35">
        <v>45134</v>
      </c>
      <c r="F3604" s="33">
        <v>3</v>
      </c>
      <c r="G3604" s="33" t="s">
        <v>231</v>
      </c>
      <c r="H3604" s="33" t="s">
        <v>69</v>
      </c>
      <c r="I3604" s="33" t="s">
        <v>198</v>
      </c>
      <c r="J3604" s="34">
        <v>634.38</v>
      </c>
      <c r="K3604" s="34"/>
      <c r="L3604" s="34">
        <v>634.38</v>
      </c>
    </row>
    <row r="3605" spans="2:12" x14ac:dyDescent="0.3">
      <c r="B3605" s="25">
        <v>3625</v>
      </c>
      <c r="C3605" s="33" t="s">
        <v>1759</v>
      </c>
      <c r="D3605" s="33" t="s">
        <v>805</v>
      </c>
      <c r="E3605" s="35">
        <v>45134</v>
      </c>
      <c r="F3605" s="33">
        <v>3</v>
      </c>
      <c r="G3605" s="33" t="s">
        <v>231</v>
      </c>
      <c r="H3605" s="33" t="s">
        <v>69</v>
      </c>
      <c r="I3605" s="33" t="s">
        <v>198</v>
      </c>
      <c r="J3605" s="34">
        <v>1065.5</v>
      </c>
      <c r="K3605" s="34"/>
      <c r="L3605" s="34">
        <v>1065.5</v>
      </c>
    </row>
    <row r="3606" spans="2:12" x14ac:dyDescent="0.3">
      <c r="B3606" s="25">
        <v>3626</v>
      </c>
      <c r="C3606" s="33" t="s">
        <v>1760</v>
      </c>
      <c r="D3606" s="33" t="s">
        <v>1649</v>
      </c>
      <c r="E3606" s="35">
        <v>45134</v>
      </c>
      <c r="F3606" s="33">
        <v>3</v>
      </c>
      <c r="G3606" s="33" t="s">
        <v>124</v>
      </c>
      <c r="H3606" s="33" t="s">
        <v>69</v>
      </c>
      <c r="I3606" s="33" t="s">
        <v>197</v>
      </c>
      <c r="J3606" s="34">
        <v>1970.99</v>
      </c>
      <c r="K3606" s="34"/>
      <c r="L3606" s="34">
        <v>1970.99</v>
      </c>
    </row>
    <row r="3607" spans="2:12" x14ac:dyDescent="0.3">
      <c r="B3607" s="25">
        <v>3627</v>
      </c>
      <c r="C3607" s="33">
        <v>54148</v>
      </c>
      <c r="D3607" s="33" t="s">
        <v>1613</v>
      </c>
      <c r="E3607" s="35">
        <v>45141</v>
      </c>
      <c r="F3607" s="33">
        <v>3</v>
      </c>
      <c r="G3607" s="33" t="s">
        <v>124</v>
      </c>
      <c r="H3607" s="33" t="s">
        <v>69</v>
      </c>
      <c r="I3607" s="33" t="s">
        <v>197</v>
      </c>
      <c r="J3607" s="34">
        <v>343</v>
      </c>
      <c r="K3607" s="34"/>
      <c r="L3607" s="34">
        <v>343</v>
      </c>
    </row>
    <row r="3608" spans="2:12" x14ac:dyDescent="0.3">
      <c r="B3608" s="25">
        <v>3628</v>
      </c>
      <c r="C3608" s="33">
        <v>54156</v>
      </c>
      <c r="D3608" s="33" t="s">
        <v>281</v>
      </c>
      <c r="E3608" s="35">
        <v>45141</v>
      </c>
      <c r="F3608" s="33">
        <v>3</v>
      </c>
      <c r="G3608" s="33" t="s">
        <v>124</v>
      </c>
      <c r="H3608" s="33" t="s">
        <v>69</v>
      </c>
      <c r="I3608" s="33" t="s">
        <v>197</v>
      </c>
      <c r="J3608" s="34">
        <v>1592.5</v>
      </c>
      <c r="K3608" s="34"/>
      <c r="L3608" s="34">
        <v>1592.5</v>
      </c>
    </row>
    <row r="3609" spans="2:12" x14ac:dyDescent="0.3">
      <c r="B3609" s="25">
        <v>3629</v>
      </c>
      <c r="C3609" s="33">
        <v>54157</v>
      </c>
      <c r="D3609" s="33" t="s">
        <v>275</v>
      </c>
      <c r="E3609" s="35">
        <v>45141</v>
      </c>
      <c r="F3609" s="33">
        <v>3</v>
      </c>
      <c r="G3609" s="33" t="s">
        <v>124</v>
      </c>
      <c r="H3609" s="33" t="s">
        <v>69</v>
      </c>
      <c r="I3609" s="33" t="s">
        <v>197</v>
      </c>
      <c r="J3609" s="34">
        <v>1601</v>
      </c>
      <c r="K3609" s="34"/>
      <c r="L3609" s="34">
        <v>1601</v>
      </c>
    </row>
    <row r="3610" spans="2:12" x14ac:dyDescent="0.3">
      <c r="B3610" s="25">
        <v>3630</v>
      </c>
      <c r="C3610" s="33">
        <v>54159</v>
      </c>
      <c r="D3610" s="33" t="s">
        <v>234</v>
      </c>
      <c r="E3610" s="35">
        <v>45141</v>
      </c>
      <c r="F3610" s="33">
        <v>3</v>
      </c>
      <c r="G3610" s="33" t="s">
        <v>122</v>
      </c>
      <c r="H3610" s="33" t="s">
        <v>69</v>
      </c>
      <c r="I3610" s="33" t="s">
        <v>196</v>
      </c>
      <c r="J3610" s="34">
        <v>3511.2</v>
      </c>
      <c r="K3610" s="34"/>
      <c r="L3610" s="34">
        <v>3511.2</v>
      </c>
    </row>
    <row r="3611" spans="2:12" x14ac:dyDescent="0.3">
      <c r="B3611" s="25">
        <v>3631</v>
      </c>
      <c r="C3611" s="33">
        <v>54169</v>
      </c>
      <c r="D3611" s="33" t="s">
        <v>400</v>
      </c>
      <c r="E3611" s="35">
        <v>45168</v>
      </c>
      <c r="F3611" s="33">
        <v>3</v>
      </c>
      <c r="G3611" s="33" t="s">
        <v>231</v>
      </c>
      <c r="H3611" s="33" t="s">
        <v>69</v>
      </c>
      <c r="I3611" s="33" t="s">
        <v>198</v>
      </c>
      <c r="J3611" s="34">
        <v>3974.99</v>
      </c>
      <c r="K3611" s="34"/>
      <c r="L3611" s="34">
        <v>3974.99</v>
      </c>
    </row>
    <row r="3612" spans="2:12" x14ac:dyDescent="0.3">
      <c r="B3612" s="25">
        <v>3632</v>
      </c>
      <c r="C3612" s="33">
        <v>54170</v>
      </c>
      <c r="D3612" s="33" t="s">
        <v>416</v>
      </c>
      <c r="E3612" s="35">
        <v>45168</v>
      </c>
      <c r="F3612" s="33">
        <v>3</v>
      </c>
      <c r="G3612" s="33" t="s">
        <v>231</v>
      </c>
      <c r="H3612" s="33" t="s">
        <v>69</v>
      </c>
      <c r="I3612" s="33" t="s">
        <v>198</v>
      </c>
      <c r="J3612" s="34">
        <v>4996.25</v>
      </c>
      <c r="K3612" s="34"/>
      <c r="L3612" s="34">
        <v>4996.25</v>
      </c>
    </row>
    <row r="3613" spans="2:12" x14ac:dyDescent="0.3">
      <c r="B3613" s="25">
        <v>3633</v>
      </c>
      <c r="C3613" s="33">
        <v>54171</v>
      </c>
      <c r="D3613" s="33" t="s">
        <v>1675</v>
      </c>
      <c r="E3613" s="35">
        <v>45168</v>
      </c>
      <c r="F3613" s="33">
        <v>3</v>
      </c>
      <c r="G3613" s="33" t="s">
        <v>124</v>
      </c>
      <c r="H3613" s="33" t="s">
        <v>69</v>
      </c>
      <c r="I3613" s="33" t="s">
        <v>197</v>
      </c>
      <c r="J3613" s="34">
        <v>810.5</v>
      </c>
      <c r="K3613" s="34"/>
      <c r="L3613" s="34">
        <v>810.5</v>
      </c>
    </row>
    <row r="3614" spans="2:12" x14ac:dyDescent="0.3">
      <c r="B3614" s="25">
        <v>3634</v>
      </c>
      <c r="C3614" s="33">
        <v>54149</v>
      </c>
      <c r="D3614" s="33" t="s">
        <v>1530</v>
      </c>
      <c r="E3614" s="35">
        <v>45141</v>
      </c>
      <c r="F3614" s="33">
        <v>3</v>
      </c>
      <c r="G3614" s="33" t="s">
        <v>124</v>
      </c>
      <c r="H3614" s="33" t="s">
        <v>69</v>
      </c>
      <c r="I3614" s="33" t="s">
        <v>197</v>
      </c>
      <c r="J3614" s="34">
        <v>1910.8</v>
      </c>
      <c r="K3614" s="34"/>
      <c r="L3614" s="34">
        <v>1910.8</v>
      </c>
    </row>
    <row r="3615" spans="2:12" x14ac:dyDescent="0.3">
      <c r="B3615" s="25">
        <v>3635</v>
      </c>
      <c r="C3615" s="33">
        <v>54153</v>
      </c>
      <c r="D3615" s="33" t="s">
        <v>404</v>
      </c>
      <c r="E3615" s="35">
        <v>45141</v>
      </c>
      <c r="F3615" s="33">
        <v>3</v>
      </c>
      <c r="G3615" s="33" t="s">
        <v>122</v>
      </c>
      <c r="H3615" s="33" t="s">
        <v>69</v>
      </c>
      <c r="I3615" s="33" t="s">
        <v>196</v>
      </c>
      <c r="J3615" s="34">
        <v>722.4</v>
      </c>
      <c r="K3615" s="34"/>
      <c r="L3615" s="34">
        <v>722.4</v>
      </c>
    </row>
    <row r="3616" spans="2:12" x14ac:dyDescent="0.3">
      <c r="B3616" s="25">
        <v>3636</v>
      </c>
      <c r="C3616" s="33">
        <v>54164</v>
      </c>
      <c r="D3616" s="33" t="s">
        <v>512</v>
      </c>
      <c r="E3616" s="35">
        <v>45141</v>
      </c>
      <c r="F3616" s="33">
        <v>3</v>
      </c>
      <c r="G3616" s="33" t="s">
        <v>122</v>
      </c>
      <c r="H3616" s="33" t="s">
        <v>69</v>
      </c>
      <c r="I3616" s="33" t="s">
        <v>196</v>
      </c>
      <c r="J3616" s="34">
        <v>1698.5</v>
      </c>
      <c r="K3616" s="34"/>
      <c r="L3616" s="34">
        <v>1698.5</v>
      </c>
    </row>
    <row r="3617" spans="2:12" x14ac:dyDescent="0.3">
      <c r="B3617" s="25">
        <v>3637</v>
      </c>
      <c r="C3617" s="33">
        <v>54172</v>
      </c>
      <c r="D3617" s="33" t="s">
        <v>1530</v>
      </c>
      <c r="E3617" s="35">
        <v>45168</v>
      </c>
      <c r="F3617" s="33">
        <v>3</v>
      </c>
      <c r="G3617" s="33" t="s">
        <v>124</v>
      </c>
      <c r="H3617" s="33" t="s">
        <v>69</v>
      </c>
      <c r="I3617" s="33" t="s">
        <v>197</v>
      </c>
      <c r="J3617" s="34">
        <v>1152.01</v>
      </c>
      <c r="K3617" s="34"/>
      <c r="L3617" s="34">
        <v>1152.01</v>
      </c>
    </row>
    <row r="3618" spans="2:12" x14ac:dyDescent="0.3">
      <c r="B3618" s="25">
        <v>3638</v>
      </c>
      <c r="C3618" s="33">
        <v>54174</v>
      </c>
      <c r="D3618" s="33" t="s">
        <v>404</v>
      </c>
      <c r="E3618" s="35">
        <v>45168</v>
      </c>
      <c r="F3618" s="33">
        <v>3</v>
      </c>
      <c r="G3618" s="33" t="s">
        <v>122</v>
      </c>
      <c r="H3618" s="33" t="s">
        <v>69</v>
      </c>
      <c r="I3618" s="33" t="s">
        <v>196</v>
      </c>
      <c r="J3618" s="34">
        <v>3042.3</v>
      </c>
      <c r="K3618" s="34"/>
      <c r="L3618" s="34">
        <v>3042.3</v>
      </c>
    </row>
    <row r="3619" spans="2:12" x14ac:dyDescent="0.3">
      <c r="B3619" s="25">
        <v>3639</v>
      </c>
      <c r="C3619" s="33">
        <v>54178</v>
      </c>
      <c r="D3619" s="33" t="s">
        <v>411</v>
      </c>
      <c r="E3619" s="35">
        <v>45168</v>
      </c>
      <c r="F3619" s="33">
        <v>3</v>
      </c>
      <c r="G3619" s="33" t="s">
        <v>122</v>
      </c>
      <c r="H3619" s="33" t="s">
        <v>69</v>
      </c>
      <c r="I3619" s="33" t="s">
        <v>196</v>
      </c>
      <c r="J3619" s="34">
        <v>3507.99</v>
      </c>
      <c r="K3619" s="34"/>
      <c r="L3619" s="34">
        <v>3507.99</v>
      </c>
    </row>
    <row r="3620" spans="2:12" x14ac:dyDescent="0.3">
      <c r="B3620" s="25">
        <v>3640</v>
      </c>
      <c r="C3620" s="33">
        <v>54179</v>
      </c>
      <c r="D3620" s="33" t="s">
        <v>805</v>
      </c>
      <c r="E3620" s="35">
        <v>45168</v>
      </c>
      <c r="F3620" s="33">
        <v>3</v>
      </c>
      <c r="G3620" s="33" t="s">
        <v>231</v>
      </c>
      <c r="H3620" s="33" t="s">
        <v>69</v>
      </c>
      <c r="I3620" s="33" t="s">
        <v>198</v>
      </c>
      <c r="J3620" s="34">
        <v>6861.5</v>
      </c>
      <c r="K3620" s="34"/>
      <c r="L3620" s="34">
        <v>6861.5</v>
      </c>
    </row>
    <row r="3621" spans="2:12" x14ac:dyDescent="0.3">
      <c r="B3621" s="25">
        <v>3641</v>
      </c>
      <c r="C3621" s="33">
        <v>54264</v>
      </c>
      <c r="D3621" s="33" t="s">
        <v>362</v>
      </c>
      <c r="E3621" s="35">
        <v>45173</v>
      </c>
      <c r="F3621" s="33">
        <v>3</v>
      </c>
      <c r="G3621" s="33" t="s">
        <v>124</v>
      </c>
      <c r="H3621" s="33" t="s">
        <v>69</v>
      </c>
      <c r="I3621" s="33" t="s">
        <v>197</v>
      </c>
      <c r="J3621" s="34">
        <v>129</v>
      </c>
      <c r="K3621" s="34"/>
      <c r="L3621" s="34">
        <v>129</v>
      </c>
    </row>
    <row r="3622" spans="2:12" x14ac:dyDescent="0.3">
      <c r="B3622" s="25">
        <v>3642</v>
      </c>
      <c r="C3622" s="33">
        <v>36484</v>
      </c>
      <c r="D3622" s="33" t="s">
        <v>1720</v>
      </c>
      <c r="E3622" s="35">
        <v>45180</v>
      </c>
      <c r="F3622" s="33">
        <v>3</v>
      </c>
      <c r="G3622" s="33" t="s">
        <v>231</v>
      </c>
      <c r="H3622" s="33" t="s">
        <v>72</v>
      </c>
      <c r="I3622" s="33" t="s">
        <v>198</v>
      </c>
      <c r="J3622" s="34">
        <v>8276.4</v>
      </c>
      <c r="K3622" s="34"/>
      <c r="L3622" s="34">
        <v>8276.4</v>
      </c>
    </row>
    <row r="3623" spans="2:12" x14ac:dyDescent="0.3">
      <c r="B3623" s="25">
        <v>3643</v>
      </c>
      <c r="C3623" s="33">
        <v>52598</v>
      </c>
      <c r="D3623" s="33" t="s">
        <v>400</v>
      </c>
      <c r="E3623" s="35">
        <v>45113</v>
      </c>
      <c r="F3623" s="33">
        <v>3</v>
      </c>
      <c r="G3623" s="33" t="s">
        <v>231</v>
      </c>
      <c r="H3623" s="33">
        <v>53</v>
      </c>
      <c r="I3623" s="33" t="s">
        <v>198</v>
      </c>
      <c r="J3623" s="34">
        <v>33.950000000000003</v>
      </c>
      <c r="K3623" s="34"/>
      <c r="L3623" s="34">
        <v>33.950000000000003</v>
      </c>
    </row>
    <row r="3624" spans="2:12" x14ac:dyDescent="0.3">
      <c r="B3624" s="25">
        <v>3645</v>
      </c>
      <c r="C3624" s="33">
        <v>52749</v>
      </c>
      <c r="D3624" s="33" t="s">
        <v>414</v>
      </c>
      <c r="E3624" s="35">
        <v>45121</v>
      </c>
      <c r="F3624" s="33">
        <v>3</v>
      </c>
      <c r="G3624" s="33" t="s">
        <v>122</v>
      </c>
      <c r="H3624" s="33">
        <v>53</v>
      </c>
      <c r="I3624" s="33" t="s">
        <v>196</v>
      </c>
      <c r="J3624" s="34">
        <v>6439.49</v>
      </c>
      <c r="K3624" s="34"/>
      <c r="L3624" s="34">
        <v>6439.49</v>
      </c>
    </row>
    <row r="3625" spans="2:12" x14ac:dyDescent="0.3">
      <c r="B3625" s="25">
        <v>3646</v>
      </c>
      <c r="C3625" s="33">
        <v>52822</v>
      </c>
      <c r="D3625" s="33" t="s">
        <v>1506</v>
      </c>
      <c r="E3625" s="35">
        <v>45127</v>
      </c>
      <c r="F3625" s="33">
        <v>3</v>
      </c>
      <c r="G3625" s="33" t="s">
        <v>231</v>
      </c>
      <c r="H3625" s="33">
        <v>53</v>
      </c>
      <c r="I3625" s="33" t="s">
        <v>198</v>
      </c>
      <c r="J3625" s="34">
        <v>21301.5</v>
      </c>
      <c r="K3625" s="34"/>
      <c r="L3625" s="34">
        <v>21301.5</v>
      </c>
    </row>
    <row r="3626" spans="2:12" x14ac:dyDescent="0.3">
      <c r="B3626" s="25">
        <v>3647</v>
      </c>
      <c r="C3626" s="33">
        <v>52825</v>
      </c>
      <c r="D3626" s="33" t="s">
        <v>413</v>
      </c>
      <c r="E3626" s="35">
        <v>45127</v>
      </c>
      <c r="F3626" s="33">
        <v>3</v>
      </c>
      <c r="G3626" s="33" t="s">
        <v>122</v>
      </c>
      <c r="H3626" s="33" t="s">
        <v>73</v>
      </c>
      <c r="I3626" s="33" t="s">
        <v>196</v>
      </c>
      <c r="J3626" s="34">
        <v>5189.01</v>
      </c>
      <c r="K3626" s="34"/>
      <c r="L3626" s="34">
        <v>5189.01</v>
      </c>
    </row>
    <row r="3627" spans="2:12" x14ac:dyDescent="0.3">
      <c r="B3627" s="25">
        <v>3648</v>
      </c>
      <c r="C3627" s="33" t="s">
        <v>1761</v>
      </c>
      <c r="D3627" s="33" t="s">
        <v>1617</v>
      </c>
      <c r="E3627" s="35">
        <v>45127</v>
      </c>
      <c r="F3627" s="33">
        <v>3</v>
      </c>
      <c r="G3627" s="33" t="s">
        <v>124</v>
      </c>
      <c r="H3627" s="33">
        <v>53</v>
      </c>
      <c r="I3627" s="33" t="s">
        <v>197</v>
      </c>
      <c r="J3627" s="34">
        <v>1592.5</v>
      </c>
      <c r="K3627" s="34"/>
      <c r="L3627" s="34">
        <v>1592.5</v>
      </c>
    </row>
    <row r="3628" spans="2:12" x14ac:dyDescent="0.3">
      <c r="B3628" s="25">
        <v>3649</v>
      </c>
      <c r="C3628" s="33" t="s">
        <v>1762</v>
      </c>
      <c r="D3628" s="33" t="s">
        <v>1372</v>
      </c>
      <c r="E3628" s="35">
        <v>45127</v>
      </c>
      <c r="F3628" s="33">
        <v>3</v>
      </c>
      <c r="G3628" s="33" t="s">
        <v>124</v>
      </c>
      <c r="H3628" s="33">
        <v>53</v>
      </c>
      <c r="I3628" s="33" t="s">
        <v>197</v>
      </c>
      <c r="J3628" s="34">
        <v>117</v>
      </c>
      <c r="K3628" s="34"/>
      <c r="L3628" s="34">
        <v>117</v>
      </c>
    </row>
    <row r="3629" spans="2:12" x14ac:dyDescent="0.3">
      <c r="B3629" s="25">
        <v>3650</v>
      </c>
      <c r="C3629" s="33" t="s">
        <v>1763</v>
      </c>
      <c r="D3629" s="33" t="s">
        <v>384</v>
      </c>
      <c r="E3629" s="35">
        <v>45127</v>
      </c>
      <c r="F3629" s="33">
        <v>3</v>
      </c>
      <c r="G3629" s="33" t="s">
        <v>124</v>
      </c>
      <c r="H3629" s="33" t="s">
        <v>73</v>
      </c>
      <c r="I3629" s="33" t="s">
        <v>197</v>
      </c>
      <c r="J3629" s="34">
        <v>41.4</v>
      </c>
      <c r="K3629" s="34"/>
      <c r="L3629" s="34">
        <v>41.4</v>
      </c>
    </row>
    <row r="3630" spans="2:12" x14ac:dyDescent="0.3">
      <c r="B3630" s="25">
        <v>3651</v>
      </c>
      <c r="C3630" s="33">
        <v>16689</v>
      </c>
      <c r="D3630" s="33" t="s">
        <v>403</v>
      </c>
      <c r="E3630" s="35">
        <v>45127</v>
      </c>
      <c r="F3630" s="33">
        <v>3</v>
      </c>
      <c r="G3630" s="33" t="s">
        <v>122</v>
      </c>
      <c r="H3630" s="33" t="s">
        <v>73</v>
      </c>
      <c r="I3630" s="33" t="s">
        <v>196</v>
      </c>
      <c r="J3630" s="34">
        <v>50</v>
      </c>
      <c r="K3630" s="34"/>
      <c r="L3630" s="34">
        <v>50</v>
      </c>
    </row>
    <row r="3631" spans="2:12" x14ac:dyDescent="0.3">
      <c r="B3631" s="25">
        <v>3652</v>
      </c>
      <c r="C3631" s="33" t="s">
        <v>1764</v>
      </c>
      <c r="D3631" s="33" t="s">
        <v>400</v>
      </c>
      <c r="E3631" s="35">
        <v>45128</v>
      </c>
      <c r="F3631" s="33">
        <v>3</v>
      </c>
      <c r="G3631" s="33" t="s">
        <v>231</v>
      </c>
      <c r="H3631" s="33">
        <v>53</v>
      </c>
      <c r="I3631" s="33" t="s">
        <v>198</v>
      </c>
      <c r="J3631" s="34">
        <v>372.99</v>
      </c>
      <c r="K3631" s="34"/>
      <c r="L3631" s="34">
        <v>372.99</v>
      </c>
    </row>
    <row r="3632" spans="2:12" x14ac:dyDescent="0.3">
      <c r="B3632" s="25">
        <v>3653</v>
      </c>
      <c r="C3632" s="33">
        <v>52859</v>
      </c>
      <c r="D3632" s="33" t="s">
        <v>400</v>
      </c>
      <c r="E3632" s="35">
        <v>45128</v>
      </c>
      <c r="F3632" s="33">
        <v>3</v>
      </c>
      <c r="G3632" s="33" t="s">
        <v>231</v>
      </c>
      <c r="H3632" s="33" t="s">
        <v>73</v>
      </c>
      <c r="I3632" s="33" t="s">
        <v>198</v>
      </c>
      <c r="J3632" s="34">
        <v>104.18</v>
      </c>
      <c r="K3632" s="34"/>
      <c r="L3632" s="34">
        <v>104.18</v>
      </c>
    </row>
    <row r="3633" spans="2:12" x14ac:dyDescent="0.3">
      <c r="B3633" s="25">
        <v>3654</v>
      </c>
      <c r="C3633" s="33">
        <v>52860</v>
      </c>
      <c r="D3633" s="33" t="s">
        <v>400</v>
      </c>
      <c r="E3633" s="35">
        <v>45128</v>
      </c>
      <c r="F3633" s="33">
        <v>3</v>
      </c>
      <c r="G3633" s="33" t="s">
        <v>231</v>
      </c>
      <c r="H3633" s="33">
        <v>53</v>
      </c>
      <c r="I3633" s="33" t="s">
        <v>198</v>
      </c>
      <c r="J3633" s="34">
        <v>501.91</v>
      </c>
      <c r="K3633" s="34"/>
      <c r="L3633" s="34">
        <v>501.91</v>
      </c>
    </row>
    <row r="3634" spans="2:12" x14ac:dyDescent="0.3">
      <c r="B3634" s="25">
        <v>3655</v>
      </c>
      <c r="C3634" s="33">
        <v>52861</v>
      </c>
      <c r="D3634" s="33" t="s">
        <v>400</v>
      </c>
      <c r="E3634" s="35">
        <v>45128</v>
      </c>
      <c r="F3634" s="33">
        <v>3</v>
      </c>
      <c r="G3634" s="33" t="s">
        <v>231</v>
      </c>
      <c r="H3634" s="33">
        <v>53</v>
      </c>
      <c r="I3634" s="33" t="s">
        <v>198</v>
      </c>
      <c r="J3634" s="34">
        <v>23.28</v>
      </c>
      <c r="K3634" s="34"/>
      <c r="L3634" s="34">
        <v>23.28</v>
      </c>
    </row>
    <row r="3635" spans="2:12" x14ac:dyDescent="0.3">
      <c r="B3635" s="25">
        <v>3656</v>
      </c>
      <c r="C3635" s="33">
        <v>52952</v>
      </c>
      <c r="D3635" s="33" t="s">
        <v>275</v>
      </c>
      <c r="E3635" s="35">
        <v>45134</v>
      </c>
      <c r="F3635" s="33">
        <v>3</v>
      </c>
      <c r="G3635" s="33" t="s">
        <v>124</v>
      </c>
      <c r="H3635" s="33" t="s">
        <v>73</v>
      </c>
      <c r="I3635" s="33" t="s">
        <v>197</v>
      </c>
      <c r="J3635" s="34">
        <v>532</v>
      </c>
      <c r="K3635" s="34"/>
      <c r="L3635" s="34">
        <v>532</v>
      </c>
    </row>
    <row r="3636" spans="2:12" x14ac:dyDescent="0.3">
      <c r="B3636" s="25">
        <v>3657</v>
      </c>
      <c r="C3636" s="33" t="s">
        <v>1765</v>
      </c>
      <c r="D3636" s="33" t="s">
        <v>400</v>
      </c>
      <c r="E3636" s="35">
        <v>45135</v>
      </c>
      <c r="F3636" s="33">
        <v>3</v>
      </c>
      <c r="G3636" s="33" t="s">
        <v>231</v>
      </c>
      <c r="H3636" s="33">
        <v>53</v>
      </c>
      <c r="I3636" s="33" t="s">
        <v>198</v>
      </c>
      <c r="J3636" s="34">
        <v>-620</v>
      </c>
      <c r="K3636" s="34"/>
      <c r="L3636" s="34">
        <v>-620</v>
      </c>
    </row>
    <row r="3637" spans="2:12" x14ac:dyDescent="0.3">
      <c r="B3637" s="25">
        <v>3658</v>
      </c>
      <c r="C3637" s="33">
        <v>53079</v>
      </c>
      <c r="D3637" s="33" t="s">
        <v>1506</v>
      </c>
      <c r="E3637" s="35">
        <v>45169</v>
      </c>
      <c r="F3637" s="33">
        <v>3</v>
      </c>
      <c r="G3637" s="33" t="s">
        <v>231</v>
      </c>
      <c r="H3637" s="33">
        <v>53</v>
      </c>
      <c r="I3637" s="33" t="s">
        <v>198</v>
      </c>
      <c r="J3637" s="34">
        <v>914.2</v>
      </c>
      <c r="K3637" s="34"/>
      <c r="L3637" s="34">
        <v>914.2</v>
      </c>
    </row>
    <row r="3638" spans="2:12" x14ac:dyDescent="0.3">
      <c r="B3638" s="25">
        <v>3659</v>
      </c>
      <c r="C3638" s="33">
        <v>36368</v>
      </c>
      <c r="D3638" s="33" t="s">
        <v>1708</v>
      </c>
      <c r="E3638" s="35">
        <v>45161</v>
      </c>
      <c r="F3638" s="33">
        <v>3</v>
      </c>
      <c r="G3638" s="33" t="s">
        <v>122</v>
      </c>
      <c r="H3638" s="33" t="s">
        <v>72</v>
      </c>
      <c r="I3638" s="33" t="s">
        <v>196</v>
      </c>
      <c r="J3638" s="34">
        <v>21420</v>
      </c>
      <c r="K3638" s="34"/>
      <c r="L3638" s="34">
        <v>21420</v>
      </c>
    </row>
    <row r="3639" spans="2:12" x14ac:dyDescent="0.3">
      <c r="B3639" s="25">
        <v>3660</v>
      </c>
      <c r="C3639" s="33">
        <v>5770</v>
      </c>
      <c r="D3639" s="33" t="s">
        <v>957</v>
      </c>
      <c r="E3639" s="35">
        <v>45176</v>
      </c>
      <c r="F3639" s="33">
        <v>3</v>
      </c>
      <c r="G3639" s="33" t="s">
        <v>122</v>
      </c>
      <c r="H3639" s="33" t="s">
        <v>201</v>
      </c>
      <c r="I3639" s="33" t="s">
        <v>196</v>
      </c>
      <c r="J3639" s="34">
        <v>2965.6</v>
      </c>
      <c r="K3639" s="34"/>
      <c r="L3639" s="34">
        <v>2965.6</v>
      </c>
    </row>
    <row r="3640" spans="2:12" x14ac:dyDescent="0.3">
      <c r="B3640" s="25">
        <v>3661</v>
      </c>
      <c r="C3640" s="33">
        <v>5772</v>
      </c>
      <c r="D3640" s="33" t="s">
        <v>362</v>
      </c>
      <c r="E3640" s="35">
        <v>45176</v>
      </c>
      <c r="F3640" s="33">
        <v>3</v>
      </c>
      <c r="G3640" s="33" t="s">
        <v>124</v>
      </c>
      <c r="H3640" s="33" t="s">
        <v>201</v>
      </c>
      <c r="I3640" s="33" t="s">
        <v>197</v>
      </c>
      <c r="J3640" s="34">
        <v>5058.63</v>
      </c>
      <c r="K3640" s="34"/>
      <c r="L3640" s="34">
        <v>5058.63</v>
      </c>
    </row>
    <row r="3641" spans="2:12" x14ac:dyDescent="0.3">
      <c r="B3641" s="25">
        <v>3662</v>
      </c>
      <c r="C3641" s="33" t="s">
        <v>1766</v>
      </c>
      <c r="D3641" s="33" t="s">
        <v>362</v>
      </c>
      <c r="E3641" s="35">
        <v>45176</v>
      </c>
      <c r="F3641" s="33">
        <v>3</v>
      </c>
      <c r="G3641" s="33" t="s">
        <v>124</v>
      </c>
      <c r="H3641" s="33" t="s">
        <v>201</v>
      </c>
      <c r="I3641" s="33" t="s">
        <v>197</v>
      </c>
      <c r="J3641" s="34">
        <v>2479.83</v>
      </c>
      <c r="K3641" s="34"/>
      <c r="L3641" s="34">
        <v>2479.83</v>
      </c>
    </row>
    <row r="3642" spans="2:12" x14ac:dyDescent="0.3">
      <c r="B3642" s="25">
        <v>3663</v>
      </c>
      <c r="C3642" s="33">
        <v>5775</v>
      </c>
      <c r="D3642" s="33" t="s">
        <v>411</v>
      </c>
      <c r="E3642" s="35">
        <v>45176</v>
      </c>
      <c r="F3642" s="33">
        <v>3</v>
      </c>
      <c r="G3642" s="33" t="s">
        <v>122</v>
      </c>
      <c r="H3642" s="33" t="s">
        <v>201</v>
      </c>
      <c r="I3642" s="33" t="s">
        <v>196</v>
      </c>
      <c r="J3642" s="34">
        <v>1766.16</v>
      </c>
      <c r="K3642" s="34"/>
      <c r="L3642" s="34">
        <v>1766.16</v>
      </c>
    </row>
    <row r="3643" spans="2:12" x14ac:dyDescent="0.3">
      <c r="B3643" s="25">
        <v>3664</v>
      </c>
      <c r="C3643" s="33">
        <v>5776</v>
      </c>
      <c r="D3643" s="33" t="s">
        <v>826</v>
      </c>
      <c r="E3643" s="35">
        <v>45176</v>
      </c>
      <c r="F3643" s="33">
        <v>3</v>
      </c>
      <c r="G3643" s="33" t="s">
        <v>122</v>
      </c>
      <c r="H3643" s="33" t="s">
        <v>201</v>
      </c>
      <c r="I3643" s="33" t="s">
        <v>196</v>
      </c>
      <c r="J3643" s="34">
        <v>7382.1</v>
      </c>
      <c r="K3643" s="34"/>
      <c r="L3643" s="34">
        <v>7382.1</v>
      </c>
    </row>
    <row r="3644" spans="2:12" x14ac:dyDescent="0.3">
      <c r="B3644" s="25">
        <v>3665</v>
      </c>
      <c r="C3644" s="33">
        <v>20916</v>
      </c>
      <c r="D3644" s="33" t="s">
        <v>1767</v>
      </c>
      <c r="E3644" s="35">
        <v>45199</v>
      </c>
      <c r="F3644" s="33">
        <v>3</v>
      </c>
      <c r="G3644" s="33" t="s">
        <v>122</v>
      </c>
      <c r="H3644" s="33">
        <v>53</v>
      </c>
      <c r="I3644" s="33" t="s">
        <v>196</v>
      </c>
      <c r="J3644" s="34">
        <v>1521.88</v>
      </c>
      <c r="K3644" s="34"/>
      <c r="L3644" s="34">
        <v>1521.88</v>
      </c>
    </row>
    <row r="3645" spans="2:12" x14ac:dyDescent="0.3">
      <c r="B3645" s="25">
        <v>3666</v>
      </c>
      <c r="C3645" s="33" t="s">
        <v>1768</v>
      </c>
      <c r="D3645" s="33" t="s">
        <v>1767</v>
      </c>
      <c r="E3645" s="35">
        <v>45196</v>
      </c>
      <c r="F3645" s="33">
        <v>3</v>
      </c>
      <c r="G3645" s="33" t="s">
        <v>231</v>
      </c>
      <c r="H3645" s="33">
        <v>53</v>
      </c>
      <c r="I3645" s="33" t="s">
        <v>198</v>
      </c>
      <c r="J3645" s="34">
        <v>1922.4</v>
      </c>
      <c r="K3645" s="34"/>
      <c r="L3645" s="34">
        <v>1922.4</v>
      </c>
    </row>
    <row r="3646" spans="2:12" x14ac:dyDescent="0.3">
      <c r="B3646" s="25">
        <v>3667</v>
      </c>
      <c r="C3646" s="33">
        <v>36546</v>
      </c>
      <c r="D3646" s="33" t="s">
        <v>852</v>
      </c>
      <c r="E3646" s="35">
        <v>45188</v>
      </c>
      <c r="F3646" s="33">
        <v>3</v>
      </c>
      <c r="G3646" s="33" t="s">
        <v>124</v>
      </c>
      <c r="H3646" s="33" t="s">
        <v>72</v>
      </c>
      <c r="I3646" s="33" t="s">
        <v>197</v>
      </c>
      <c r="J3646" s="34">
        <v>9309.4599999999991</v>
      </c>
      <c r="K3646" s="34"/>
      <c r="L3646" s="34">
        <v>9309.4599999999991</v>
      </c>
    </row>
    <row r="3647" spans="2:12" x14ac:dyDescent="0.3">
      <c r="B3647" s="25">
        <v>3668</v>
      </c>
      <c r="C3647" s="33">
        <v>36560</v>
      </c>
      <c r="D3647" s="33" t="s">
        <v>394</v>
      </c>
      <c r="E3647" s="35">
        <v>45189</v>
      </c>
      <c r="F3647" s="33">
        <v>3</v>
      </c>
      <c r="G3647" s="33" t="s">
        <v>122</v>
      </c>
      <c r="H3647" s="33" t="s">
        <v>72</v>
      </c>
      <c r="I3647" s="33" t="s">
        <v>196</v>
      </c>
      <c r="J3647" s="34">
        <v>3096.15</v>
      </c>
      <c r="K3647" s="34"/>
      <c r="L3647" s="34">
        <v>3096.15</v>
      </c>
    </row>
    <row r="3648" spans="2:12" x14ac:dyDescent="0.3">
      <c r="B3648" s="25">
        <v>3669</v>
      </c>
      <c r="C3648" s="33">
        <v>36561</v>
      </c>
      <c r="D3648" s="33" t="s">
        <v>394</v>
      </c>
      <c r="E3648" s="35">
        <v>45189</v>
      </c>
      <c r="F3648" s="33">
        <v>3</v>
      </c>
      <c r="G3648" s="33" t="s">
        <v>122</v>
      </c>
      <c r="H3648" s="33" t="s">
        <v>72</v>
      </c>
      <c r="I3648" s="33" t="s">
        <v>196</v>
      </c>
      <c r="J3648" s="34">
        <v>23406.35</v>
      </c>
      <c r="K3648" s="34"/>
      <c r="L3648" s="34">
        <v>23406.35</v>
      </c>
    </row>
    <row r="3649" spans="2:12" x14ac:dyDescent="0.3">
      <c r="B3649" s="25">
        <v>3670</v>
      </c>
      <c r="C3649" s="33">
        <v>36630</v>
      </c>
      <c r="D3649" s="33" t="s">
        <v>394</v>
      </c>
      <c r="E3649" s="35">
        <v>45198</v>
      </c>
      <c r="F3649" s="33">
        <v>3</v>
      </c>
      <c r="G3649" s="33" t="s">
        <v>122</v>
      </c>
      <c r="H3649" s="33" t="s">
        <v>72</v>
      </c>
      <c r="I3649" s="33" t="s">
        <v>196</v>
      </c>
      <c r="J3649" s="34">
        <v>964.07</v>
      </c>
      <c r="K3649" s="34"/>
      <c r="L3649" s="34">
        <v>964.07</v>
      </c>
    </row>
    <row r="3650" spans="2:12" x14ac:dyDescent="0.3">
      <c r="B3650" s="25">
        <v>3671</v>
      </c>
      <c r="C3650" s="33">
        <v>36637</v>
      </c>
      <c r="D3650" s="33" t="s">
        <v>1610</v>
      </c>
      <c r="E3650" s="35">
        <v>45199</v>
      </c>
      <c r="F3650" s="33">
        <v>3</v>
      </c>
      <c r="G3650" s="33" t="s">
        <v>124</v>
      </c>
      <c r="H3650" s="33" t="s">
        <v>72</v>
      </c>
      <c r="I3650" s="33" t="s">
        <v>197</v>
      </c>
      <c r="J3650" s="34">
        <v>106</v>
      </c>
      <c r="K3650" s="34"/>
      <c r="L3650" s="34">
        <v>106</v>
      </c>
    </row>
    <row r="3651" spans="2:12" x14ac:dyDescent="0.3">
      <c r="B3651" s="25">
        <v>3672</v>
      </c>
      <c r="C3651" s="33">
        <v>36648</v>
      </c>
      <c r="D3651" s="33" t="s">
        <v>1769</v>
      </c>
      <c r="E3651" s="35">
        <v>45202</v>
      </c>
      <c r="F3651" s="33">
        <v>4</v>
      </c>
      <c r="G3651" s="33" t="s">
        <v>231</v>
      </c>
      <c r="H3651" s="33" t="s">
        <v>72</v>
      </c>
      <c r="I3651" s="33" t="s">
        <v>198</v>
      </c>
      <c r="J3651" s="34">
        <v>3118.5</v>
      </c>
      <c r="K3651" s="34"/>
      <c r="L3651" s="34">
        <v>3118.5</v>
      </c>
    </row>
    <row r="3652" spans="2:12" x14ac:dyDescent="0.3">
      <c r="B3652" s="25">
        <v>3673</v>
      </c>
      <c r="C3652" s="33">
        <v>36654</v>
      </c>
      <c r="D3652" s="33" t="s">
        <v>1770</v>
      </c>
      <c r="E3652" s="35">
        <v>45202</v>
      </c>
      <c r="F3652" s="33">
        <v>4</v>
      </c>
      <c r="G3652" s="33" t="s">
        <v>122</v>
      </c>
      <c r="H3652" s="33" t="s">
        <v>72</v>
      </c>
      <c r="I3652" s="33" t="s">
        <v>196</v>
      </c>
      <c r="J3652" s="34">
        <v>19699</v>
      </c>
      <c r="K3652" s="34"/>
      <c r="L3652" s="34">
        <v>19699</v>
      </c>
    </row>
    <row r="3653" spans="2:12" x14ac:dyDescent="0.3">
      <c r="B3653" s="25">
        <v>3674</v>
      </c>
      <c r="C3653" s="33">
        <v>36695</v>
      </c>
      <c r="D3653" s="33" t="s">
        <v>446</v>
      </c>
      <c r="E3653" s="35">
        <v>45209</v>
      </c>
      <c r="F3653" s="33">
        <v>4</v>
      </c>
      <c r="G3653" s="33" t="s">
        <v>122</v>
      </c>
      <c r="H3653" s="33" t="s">
        <v>72</v>
      </c>
      <c r="I3653" s="33" t="s">
        <v>196</v>
      </c>
      <c r="J3653" s="34">
        <v>8867.89</v>
      </c>
      <c r="K3653" s="34"/>
      <c r="L3653" s="34">
        <v>8867.89</v>
      </c>
    </row>
    <row r="3654" spans="2:12" x14ac:dyDescent="0.3">
      <c r="B3654" s="25">
        <v>3675</v>
      </c>
      <c r="C3654" s="33">
        <v>5836</v>
      </c>
      <c r="D3654" s="33" t="s">
        <v>584</v>
      </c>
      <c r="E3654" s="35">
        <v>45181</v>
      </c>
      <c r="F3654" s="33">
        <v>3</v>
      </c>
      <c r="G3654" s="33" t="s">
        <v>122</v>
      </c>
      <c r="H3654" s="33" t="s">
        <v>201</v>
      </c>
      <c r="I3654" s="33" t="s">
        <v>196</v>
      </c>
      <c r="J3654" s="34">
        <v>775.44</v>
      </c>
      <c r="K3654" s="34"/>
      <c r="L3654" s="34">
        <v>775.44</v>
      </c>
    </row>
    <row r="3655" spans="2:12" x14ac:dyDescent="0.3">
      <c r="B3655" s="25">
        <v>3676</v>
      </c>
      <c r="C3655" s="33">
        <v>5869</v>
      </c>
      <c r="D3655" s="33" t="s">
        <v>852</v>
      </c>
      <c r="E3655" s="35">
        <v>45183</v>
      </c>
      <c r="F3655" s="33">
        <v>3</v>
      </c>
      <c r="G3655" s="33" t="s">
        <v>124</v>
      </c>
      <c r="H3655" s="33" t="s">
        <v>201</v>
      </c>
      <c r="I3655" s="33" t="s">
        <v>197</v>
      </c>
      <c r="J3655" s="34">
        <v>18</v>
      </c>
      <c r="K3655" s="34"/>
      <c r="L3655" s="34">
        <v>18</v>
      </c>
    </row>
    <row r="3656" spans="2:12" x14ac:dyDescent="0.3">
      <c r="B3656" s="25">
        <v>3677</v>
      </c>
      <c r="C3656" s="33">
        <v>5917</v>
      </c>
      <c r="D3656" s="33" t="s">
        <v>463</v>
      </c>
      <c r="E3656" s="35">
        <v>45183</v>
      </c>
      <c r="F3656" s="33">
        <v>3</v>
      </c>
      <c r="G3656" s="33" t="s">
        <v>122</v>
      </c>
      <c r="H3656" s="33" t="s">
        <v>201</v>
      </c>
      <c r="I3656" s="33" t="s">
        <v>196</v>
      </c>
      <c r="J3656" s="34">
        <v>859.6</v>
      </c>
      <c r="K3656" s="34">
        <v>100</v>
      </c>
      <c r="L3656" s="34">
        <v>759.6</v>
      </c>
    </row>
    <row r="3657" spans="2:12" x14ac:dyDescent="0.3">
      <c r="B3657" s="25">
        <v>3678</v>
      </c>
      <c r="C3657" s="33">
        <v>6034</v>
      </c>
      <c r="D3657" s="33" t="s">
        <v>473</v>
      </c>
      <c r="E3657" s="35">
        <v>45190</v>
      </c>
      <c r="F3657" s="33">
        <v>3</v>
      </c>
      <c r="G3657" s="33" t="s">
        <v>122</v>
      </c>
      <c r="H3657" s="33" t="s">
        <v>201</v>
      </c>
      <c r="I3657" s="33" t="s">
        <v>196</v>
      </c>
      <c r="J3657" s="34">
        <v>2779.41</v>
      </c>
      <c r="K3657" s="34"/>
      <c r="L3657" s="34">
        <v>2779.41</v>
      </c>
    </row>
    <row r="3658" spans="2:12" x14ac:dyDescent="0.3">
      <c r="B3658" s="25">
        <v>3679</v>
      </c>
      <c r="C3658" s="33">
        <v>6035</v>
      </c>
      <c r="D3658" s="33" t="s">
        <v>565</v>
      </c>
      <c r="E3658" s="35">
        <v>45190</v>
      </c>
      <c r="F3658" s="33">
        <v>3</v>
      </c>
      <c r="G3658" s="33" t="s">
        <v>124</v>
      </c>
      <c r="H3658" s="33" t="s">
        <v>201</v>
      </c>
      <c r="I3658" s="33" t="s">
        <v>197</v>
      </c>
      <c r="J3658" s="34">
        <v>7897.21</v>
      </c>
      <c r="K3658" s="34"/>
      <c r="L3658" s="34">
        <v>7897.21</v>
      </c>
    </row>
    <row r="3659" spans="2:12" x14ac:dyDescent="0.3">
      <c r="B3659" s="25">
        <v>3680</v>
      </c>
      <c r="C3659" s="33">
        <v>6036</v>
      </c>
      <c r="D3659" s="33" t="s">
        <v>582</v>
      </c>
      <c r="E3659" s="35">
        <v>45190</v>
      </c>
      <c r="F3659" s="33">
        <v>3</v>
      </c>
      <c r="G3659" s="33" t="s">
        <v>628</v>
      </c>
      <c r="H3659" s="33" t="s">
        <v>201</v>
      </c>
      <c r="I3659" s="33" t="s">
        <v>75</v>
      </c>
      <c r="J3659" s="34">
        <v>281.5</v>
      </c>
      <c r="K3659" s="34">
        <v>100</v>
      </c>
      <c r="L3659" s="34">
        <v>181.5</v>
      </c>
    </row>
    <row r="3660" spans="2:12" x14ac:dyDescent="0.3">
      <c r="B3660" s="25">
        <v>3681</v>
      </c>
      <c r="C3660" s="33">
        <v>6037</v>
      </c>
      <c r="D3660" s="33" t="s">
        <v>596</v>
      </c>
      <c r="E3660" s="35">
        <v>45190</v>
      </c>
      <c r="F3660" s="33">
        <v>3</v>
      </c>
      <c r="G3660" s="33" t="s">
        <v>122</v>
      </c>
      <c r="H3660" s="33" t="s">
        <v>201</v>
      </c>
      <c r="I3660" s="33" t="s">
        <v>196</v>
      </c>
      <c r="J3660" s="34">
        <v>2517.9</v>
      </c>
      <c r="K3660" s="34"/>
      <c r="L3660" s="34">
        <v>2517.9</v>
      </c>
    </row>
    <row r="3661" spans="2:12" x14ac:dyDescent="0.3">
      <c r="B3661" s="25">
        <v>3682</v>
      </c>
      <c r="C3661" s="33">
        <v>6038</v>
      </c>
      <c r="D3661" s="33" t="s">
        <v>362</v>
      </c>
      <c r="E3661" s="35">
        <v>45190</v>
      </c>
      <c r="F3661" s="33">
        <v>3</v>
      </c>
      <c r="G3661" s="33" t="s">
        <v>124</v>
      </c>
      <c r="H3661" s="33" t="s">
        <v>201</v>
      </c>
      <c r="I3661" s="33" t="s">
        <v>197</v>
      </c>
      <c r="J3661" s="34">
        <v>3012.24</v>
      </c>
      <c r="K3661" s="34"/>
      <c r="L3661" s="34">
        <v>3012.24</v>
      </c>
    </row>
    <row r="3662" spans="2:12" x14ac:dyDescent="0.3">
      <c r="B3662" s="25">
        <v>3683</v>
      </c>
      <c r="C3662" s="33">
        <v>6040</v>
      </c>
      <c r="D3662" s="33" t="s">
        <v>1771</v>
      </c>
      <c r="E3662" s="35">
        <v>45190</v>
      </c>
      <c r="F3662" s="33">
        <v>3</v>
      </c>
      <c r="G3662" s="33" t="s">
        <v>124</v>
      </c>
      <c r="H3662" s="33" t="s">
        <v>201</v>
      </c>
      <c r="I3662" s="33" t="s">
        <v>197</v>
      </c>
      <c r="J3662" s="34">
        <v>4188</v>
      </c>
      <c r="K3662" s="34"/>
      <c r="L3662" s="34">
        <v>4188</v>
      </c>
    </row>
    <row r="3663" spans="2:12" x14ac:dyDescent="0.3">
      <c r="B3663" s="25">
        <v>3684</v>
      </c>
      <c r="C3663" s="33">
        <v>6042</v>
      </c>
      <c r="D3663" s="33" t="s">
        <v>1772</v>
      </c>
      <c r="E3663" s="35">
        <v>45190</v>
      </c>
      <c r="F3663" s="33">
        <v>3</v>
      </c>
      <c r="G3663" s="33" t="s">
        <v>628</v>
      </c>
      <c r="H3663" s="33" t="s">
        <v>201</v>
      </c>
      <c r="I3663" s="33" t="s">
        <v>75</v>
      </c>
      <c r="J3663" s="34">
        <v>1300.8</v>
      </c>
      <c r="K3663" s="34"/>
      <c r="L3663" s="34">
        <v>1300.8</v>
      </c>
    </row>
    <row r="3664" spans="2:12" x14ac:dyDescent="0.3">
      <c r="B3664" s="25">
        <v>3686</v>
      </c>
      <c r="C3664" s="33" t="s">
        <v>1787</v>
      </c>
      <c r="D3664" s="33" t="s">
        <v>623</v>
      </c>
      <c r="E3664" s="35">
        <v>45197</v>
      </c>
      <c r="F3664" s="33">
        <v>3</v>
      </c>
      <c r="G3664" s="33" t="s">
        <v>122</v>
      </c>
      <c r="H3664" s="33" t="s">
        <v>629</v>
      </c>
      <c r="I3664" s="33" t="s">
        <v>196</v>
      </c>
      <c r="J3664" s="34">
        <v>6250</v>
      </c>
      <c r="K3664" s="34">
        <v>690</v>
      </c>
      <c r="L3664" s="34">
        <v>5560</v>
      </c>
    </row>
    <row r="3665" spans="2:12" x14ac:dyDescent="0.3">
      <c r="B3665" s="25">
        <v>3687</v>
      </c>
      <c r="C3665" s="33" t="s">
        <v>1784</v>
      </c>
      <c r="D3665" s="33" t="s">
        <v>1788</v>
      </c>
      <c r="E3665" s="35">
        <v>45209</v>
      </c>
      <c r="F3665" s="33">
        <v>4</v>
      </c>
      <c r="G3665" s="33" t="s">
        <v>122</v>
      </c>
      <c r="H3665" s="33" t="s">
        <v>70</v>
      </c>
      <c r="I3665" s="33" t="s">
        <v>196</v>
      </c>
      <c r="J3665" s="34">
        <v>2764.44</v>
      </c>
      <c r="K3665" s="34"/>
      <c r="L3665" s="34">
        <v>2764.44</v>
      </c>
    </row>
    <row r="3666" spans="2:12" x14ac:dyDescent="0.3">
      <c r="B3666" s="25">
        <v>3688</v>
      </c>
      <c r="C3666" s="33">
        <v>6216</v>
      </c>
      <c r="D3666" s="33" t="s">
        <v>793</v>
      </c>
      <c r="E3666" s="35">
        <v>45197</v>
      </c>
      <c r="F3666" s="33">
        <v>3</v>
      </c>
      <c r="G3666" s="33" t="s">
        <v>124</v>
      </c>
      <c r="H3666" s="33" t="s">
        <v>201</v>
      </c>
      <c r="I3666" s="33" t="s">
        <v>197</v>
      </c>
      <c r="J3666" s="34">
        <v>4643.1000000000004</v>
      </c>
      <c r="K3666" s="34"/>
      <c r="L3666" s="34">
        <v>4643.1000000000004</v>
      </c>
    </row>
    <row r="3667" spans="2:12" x14ac:dyDescent="0.3">
      <c r="B3667" s="25">
        <v>3689</v>
      </c>
      <c r="C3667" s="33">
        <v>6217</v>
      </c>
      <c r="D3667" s="33" t="s">
        <v>473</v>
      </c>
      <c r="E3667" s="35">
        <v>45197</v>
      </c>
      <c r="F3667" s="33">
        <v>3</v>
      </c>
      <c r="G3667" s="33" t="s">
        <v>122</v>
      </c>
      <c r="H3667" s="33" t="s">
        <v>201</v>
      </c>
      <c r="I3667" s="33" t="s">
        <v>196</v>
      </c>
      <c r="J3667" s="34">
        <v>3367.23</v>
      </c>
      <c r="K3667" s="34"/>
      <c r="L3667" s="34">
        <v>3367.23</v>
      </c>
    </row>
    <row r="3668" spans="2:12" x14ac:dyDescent="0.3">
      <c r="B3668" s="25">
        <v>3690</v>
      </c>
      <c r="C3668" s="33">
        <v>6219</v>
      </c>
      <c r="D3668" s="33" t="s">
        <v>824</v>
      </c>
      <c r="E3668" s="35">
        <v>45197</v>
      </c>
      <c r="F3668" s="33">
        <v>3</v>
      </c>
      <c r="G3668" s="33" t="s">
        <v>231</v>
      </c>
      <c r="H3668" s="33" t="s">
        <v>201</v>
      </c>
      <c r="I3668" s="33" t="s">
        <v>198</v>
      </c>
      <c r="J3668" s="34">
        <v>6323.9</v>
      </c>
      <c r="K3668" s="34"/>
      <c r="L3668" s="34">
        <v>6323.9</v>
      </c>
    </row>
    <row r="3669" spans="2:12" x14ac:dyDescent="0.3">
      <c r="B3669" s="25">
        <v>3691</v>
      </c>
      <c r="C3669" s="33">
        <v>6225</v>
      </c>
      <c r="D3669" s="33" t="s">
        <v>362</v>
      </c>
      <c r="E3669" s="35">
        <v>45197</v>
      </c>
      <c r="F3669" s="33">
        <v>3</v>
      </c>
      <c r="G3669" s="33" t="s">
        <v>124</v>
      </c>
      <c r="H3669" s="33" t="s">
        <v>201</v>
      </c>
      <c r="I3669" s="33" t="s">
        <v>197</v>
      </c>
      <c r="J3669" s="34">
        <v>11765.16</v>
      </c>
      <c r="K3669" s="34"/>
      <c r="L3669" s="34">
        <v>11765.16</v>
      </c>
    </row>
    <row r="3670" spans="2:12" x14ac:dyDescent="0.3">
      <c r="B3670" s="25">
        <v>3692</v>
      </c>
      <c r="C3670" s="33">
        <v>6227</v>
      </c>
      <c r="D3670" s="33" t="s">
        <v>411</v>
      </c>
      <c r="E3670" s="35">
        <v>45197</v>
      </c>
      <c r="F3670" s="33">
        <v>3</v>
      </c>
      <c r="G3670" s="33" t="s">
        <v>122</v>
      </c>
      <c r="H3670" s="33" t="s">
        <v>201</v>
      </c>
      <c r="I3670" s="33" t="s">
        <v>196</v>
      </c>
      <c r="J3670" s="34">
        <v>2490.84</v>
      </c>
      <c r="K3670" s="34"/>
      <c r="L3670" s="34">
        <v>2490.84</v>
      </c>
    </row>
    <row r="3671" spans="2:12" x14ac:dyDescent="0.3">
      <c r="B3671" s="25">
        <v>3693</v>
      </c>
      <c r="C3671" s="33">
        <v>6358</v>
      </c>
      <c r="D3671" s="33" t="s">
        <v>565</v>
      </c>
      <c r="E3671" s="35">
        <v>45204</v>
      </c>
      <c r="F3671" s="33">
        <v>4</v>
      </c>
      <c r="G3671" s="33" t="s">
        <v>124</v>
      </c>
      <c r="H3671" s="33" t="s">
        <v>201</v>
      </c>
      <c r="I3671" s="33" t="s">
        <v>197</v>
      </c>
      <c r="J3671" s="34">
        <v>180.67</v>
      </c>
      <c r="K3671" s="34"/>
      <c r="L3671" s="34">
        <v>180.67</v>
      </c>
    </row>
    <row r="3672" spans="2:12" x14ac:dyDescent="0.3">
      <c r="B3672" s="25">
        <v>3694</v>
      </c>
      <c r="C3672" s="33">
        <v>6360</v>
      </c>
      <c r="D3672" s="33" t="s">
        <v>1729</v>
      </c>
      <c r="E3672" s="35">
        <v>45204</v>
      </c>
      <c r="F3672" s="33">
        <v>4</v>
      </c>
      <c r="G3672" s="33" t="s">
        <v>231</v>
      </c>
      <c r="H3672" s="33" t="s">
        <v>201</v>
      </c>
      <c r="I3672" s="33" t="s">
        <v>198</v>
      </c>
      <c r="J3672" s="34">
        <v>1746</v>
      </c>
      <c r="K3672" s="34"/>
      <c r="L3672" s="34">
        <v>1746</v>
      </c>
    </row>
    <row r="3673" spans="2:12" x14ac:dyDescent="0.3">
      <c r="B3673" s="25">
        <v>3695</v>
      </c>
      <c r="C3673" s="33">
        <v>6361</v>
      </c>
      <c r="D3673" s="33" t="s">
        <v>394</v>
      </c>
      <c r="E3673" s="35">
        <v>45204</v>
      </c>
      <c r="F3673" s="33">
        <v>4</v>
      </c>
      <c r="G3673" s="33" t="s">
        <v>122</v>
      </c>
      <c r="H3673" s="33" t="s">
        <v>201</v>
      </c>
      <c r="I3673" s="33" t="s">
        <v>196</v>
      </c>
      <c r="J3673" s="34">
        <v>6118.2</v>
      </c>
      <c r="K3673" s="34"/>
      <c r="L3673" s="34">
        <v>6118.2</v>
      </c>
    </row>
    <row r="3674" spans="2:12" x14ac:dyDescent="0.3">
      <c r="B3674" s="25">
        <v>3696</v>
      </c>
      <c r="C3674" s="33">
        <v>6362</v>
      </c>
      <c r="D3674" s="33" t="s">
        <v>396</v>
      </c>
      <c r="E3674" s="35">
        <v>45204</v>
      </c>
      <c r="F3674" s="33">
        <v>4</v>
      </c>
      <c r="G3674" s="33" t="s">
        <v>122</v>
      </c>
      <c r="H3674" s="33" t="s">
        <v>201</v>
      </c>
      <c r="I3674" s="33" t="s">
        <v>196</v>
      </c>
      <c r="J3674" s="34">
        <v>3880.8</v>
      </c>
      <c r="K3674" s="34"/>
      <c r="L3674" s="34">
        <v>3880.8</v>
      </c>
    </row>
    <row r="3675" spans="2:12" x14ac:dyDescent="0.3">
      <c r="B3675" s="25">
        <v>3697</v>
      </c>
      <c r="C3675" s="33">
        <v>36132</v>
      </c>
      <c r="D3675" s="33" t="s">
        <v>659</v>
      </c>
      <c r="E3675" s="35">
        <v>45113</v>
      </c>
      <c r="F3675" s="33">
        <v>3</v>
      </c>
      <c r="G3675" s="33" t="s">
        <v>122</v>
      </c>
      <c r="H3675" s="33" t="s">
        <v>72</v>
      </c>
      <c r="I3675" s="33" t="s">
        <v>196</v>
      </c>
      <c r="J3675" s="34">
        <v>7794</v>
      </c>
      <c r="K3675" s="34"/>
      <c r="L3675" s="34">
        <v>7794</v>
      </c>
    </row>
    <row r="3676" spans="2:12" x14ac:dyDescent="0.3">
      <c r="B3676" s="25">
        <v>3698</v>
      </c>
      <c r="C3676" s="33">
        <v>36254</v>
      </c>
      <c r="D3676" s="33" t="s">
        <v>395</v>
      </c>
      <c r="E3676" s="35">
        <v>45155</v>
      </c>
      <c r="F3676" s="33">
        <v>3</v>
      </c>
      <c r="G3676" s="33" t="s">
        <v>122</v>
      </c>
      <c r="H3676" s="33" t="s">
        <v>72</v>
      </c>
      <c r="I3676" s="33" t="s">
        <v>196</v>
      </c>
      <c r="J3676" s="34">
        <v>10000</v>
      </c>
      <c r="K3676" s="34"/>
      <c r="L3676" s="34">
        <v>10000</v>
      </c>
    </row>
    <row r="3677" spans="2:12" x14ac:dyDescent="0.3">
      <c r="B3677" s="25">
        <v>3699</v>
      </c>
      <c r="C3677" s="33">
        <v>36306</v>
      </c>
      <c r="D3677" s="33" t="s">
        <v>687</v>
      </c>
      <c r="E3677" s="35">
        <v>45160</v>
      </c>
      <c r="F3677" s="33">
        <v>3</v>
      </c>
      <c r="G3677" s="33" t="s">
        <v>122</v>
      </c>
      <c r="H3677" s="33" t="s">
        <v>72</v>
      </c>
      <c r="I3677" s="33" t="s">
        <v>196</v>
      </c>
      <c r="J3677" s="34">
        <v>3949</v>
      </c>
      <c r="K3677" s="34"/>
      <c r="L3677" s="34">
        <v>3949</v>
      </c>
    </row>
    <row r="3678" spans="2:12" x14ac:dyDescent="0.3">
      <c r="B3678" s="25">
        <v>3700</v>
      </c>
      <c r="C3678" s="33">
        <v>36641</v>
      </c>
      <c r="D3678" s="33" t="s">
        <v>1789</v>
      </c>
      <c r="E3678" s="35">
        <v>45199</v>
      </c>
      <c r="F3678" s="33">
        <v>3</v>
      </c>
      <c r="G3678" s="33" t="s">
        <v>122</v>
      </c>
      <c r="H3678" s="33" t="s">
        <v>72</v>
      </c>
      <c r="I3678" s="33" t="s">
        <v>196</v>
      </c>
      <c r="J3678" s="34">
        <v>12711.54</v>
      </c>
      <c r="K3678" s="34"/>
      <c r="L3678" s="34">
        <v>12711.54</v>
      </c>
    </row>
    <row r="3679" spans="2:12" x14ac:dyDescent="0.3">
      <c r="B3679" s="25">
        <v>3701</v>
      </c>
      <c r="C3679" s="33">
        <v>36642</v>
      </c>
      <c r="D3679" s="33" t="s">
        <v>1723</v>
      </c>
      <c r="E3679" s="35">
        <v>45199</v>
      </c>
      <c r="F3679" s="33">
        <v>3</v>
      </c>
      <c r="G3679" s="33" t="s">
        <v>122</v>
      </c>
      <c r="H3679" s="33" t="s">
        <v>72</v>
      </c>
      <c r="I3679" s="33" t="s">
        <v>196</v>
      </c>
      <c r="J3679" s="34">
        <v>15971.91</v>
      </c>
      <c r="K3679" s="34"/>
      <c r="L3679" s="34">
        <v>15971.91</v>
      </c>
    </row>
    <row r="3680" spans="2:12" x14ac:dyDescent="0.3">
      <c r="B3680" s="25">
        <v>3702</v>
      </c>
      <c r="C3680" s="33">
        <v>36643</v>
      </c>
      <c r="D3680" s="33" t="s">
        <v>1725</v>
      </c>
      <c r="E3680" s="35">
        <v>45199</v>
      </c>
      <c r="F3680" s="33">
        <v>3</v>
      </c>
      <c r="G3680" s="33" t="s">
        <v>122</v>
      </c>
      <c r="H3680" s="33" t="s">
        <v>72</v>
      </c>
      <c r="I3680" s="33" t="s">
        <v>196</v>
      </c>
      <c r="J3680" s="34">
        <v>16413</v>
      </c>
      <c r="K3680" s="34"/>
      <c r="L3680" s="34">
        <v>16413</v>
      </c>
    </row>
    <row r="3681" spans="2:12" x14ac:dyDescent="0.3">
      <c r="B3681" s="25">
        <v>3703</v>
      </c>
      <c r="C3681" s="33">
        <v>36567</v>
      </c>
      <c r="D3681" s="33" t="s">
        <v>1790</v>
      </c>
      <c r="E3681" s="35">
        <v>45191</v>
      </c>
      <c r="F3681" s="33">
        <v>3</v>
      </c>
      <c r="G3681" s="33" t="s">
        <v>122</v>
      </c>
      <c r="H3681" s="33" t="s">
        <v>72</v>
      </c>
      <c r="I3681" s="33" t="s">
        <v>196</v>
      </c>
      <c r="J3681" s="34">
        <v>10711.59</v>
      </c>
      <c r="K3681" s="34"/>
      <c r="L3681" s="34">
        <v>10711.59</v>
      </c>
    </row>
    <row r="3682" spans="2:12" x14ac:dyDescent="0.3">
      <c r="B3682" s="25">
        <v>3704</v>
      </c>
      <c r="C3682" s="33">
        <v>36605</v>
      </c>
      <c r="D3682" s="33" t="s">
        <v>395</v>
      </c>
      <c r="E3682" s="35">
        <v>45195</v>
      </c>
      <c r="F3682" s="33">
        <v>3</v>
      </c>
      <c r="G3682" s="33" t="s">
        <v>122</v>
      </c>
      <c r="H3682" s="33" t="s">
        <v>72</v>
      </c>
      <c r="I3682" s="33" t="s">
        <v>196</v>
      </c>
      <c r="J3682" s="34">
        <v>10216</v>
      </c>
      <c r="K3682" s="34"/>
      <c r="L3682" s="34">
        <v>10216</v>
      </c>
    </row>
    <row r="3683" spans="2:12" x14ac:dyDescent="0.3">
      <c r="B3683" s="25">
        <v>3705</v>
      </c>
      <c r="C3683" s="33">
        <v>384784</v>
      </c>
      <c r="D3683" s="33" t="s">
        <v>1791</v>
      </c>
      <c r="E3683" s="35">
        <v>45110</v>
      </c>
      <c r="F3683" s="33">
        <v>3</v>
      </c>
      <c r="G3683" s="33" t="s">
        <v>122</v>
      </c>
      <c r="H3683" s="33" t="s">
        <v>200</v>
      </c>
      <c r="I3683" s="33" t="s">
        <v>196</v>
      </c>
      <c r="J3683" s="34">
        <v>865.29</v>
      </c>
      <c r="K3683" s="34"/>
      <c r="L3683" s="34">
        <v>865.29</v>
      </c>
    </row>
    <row r="3684" spans="2:12" x14ac:dyDescent="0.3">
      <c r="B3684" s="25">
        <v>3706</v>
      </c>
      <c r="C3684" s="33">
        <v>384813</v>
      </c>
      <c r="D3684" s="33" t="s">
        <v>1792</v>
      </c>
      <c r="E3684" s="35">
        <v>45113</v>
      </c>
      <c r="F3684" s="33">
        <v>3</v>
      </c>
      <c r="G3684" s="33" t="s">
        <v>124</v>
      </c>
      <c r="H3684" s="33" t="s">
        <v>200</v>
      </c>
      <c r="I3684" s="33" t="s">
        <v>197</v>
      </c>
      <c r="J3684" s="34">
        <v>3858.62</v>
      </c>
      <c r="K3684" s="34"/>
      <c r="L3684" s="34">
        <v>3858.62</v>
      </c>
    </row>
    <row r="3685" spans="2:12" x14ac:dyDescent="0.3">
      <c r="B3685" s="25">
        <v>3707</v>
      </c>
      <c r="C3685" s="33">
        <v>4916</v>
      </c>
      <c r="D3685" s="33" t="s">
        <v>1793</v>
      </c>
      <c r="E3685" s="35">
        <v>45127</v>
      </c>
      <c r="F3685" s="33">
        <v>3</v>
      </c>
      <c r="G3685" s="33" t="s">
        <v>122</v>
      </c>
      <c r="H3685" s="33" t="s">
        <v>201</v>
      </c>
      <c r="I3685" s="33" t="s">
        <v>196</v>
      </c>
      <c r="J3685" s="34">
        <v>3503.39</v>
      </c>
      <c r="K3685" s="34"/>
      <c r="L3685" s="34">
        <v>3503.39</v>
      </c>
    </row>
    <row r="3686" spans="2:12" x14ac:dyDescent="0.3">
      <c r="B3686" s="25">
        <v>3708</v>
      </c>
      <c r="C3686" s="33" t="s">
        <v>1794</v>
      </c>
      <c r="D3686" s="33" t="s">
        <v>1795</v>
      </c>
      <c r="E3686" s="35">
        <v>45197</v>
      </c>
      <c r="F3686" s="33">
        <v>3</v>
      </c>
      <c r="G3686" s="33" t="s">
        <v>122</v>
      </c>
      <c r="H3686" s="33" t="s">
        <v>629</v>
      </c>
      <c r="I3686" s="33" t="s">
        <v>196</v>
      </c>
      <c r="J3686" s="34">
        <v>2013</v>
      </c>
      <c r="K3686" s="34"/>
      <c r="L3686" s="34">
        <v>2013</v>
      </c>
    </row>
    <row r="3687" spans="2:12" x14ac:dyDescent="0.3">
      <c r="B3687" s="25">
        <v>3709</v>
      </c>
      <c r="C3687" s="33">
        <v>54308</v>
      </c>
      <c r="D3687" s="33" t="s">
        <v>400</v>
      </c>
      <c r="E3687" s="35">
        <v>45176</v>
      </c>
      <c r="F3687" s="33">
        <v>3</v>
      </c>
      <c r="G3687" s="33" t="s">
        <v>231</v>
      </c>
      <c r="H3687" s="33" t="s">
        <v>69</v>
      </c>
      <c r="I3687" s="33" t="s">
        <v>198</v>
      </c>
      <c r="J3687" s="34">
        <v>652.27</v>
      </c>
      <c r="K3687" s="34"/>
      <c r="L3687" s="34">
        <v>652.27</v>
      </c>
    </row>
    <row r="3688" spans="2:12" x14ac:dyDescent="0.3">
      <c r="B3688" s="25">
        <v>3710</v>
      </c>
      <c r="C3688" s="33">
        <v>54309</v>
      </c>
      <c r="D3688" s="33" t="s">
        <v>400</v>
      </c>
      <c r="E3688" s="35">
        <v>45176</v>
      </c>
      <c r="F3688" s="33">
        <v>3</v>
      </c>
      <c r="G3688" s="33" t="s">
        <v>231</v>
      </c>
      <c r="H3688" s="33" t="s">
        <v>69</v>
      </c>
      <c r="I3688" s="33" t="s">
        <v>198</v>
      </c>
      <c r="J3688" s="34">
        <v>731.38</v>
      </c>
      <c r="K3688" s="34"/>
      <c r="L3688" s="34">
        <v>731.38</v>
      </c>
    </row>
    <row r="3689" spans="2:12" x14ac:dyDescent="0.3">
      <c r="B3689" s="25">
        <v>3711</v>
      </c>
      <c r="C3689" s="33">
        <v>54310</v>
      </c>
      <c r="D3689" s="33" t="s">
        <v>400</v>
      </c>
      <c r="E3689" s="35">
        <v>45176</v>
      </c>
      <c r="F3689" s="33">
        <v>3</v>
      </c>
      <c r="G3689" s="33" t="s">
        <v>231</v>
      </c>
      <c r="H3689" s="33" t="s">
        <v>69</v>
      </c>
      <c r="I3689" s="33" t="s">
        <v>198</v>
      </c>
      <c r="J3689" s="34">
        <v>419.52</v>
      </c>
      <c r="K3689" s="34"/>
      <c r="L3689" s="34">
        <v>419.52</v>
      </c>
    </row>
    <row r="3690" spans="2:12" x14ac:dyDescent="0.3">
      <c r="B3690" s="25">
        <v>3712</v>
      </c>
      <c r="C3690" s="33">
        <v>54311</v>
      </c>
      <c r="D3690" s="33" t="s">
        <v>400</v>
      </c>
      <c r="E3690" s="35">
        <v>45176</v>
      </c>
      <c r="F3690" s="33">
        <v>3</v>
      </c>
      <c r="G3690" s="33" t="s">
        <v>231</v>
      </c>
      <c r="H3690" s="33" t="s">
        <v>69</v>
      </c>
      <c r="I3690" s="33" t="s">
        <v>198</v>
      </c>
      <c r="J3690" s="34">
        <v>381.69</v>
      </c>
      <c r="K3690" s="34"/>
      <c r="L3690" s="34">
        <v>381.69</v>
      </c>
    </row>
    <row r="3691" spans="2:12" x14ac:dyDescent="0.3">
      <c r="B3691" s="25">
        <v>3713</v>
      </c>
      <c r="C3691" s="33">
        <v>54313</v>
      </c>
      <c r="D3691" s="33" t="s">
        <v>412</v>
      </c>
      <c r="E3691" s="35">
        <v>45176</v>
      </c>
      <c r="F3691" s="33">
        <v>3</v>
      </c>
      <c r="G3691" s="33" t="s">
        <v>231</v>
      </c>
      <c r="H3691" s="33" t="s">
        <v>69</v>
      </c>
      <c r="I3691" s="33" t="s">
        <v>198</v>
      </c>
      <c r="J3691" s="34">
        <v>27.5</v>
      </c>
      <c r="K3691" s="34"/>
      <c r="L3691" s="34">
        <v>27.5</v>
      </c>
    </row>
    <row r="3692" spans="2:12" x14ac:dyDescent="0.3">
      <c r="B3692" s="25">
        <v>3714</v>
      </c>
      <c r="C3692" s="33">
        <v>13680</v>
      </c>
      <c r="D3692" s="33" t="s">
        <v>410</v>
      </c>
      <c r="E3692" s="35">
        <v>45181</v>
      </c>
      <c r="F3692" s="33">
        <v>3</v>
      </c>
      <c r="G3692" s="33" t="s">
        <v>231</v>
      </c>
      <c r="H3692" s="33" t="s">
        <v>69</v>
      </c>
      <c r="I3692" s="33" t="s">
        <v>198</v>
      </c>
      <c r="J3692" s="34">
        <v>347.99</v>
      </c>
      <c r="K3692" s="34"/>
      <c r="L3692" s="34">
        <v>347.99</v>
      </c>
    </row>
    <row r="3693" spans="2:12" x14ac:dyDescent="0.3">
      <c r="B3693" s="25">
        <v>3715</v>
      </c>
      <c r="C3693" s="33">
        <v>54382</v>
      </c>
      <c r="D3693" s="33" t="s">
        <v>281</v>
      </c>
      <c r="E3693" s="35">
        <v>45183</v>
      </c>
      <c r="F3693" s="33">
        <v>3</v>
      </c>
      <c r="G3693" s="33" t="s">
        <v>124</v>
      </c>
      <c r="H3693" s="33" t="s">
        <v>69</v>
      </c>
      <c r="I3693" s="33" t="s">
        <v>197</v>
      </c>
      <c r="J3693" s="34">
        <v>469.5</v>
      </c>
      <c r="K3693" s="34"/>
      <c r="L3693" s="34">
        <v>469.5</v>
      </c>
    </row>
    <row r="3694" spans="2:12" x14ac:dyDescent="0.3">
      <c r="B3694" s="25">
        <v>3716</v>
      </c>
      <c r="C3694" s="33">
        <v>54384</v>
      </c>
      <c r="D3694" s="33" t="s">
        <v>805</v>
      </c>
      <c r="E3694" s="35">
        <v>45183</v>
      </c>
      <c r="F3694" s="33">
        <v>3</v>
      </c>
      <c r="G3694" s="33" t="s">
        <v>231</v>
      </c>
      <c r="H3694" s="33" t="s">
        <v>69</v>
      </c>
      <c r="I3694" s="33" t="s">
        <v>198</v>
      </c>
      <c r="J3694" s="34">
        <v>1193</v>
      </c>
      <c r="K3694" s="34"/>
      <c r="L3694" s="34">
        <v>1193</v>
      </c>
    </row>
    <row r="3695" spans="2:12" x14ac:dyDescent="0.3">
      <c r="B3695" s="25">
        <v>3717</v>
      </c>
      <c r="C3695" s="33">
        <v>54429</v>
      </c>
      <c r="D3695" s="33" t="s">
        <v>416</v>
      </c>
      <c r="E3695" s="35">
        <v>45183</v>
      </c>
      <c r="F3695" s="33">
        <v>3</v>
      </c>
      <c r="G3695" s="33" t="s">
        <v>231</v>
      </c>
      <c r="H3695" s="33" t="s">
        <v>69</v>
      </c>
      <c r="I3695" s="33" t="s">
        <v>198</v>
      </c>
      <c r="J3695" s="34">
        <v>2400.8200000000002</v>
      </c>
      <c r="K3695" s="34"/>
      <c r="L3695" s="34">
        <v>2400.8200000000002</v>
      </c>
    </row>
    <row r="3696" spans="2:12" x14ac:dyDescent="0.3">
      <c r="B3696" s="25">
        <v>3718</v>
      </c>
      <c r="C3696" s="33">
        <v>54430</v>
      </c>
      <c r="D3696" s="33" t="s">
        <v>400</v>
      </c>
      <c r="E3696" s="35">
        <v>45183</v>
      </c>
      <c r="F3696" s="33">
        <v>3</v>
      </c>
      <c r="G3696" s="33" t="s">
        <v>231</v>
      </c>
      <c r="H3696" s="33" t="s">
        <v>69</v>
      </c>
      <c r="I3696" s="33" t="s">
        <v>198</v>
      </c>
      <c r="J3696" s="34">
        <v>24.73</v>
      </c>
      <c r="K3696" s="34"/>
      <c r="L3696" s="34">
        <v>24.73</v>
      </c>
    </row>
    <row r="3697" spans="2:12" x14ac:dyDescent="0.3">
      <c r="B3697" s="25">
        <v>3719</v>
      </c>
      <c r="C3697" s="33" t="s">
        <v>1796</v>
      </c>
      <c r="D3697" s="33" t="s">
        <v>416</v>
      </c>
      <c r="E3697" s="35">
        <v>45183</v>
      </c>
      <c r="F3697" s="33">
        <v>3</v>
      </c>
      <c r="G3697" s="33" t="s">
        <v>231</v>
      </c>
      <c r="H3697" s="33" t="s">
        <v>69</v>
      </c>
      <c r="I3697" s="33" t="s">
        <v>198</v>
      </c>
      <c r="J3697" s="34">
        <v>6968.3</v>
      </c>
      <c r="K3697" s="34"/>
      <c r="L3697" s="34">
        <v>6968.3</v>
      </c>
    </row>
    <row r="3698" spans="2:12" x14ac:dyDescent="0.3">
      <c r="B3698" s="25">
        <v>3720</v>
      </c>
      <c r="C3698" s="33">
        <v>54514</v>
      </c>
      <c r="D3698" s="33" t="s">
        <v>1613</v>
      </c>
      <c r="E3698" s="35">
        <v>45189</v>
      </c>
      <c r="F3698" s="33">
        <v>3</v>
      </c>
      <c r="G3698" s="33" t="s">
        <v>124</v>
      </c>
      <c r="H3698" s="33" t="s">
        <v>69</v>
      </c>
      <c r="I3698" s="33" t="s">
        <v>197</v>
      </c>
      <c r="J3698" s="34">
        <v>1462</v>
      </c>
      <c r="K3698" s="34"/>
      <c r="L3698" s="34">
        <v>1462</v>
      </c>
    </row>
    <row r="3699" spans="2:12" x14ac:dyDescent="0.3">
      <c r="B3699" s="25">
        <v>3721</v>
      </c>
      <c r="C3699" s="33">
        <v>54515</v>
      </c>
      <c r="D3699" s="33" t="s">
        <v>416</v>
      </c>
      <c r="E3699" s="35">
        <v>45189</v>
      </c>
      <c r="F3699" s="33">
        <v>3</v>
      </c>
      <c r="G3699" s="33" t="s">
        <v>231</v>
      </c>
      <c r="H3699" s="33" t="s">
        <v>69</v>
      </c>
      <c r="I3699" s="33" t="s">
        <v>198</v>
      </c>
      <c r="J3699" s="34">
        <v>364.04</v>
      </c>
      <c r="K3699" s="34"/>
      <c r="L3699" s="34">
        <v>364.04</v>
      </c>
    </row>
    <row r="3700" spans="2:12" x14ac:dyDescent="0.3">
      <c r="B3700" s="25">
        <v>3722</v>
      </c>
      <c r="C3700" s="33">
        <v>54520</v>
      </c>
      <c r="D3700" s="33" t="s">
        <v>404</v>
      </c>
      <c r="E3700" s="35">
        <v>45189</v>
      </c>
      <c r="F3700" s="33">
        <v>3</v>
      </c>
      <c r="G3700" s="33" t="s">
        <v>122</v>
      </c>
      <c r="H3700" s="33" t="s">
        <v>69</v>
      </c>
      <c r="I3700" s="33" t="s">
        <v>196</v>
      </c>
      <c r="J3700" s="34">
        <v>2446.5</v>
      </c>
      <c r="K3700" s="34"/>
      <c r="L3700" s="34">
        <v>2446.5</v>
      </c>
    </row>
    <row r="3701" spans="2:12" x14ac:dyDescent="0.3">
      <c r="B3701" s="25">
        <v>3723</v>
      </c>
      <c r="C3701" s="33">
        <v>54521</v>
      </c>
      <c r="D3701" s="33" t="s">
        <v>404</v>
      </c>
      <c r="E3701" s="35">
        <v>45189</v>
      </c>
      <c r="F3701" s="33">
        <v>3</v>
      </c>
      <c r="G3701" s="33" t="s">
        <v>122</v>
      </c>
      <c r="H3701" s="33" t="s">
        <v>69</v>
      </c>
      <c r="I3701" s="33" t="s">
        <v>196</v>
      </c>
      <c r="J3701" s="34">
        <v>1057</v>
      </c>
      <c r="K3701" s="34"/>
      <c r="L3701" s="34">
        <v>1057</v>
      </c>
    </row>
    <row r="3702" spans="2:12" x14ac:dyDescent="0.3">
      <c r="B3702" s="25">
        <v>3724</v>
      </c>
      <c r="C3702" s="33">
        <v>54527</v>
      </c>
      <c r="D3702" s="33" t="s">
        <v>414</v>
      </c>
      <c r="E3702" s="35">
        <v>45189</v>
      </c>
      <c r="F3702" s="33">
        <v>3</v>
      </c>
      <c r="G3702" s="33" t="s">
        <v>122</v>
      </c>
      <c r="H3702" s="33" t="s">
        <v>69</v>
      </c>
      <c r="I3702" s="33" t="s">
        <v>196</v>
      </c>
      <c r="J3702" s="34">
        <v>5085.99</v>
      </c>
      <c r="K3702" s="34"/>
      <c r="L3702" s="34">
        <v>5085.99</v>
      </c>
    </row>
    <row r="3703" spans="2:12" x14ac:dyDescent="0.3">
      <c r="B3703" s="25">
        <v>3725</v>
      </c>
      <c r="C3703" s="33">
        <v>54529</v>
      </c>
      <c r="D3703" s="33" t="s">
        <v>281</v>
      </c>
      <c r="E3703" s="35">
        <v>45189</v>
      </c>
      <c r="F3703" s="33">
        <v>3</v>
      </c>
      <c r="G3703" s="33" t="s">
        <v>124</v>
      </c>
      <c r="H3703" s="33" t="s">
        <v>69</v>
      </c>
      <c r="I3703" s="33" t="s">
        <v>197</v>
      </c>
      <c r="J3703" s="34">
        <v>4582.5</v>
      </c>
      <c r="K3703" s="34"/>
      <c r="L3703" s="34">
        <v>4582.5</v>
      </c>
    </row>
    <row r="3704" spans="2:12" x14ac:dyDescent="0.3">
      <c r="B3704" s="25">
        <v>3726</v>
      </c>
      <c r="C3704" s="33">
        <v>54531</v>
      </c>
      <c r="D3704" s="33" t="s">
        <v>234</v>
      </c>
      <c r="E3704" s="35">
        <v>45189</v>
      </c>
      <c r="F3704" s="33">
        <v>3</v>
      </c>
      <c r="G3704" s="33" t="s">
        <v>122</v>
      </c>
      <c r="H3704" s="33" t="s">
        <v>69</v>
      </c>
      <c r="I3704" s="33" t="s">
        <v>196</v>
      </c>
      <c r="J3704" s="34">
        <v>8471.59</v>
      </c>
      <c r="K3704" s="34"/>
      <c r="L3704" s="34">
        <v>8471.59</v>
      </c>
    </row>
    <row r="3705" spans="2:12" x14ac:dyDescent="0.3">
      <c r="B3705" s="25">
        <v>3727</v>
      </c>
      <c r="C3705" s="33">
        <v>54591</v>
      </c>
      <c r="D3705" s="33" t="s">
        <v>1649</v>
      </c>
      <c r="E3705" s="35">
        <v>45190</v>
      </c>
      <c r="F3705" s="33">
        <v>3</v>
      </c>
      <c r="G3705" s="33" t="s">
        <v>124</v>
      </c>
      <c r="H3705" s="33" t="s">
        <v>69</v>
      </c>
      <c r="I3705" s="33" t="s">
        <v>197</v>
      </c>
      <c r="J3705" s="34">
        <v>28</v>
      </c>
      <c r="K3705" s="34"/>
      <c r="L3705" s="34">
        <v>28</v>
      </c>
    </row>
    <row r="3706" spans="2:12" x14ac:dyDescent="0.3">
      <c r="B3706" s="25">
        <v>3728</v>
      </c>
      <c r="C3706" s="33">
        <v>54593</v>
      </c>
      <c r="D3706" s="33" t="s">
        <v>401</v>
      </c>
      <c r="E3706" s="35">
        <v>45190</v>
      </c>
      <c r="F3706" s="33">
        <v>3</v>
      </c>
      <c r="G3706" s="33" t="s">
        <v>231</v>
      </c>
      <c r="H3706" s="33" t="s">
        <v>69</v>
      </c>
      <c r="I3706" s="33" t="s">
        <v>198</v>
      </c>
      <c r="J3706" s="34">
        <v>418</v>
      </c>
      <c r="K3706" s="34"/>
      <c r="L3706" s="34">
        <v>418</v>
      </c>
    </row>
    <row r="3707" spans="2:12" x14ac:dyDescent="0.3">
      <c r="B3707" s="25">
        <v>3729</v>
      </c>
      <c r="C3707" s="33">
        <v>54597</v>
      </c>
      <c r="D3707" s="33" t="s">
        <v>400</v>
      </c>
      <c r="E3707" s="35">
        <v>45190</v>
      </c>
      <c r="F3707" s="33">
        <v>3</v>
      </c>
      <c r="G3707" s="33" t="s">
        <v>231</v>
      </c>
      <c r="H3707" s="33" t="s">
        <v>69</v>
      </c>
      <c r="I3707" s="33" t="s">
        <v>198</v>
      </c>
      <c r="J3707" s="34">
        <v>1507.82</v>
      </c>
      <c r="K3707" s="34"/>
      <c r="L3707" s="34">
        <v>1507.82</v>
      </c>
    </row>
    <row r="3708" spans="2:12" x14ac:dyDescent="0.3">
      <c r="B3708" s="25">
        <v>3730</v>
      </c>
      <c r="C3708" s="33">
        <v>54598</v>
      </c>
      <c r="D3708" s="33" t="s">
        <v>400</v>
      </c>
      <c r="E3708" s="35">
        <v>45190</v>
      </c>
      <c r="F3708" s="33">
        <v>3</v>
      </c>
      <c r="G3708" s="33" t="s">
        <v>231</v>
      </c>
      <c r="H3708" s="33" t="s">
        <v>69</v>
      </c>
      <c r="I3708" s="33" t="s">
        <v>198</v>
      </c>
      <c r="J3708" s="34">
        <v>1875.94</v>
      </c>
      <c r="K3708" s="34"/>
      <c r="L3708" s="34">
        <v>1875.94</v>
      </c>
    </row>
    <row r="3709" spans="2:12" x14ac:dyDescent="0.3">
      <c r="B3709" s="25">
        <v>3731</v>
      </c>
      <c r="C3709" s="33">
        <v>54599</v>
      </c>
      <c r="D3709" s="33" t="s">
        <v>400</v>
      </c>
      <c r="E3709" s="35">
        <v>45190</v>
      </c>
      <c r="F3709" s="33">
        <v>3</v>
      </c>
      <c r="G3709" s="33" t="s">
        <v>231</v>
      </c>
      <c r="H3709" s="33" t="s">
        <v>69</v>
      </c>
      <c r="I3709" s="33" t="s">
        <v>198</v>
      </c>
      <c r="J3709" s="34">
        <v>606.25</v>
      </c>
      <c r="K3709" s="34"/>
      <c r="L3709" s="34">
        <v>606.25</v>
      </c>
    </row>
    <row r="3710" spans="2:12" x14ac:dyDescent="0.3">
      <c r="B3710" s="25">
        <v>3732</v>
      </c>
      <c r="C3710" s="33">
        <v>54602</v>
      </c>
      <c r="D3710" s="33" t="s">
        <v>805</v>
      </c>
      <c r="E3710" s="35">
        <v>45190</v>
      </c>
      <c r="F3710" s="33">
        <v>3</v>
      </c>
      <c r="G3710" s="33" t="s">
        <v>231</v>
      </c>
      <c r="H3710" s="33" t="s">
        <v>69</v>
      </c>
      <c r="I3710" s="33" t="s">
        <v>198</v>
      </c>
      <c r="J3710" s="34">
        <v>4098</v>
      </c>
      <c r="K3710" s="34"/>
      <c r="L3710" s="34">
        <v>4098</v>
      </c>
    </row>
    <row r="3711" spans="2:12" x14ac:dyDescent="0.3">
      <c r="B3711" s="25">
        <v>3733</v>
      </c>
      <c r="C3711" s="33">
        <v>54659</v>
      </c>
      <c r="D3711" s="33" t="s">
        <v>416</v>
      </c>
      <c r="E3711" s="35">
        <v>45196</v>
      </c>
      <c r="F3711" s="33">
        <v>3</v>
      </c>
      <c r="G3711" s="33" t="s">
        <v>231</v>
      </c>
      <c r="H3711" s="33" t="s">
        <v>69</v>
      </c>
      <c r="I3711" s="33" t="s">
        <v>198</v>
      </c>
      <c r="J3711" s="34">
        <v>333</v>
      </c>
      <c r="K3711" s="34"/>
      <c r="L3711" s="34">
        <v>333</v>
      </c>
    </row>
    <row r="3712" spans="2:12" x14ac:dyDescent="0.3">
      <c r="B3712" s="25">
        <v>3734</v>
      </c>
      <c r="C3712" s="33">
        <v>54663</v>
      </c>
      <c r="D3712" s="33" t="s">
        <v>411</v>
      </c>
      <c r="E3712" s="35">
        <v>45196</v>
      </c>
      <c r="F3712" s="33">
        <v>3</v>
      </c>
      <c r="G3712" s="33" t="s">
        <v>122</v>
      </c>
      <c r="H3712" s="33" t="s">
        <v>69</v>
      </c>
      <c r="I3712" s="33" t="s">
        <v>196</v>
      </c>
      <c r="J3712" s="34">
        <v>1431</v>
      </c>
      <c r="K3712" s="34"/>
      <c r="L3712" s="34">
        <v>1431</v>
      </c>
    </row>
    <row r="3713" spans="2:12" x14ac:dyDescent="0.3">
      <c r="B3713" s="25">
        <v>3735</v>
      </c>
      <c r="C3713" s="33">
        <v>54667</v>
      </c>
      <c r="D3713" s="33" t="s">
        <v>805</v>
      </c>
      <c r="E3713" s="35">
        <v>45196</v>
      </c>
      <c r="F3713" s="33">
        <v>3</v>
      </c>
      <c r="G3713" s="33" t="s">
        <v>231</v>
      </c>
      <c r="H3713" s="33" t="s">
        <v>69</v>
      </c>
      <c r="I3713" s="33" t="s">
        <v>198</v>
      </c>
      <c r="J3713" s="34">
        <v>1057</v>
      </c>
      <c r="K3713" s="34"/>
      <c r="L3713" s="34">
        <v>1057</v>
      </c>
    </row>
    <row r="3714" spans="2:12" x14ac:dyDescent="0.3">
      <c r="B3714" s="25">
        <v>3736</v>
      </c>
      <c r="C3714" s="33">
        <v>54693</v>
      </c>
      <c r="D3714" s="33" t="s">
        <v>400</v>
      </c>
      <c r="E3714" s="35">
        <v>45197</v>
      </c>
      <c r="F3714" s="33">
        <v>3</v>
      </c>
      <c r="G3714" s="33" t="s">
        <v>231</v>
      </c>
      <c r="H3714" s="33" t="s">
        <v>69</v>
      </c>
      <c r="I3714" s="33" t="s">
        <v>198</v>
      </c>
      <c r="J3714" s="34">
        <v>2224.66</v>
      </c>
      <c r="K3714" s="34"/>
      <c r="L3714" s="34">
        <v>2224.66</v>
      </c>
    </row>
    <row r="3715" spans="2:12" x14ac:dyDescent="0.3">
      <c r="B3715" s="25">
        <v>3737</v>
      </c>
      <c r="C3715" s="33">
        <v>54694</v>
      </c>
      <c r="D3715" s="33" t="s">
        <v>400</v>
      </c>
      <c r="E3715" s="35">
        <v>45197</v>
      </c>
      <c r="F3715" s="33">
        <v>3</v>
      </c>
      <c r="G3715" s="33" t="s">
        <v>231</v>
      </c>
      <c r="H3715" s="33" t="s">
        <v>69</v>
      </c>
      <c r="I3715" s="33" t="s">
        <v>198</v>
      </c>
      <c r="J3715" s="34">
        <v>1693.6</v>
      </c>
      <c r="K3715" s="34"/>
      <c r="L3715" s="34">
        <v>1693.6</v>
      </c>
    </row>
    <row r="3716" spans="2:12" x14ac:dyDescent="0.3">
      <c r="B3716" s="25">
        <v>3738</v>
      </c>
      <c r="C3716" s="33">
        <v>54695</v>
      </c>
      <c r="D3716" s="33" t="s">
        <v>400</v>
      </c>
      <c r="E3716" s="35">
        <v>45197</v>
      </c>
      <c r="F3716" s="33">
        <v>3</v>
      </c>
      <c r="G3716" s="33" t="s">
        <v>231</v>
      </c>
      <c r="H3716" s="33" t="s">
        <v>69</v>
      </c>
      <c r="I3716" s="33" t="s">
        <v>198</v>
      </c>
      <c r="J3716" s="34">
        <v>1317.49</v>
      </c>
      <c r="K3716" s="34"/>
      <c r="L3716" s="34">
        <v>1317.49</v>
      </c>
    </row>
    <row r="3717" spans="2:12" x14ac:dyDescent="0.3">
      <c r="B3717" s="25">
        <v>3739</v>
      </c>
      <c r="C3717" s="33">
        <v>54696</v>
      </c>
      <c r="D3717" s="33" t="s">
        <v>400</v>
      </c>
      <c r="E3717" s="35">
        <v>45197</v>
      </c>
      <c r="F3717" s="33">
        <v>3</v>
      </c>
      <c r="G3717" s="33" t="s">
        <v>231</v>
      </c>
      <c r="H3717" s="33" t="s">
        <v>69</v>
      </c>
      <c r="I3717" s="33" t="s">
        <v>198</v>
      </c>
      <c r="J3717" s="34">
        <v>81.96</v>
      </c>
      <c r="K3717" s="34"/>
      <c r="L3717" s="34">
        <v>81.96</v>
      </c>
    </row>
    <row r="3718" spans="2:12" x14ac:dyDescent="0.3">
      <c r="B3718" s="25">
        <v>3740</v>
      </c>
      <c r="C3718" s="33">
        <v>15020</v>
      </c>
      <c r="D3718" s="33" t="s">
        <v>410</v>
      </c>
      <c r="E3718" s="35">
        <v>45199</v>
      </c>
      <c r="F3718" s="33">
        <v>3</v>
      </c>
      <c r="G3718" s="33" t="s">
        <v>231</v>
      </c>
      <c r="H3718" s="33" t="s">
        <v>69</v>
      </c>
      <c r="I3718" s="33" t="s">
        <v>198</v>
      </c>
      <c r="J3718" s="34">
        <v>67</v>
      </c>
      <c r="K3718" s="34"/>
      <c r="L3718" s="34">
        <v>67</v>
      </c>
    </row>
    <row r="3719" spans="2:12" x14ac:dyDescent="0.3">
      <c r="B3719" s="25">
        <v>3741</v>
      </c>
      <c r="C3719" s="33" t="s">
        <v>1797</v>
      </c>
      <c r="D3719" s="33" t="s">
        <v>1798</v>
      </c>
      <c r="E3719" s="35">
        <v>45204</v>
      </c>
      <c r="F3719" s="33">
        <v>4</v>
      </c>
      <c r="G3719" s="33" t="s">
        <v>231</v>
      </c>
      <c r="H3719" s="33" t="s">
        <v>69</v>
      </c>
      <c r="I3719" s="33" t="s">
        <v>198</v>
      </c>
      <c r="J3719" s="34">
        <v>1331.2</v>
      </c>
      <c r="K3719" s="34"/>
      <c r="L3719" s="34">
        <v>1331.2</v>
      </c>
    </row>
    <row r="3720" spans="2:12" x14ac:dyDescent="0.3">
      <c r="B3720" s="25">
        <v>3742</v>
      </c>
      <c r="C3720" s="33" t="s">
        <v>1799</v>
      </c>
      <c r="D3720" s="33" t="s">
        <v>1798</v>
      </c>
      <c r="E3720" s="35">
        <v>45204</v>
      </c>
      <c r="F3720" s="33">
        <v>4</v>
      </c>
      <c r="G3720" s="33" t="s">
        <v>231</v>
      </c>
      <c r="H3720" s="33" t="s">
        <v>69</v>
      </c>
      <c r="I3720" s="33" t="s">
        <v>198</v>
      </c>
      <c r="J3720" s="34">
        <v>5082.5</v>
      </c>
      <c r="K3720" s="34"/>
      <c r="L3720" s="34">
        <v>5082.5</v>
      </c>
    </row>
    <row r="3721" spans="2:12" x14ac:dyDescent="0.3">
      <c r="B3721" s="25">
        <v>3743</v>
      </c>
      <c r="C3721" s="33">
        <v>54817</v>
      </c>
      <c r="D3721" s="33" t="s">
        <v>281</v>
      </c>
      <c r="E3721" s="35">
        <v>45204</v>
      </c>
      <c r="F3721" s="33">
        <v>4</v>
      </c>
      <c r="G3721" s="33" t="s">
        <v>124</v>
      </c>
      <c r="H3721" s="33" t="s">
        <v>69</v>
      </c>
      <c r="I3721" s="33" t="s">
        <v>197</v>
      </c>
      <c r="J3721" s="34">
        <v>139</v>
      </c>
      <c r="K3721" s="34"/>
      <c r="L3721" s="34">
        <v>139</v>
      </c>
    </row>
    <row r="3722" spans="2:12" x14ac:dyDescent="0.3">
      <c r="B3722" s="25">
        <v>3744</v>
      </c>
      <c r="C3722" s="33">
        <v>54820</v>
      </c>
      <c r="D3722" s="33" t="s">
        <v>1681</v>
      </c>
      <c r="E3722" s="35">
        <v>45204</v>
      </c>
      <c r="F3722" s="33">
        <v>4</v>
      </c>
      <c r="G3722" s="33" t="s">
        <v>122</v>
      </c>
      <c r="H3722" s="33" t="s">
        <v>69</v>
      </c>
      <c r="I3722" s="33" t="s">
        <v>196</v>
      </c>
      <c r="J3722" s="34">
        <v>3843</v>
      </c>
      <c r="K3722" s="34"/>
      <c r="L3722" s="34">
        <v>3843</v>
      </c>
    </row>
    <row r="3723" spans="2:12" x14ac:dyDescent="0.3">
      <c r="B3723" s="25">
        <v>3745</v>
      </c>
      <c r="C3723" s="33">
        <v>54822</v>
      </c>
      <c r="D3723" s="33" t="s">
        <v>400</v>
      </c>
      <c r="E3723" s="35">
        <v>45204</v>
      </c>
      <c r="F3723" s="33">
        <v>4</v>
      </c>
      <c r="G3723" s="33" t="s">
        <v>231</v>
      </c>
      <c r="H3723" s="33" t="s">
        <v>69</v>
      </c>
      <c r="I3723" s="33" t="s">
        <v>198</v>
      </c>
      <c r="J3723" s="34">
        <v>27.64</v>
      </c>
      <c r="K3723" s="34"/>
      <c r="L3723" s="34">
        <v>27.64</v>
      </c>
    </row>
    <row r="3724" spans="2:12" x14ac:dyDescent="0.3">
      <c r="B3724" s="25">
        <v>3746</v>
      </c>
      <c r="C3724" s="33">
        <v>54823</v>
      </c>
      <c r="D3724" s="33" t="s">
        <v>400</v>
      </c>
      <c r="E3724" s="35">
        <v>45204</v>
      </c>
      <c r="F3724" s="33">
        <v>4</v>
      </c>
      <c r="G3724" s="33" t="s">
        <v>231</v>
      </c>
      <c r="H3724" s="33" t="s">
        <v>69</v>
      </c>
      <c r="I3724" s="33" t="s">
        <v>198</v>
      </c>
      <c r="J3724" s="34">
        <v>2948.25</v>
      </c>
      <c r="K3724" s="34"/>
      <c r="L3724" s="34">
        <v>2948.25</v>
      </c>
    </row>
    <row r="3725" spans="2:12" x14ac:dyDescent="0.3">
      <c r="B3725" s="25">
        <v>3747</v>
      </c>
      <c r="C3725" s="33">
        <v>53180</v>
      </c>
      <c r="D3725" s="33" t="s">
        <v>1649</v>
      </c>
      <c r="E3725" s="35">
        <v>45176</v>
      </c>
      <c r="F3725" s="33">
        <v>3</v>
      </c>
      <c r="G3725" s="33" t="s">
        <v>124</v>
      </c>
      <c r="H3725" s="33">
        <v>53</v>
      </c>
      <c r="I3725" s="33" t="s">
        <v>197</v>
      </c>
      <c r="J3725" s="34">
        <v>77.5</v>
      </c>
      <c r="K3725" s="34"/>
      <c r="L3725" s="34">
        <v>77.5</v>
      </c>
    </row>
    <row r="3726" spans="2:12" x14ac:dyDescent="0.3">
      <c r="B3726" s="25">
        <v>3748</v>
      </c>
      <c r="C3726" s="33">
        <v>53181</v>
      </c>
      <c r="D3726" s="33" t="s">
        <v>832</v>
      </c>
      <c r="E3726" s="35">
        <v>45176</v>
      </c>
      <c r="F3726" s="33">
        <v>3</v>
      </c>
      <c r="G3726" s="33" t="s">
        <v>231</v>
      </c>
      <c r="H3726" s="33" t="s">
        <v>73</v>
      </c>
      <c r="I3726" s="33" t="s">
        <v>198</v>
      </c>
      <c r="J3726" s="34">
        <v>5760.01</v>
      </c>
      <c r="K3726" s="34"/>
      <c r="L3726" s="34">
        <v>5760.01</v>
      </c>
    </row>
    <row r="3727" spans="2:12" x14ac:dyDescent="0.3">
      <c r="B3727" s="25">
        <v>3749</v>
      </c>
      <c r="C3727" s="33">
        <v>53183</v>
      </c>
      <c r="D3727" s="33" t="s">
        <v>234</v>
      </c>
      <c r="E3727" s="35">
        <v>45176</v>
      </c>
      <c r="F3727" s="33">
        <v>3</v>
      </c>
      <c r="G3727" s="33" t="s">
        <v>122</v>
      </c>
      <c r="H3727" s="33">
        <v>53</v>
      </c>
      <c r="I3727" s="33" t="s">
        <v>196</v>
      </c>
      <c r="J3727" s="34">
        <v>118.15</v>
      </c>
      <c r="K3727" s="34"/>
      <c r="L3727" s="34">
        <v>118.15</v>
      </c>
    </row>
    <row r="3728" spans="2:12" x14ac:dyDescent="0.3">
      <c r="B3728" s="25">
        <v>3750</v>
      </c>
      <c r="C3728" s="33">
        <v>53184</v>
      </c>
      <c r="D3728" s="33" t="s">
        <v>1617</v>
      </c>
      <c r="E3728" s="35">
        <v>45176</v>
      </c>
      <c r="F3728" s="33">
        <v>3</v>
      </c>
      <c r="G3728" s="33" t="s">
        <v>124</v>
      </c>
      <c r="H3728" s="33">
        <v>53</v>
      </c>
      <c r="I3728" s="33" t="s">
        <v>197</v>
      </c>
      <c r="J3728" s="34">
        <v>1431.5</v>
      </c>
      <c r="K3728" s="34"/>
      <c r="L3728" s="34">
        <v>1431.5</v>
      </c>
    </row>
    <row r="3729" spans="2:12" x14ac:dyDescent="0.3">
      <c r="B3729" s="25">
        <v>3751</v>
      </c>
      <c r="C3729" s="33">
        <v>53185</v>
      </c>
      <c r="D3729" s="33" t="s">
        <v>1662</v>
      </c>
      <c r="E3729" s="35">
        <v>45176</v>
      </c>
      <c r="F3729" s="33">
        <v>3</v>
      </c>
      <c r="G3729" s="33" t="s">
        <v>231</v>
      </c>
      <c r="H3729" s="33" t="s">
        <v>73</v>
      </c>
      <c r="I3729" s="33" t="s">
        <v>198</v>
      </c>
      <c r="J3729" s="34">
        <v>1818.6</v>
      </c>
      <c r="K3729" s="34"/>
      <c r="L3729" s="34">
        <v>1818.6</v>
      </c>
    </row>
    <row r="3730" spans="2:12" x14ac:dyDescent="0.3">
      <c r="B3730" s="25">
        <v>3752</v>
      </c>
      <c r="C3730" s="33">
        <v>53260</v>
      </c>
      <c r="D3730" s="33" t="s">
        <v>401</v>
      </c>
      <c r="E3730" s="35">
        <v>45182</v>
      </c>
      <c r="F3730" s="33">
        <v>3</v>
      </c>
      <c r="G3730" s="33" t="s">
        <v>231</v>
      </c>
      <c r="H3730" s="33">
        <v>53</v>
      </c>
      <c r="I3730" s="33" t="s">
        <v>198</v>
      </c>
      <c r="J3730" s="34">
        <v>88.5</v>
      </c>
      <c r="K3730" s="34"/>
      <c r="L3730" s="34">
        <v>88.5</v>
      </c>
    </row>
    <row r="3731" spans="2:12" x14ac:dyDescent="0.3">
      <c r="B3731" s="25">
        <v>3753</v>
      </c>
      <c r="C3731" s="33">
        <v>53457</v>
      </c>
      <c r="D3731" s="33" t="s">
        <v>394</v>
      </c>
      <c r="E3731" s="35">
        <v>45191</v>
      </c>
      <c r="F3731" s="33">
        <v>3</v>
      </c>
      <c r="G3731" s="33" t="s">
        <v>122</v>
      </c>
      <c r="H3731" s="33" t="s">
        <v>73</v>
      </c>
      <c r="I3731" s="33" t="s">
        <v>196</v>
      </c>
      <c r="J3731" s="34">
        <v>997.5</v>
      </c>
      <c r="K3731" s="34"/>
      <c r="L3731" s="34">
        <v>997.5</v>
      </c>
    </row>
    <row r="3732" spans="2:12" x14ac:dyDescent="0.3">
      <c r="B3732" s="25">
        <v>3754</v>
      </c>
      <c r="C3732" s="33">
        <v>53459</v>
      </c>
      <c r="D3732" s="33" t="s">
        <v>411</v>
      </c>
      <c r="E3732" s="35">
        <v>45191</v>
      </c>
      <c r="F3732" s="33">
        <v>3</v>
      </c>
      <c r="G3732" s="33" t="s">
        <v>122</v>
      </c>
      <c r="H3732" s="33">
        <v>53</v>
      </c>
      <c r="I3732" s="33" t="s">
        <v>196</v>
      </c>
      <c r="J3732" s="34">
        <v>1000.5</v>
      </c>
      <c r="K3732" s="34"/>
      <c r="L3732" s="34">
        <v>1000.5</v>
      </c>
    </row>
    <row r="3733" spans="2:12" x14ac:dyDescent="0.3">
      <c r="B3733" s="25">
        <v>3755</v>
      </c>
      <c r="C3733" s="33">
        <v>53461</v>
      </c>
      <c r="D3733" s="33" t="s">
        <v>412</v>
      </c>
      <c r="E3733" s="35">
        <v>45191</v>
      </c>
      <c r="F3733" s="33">
        <v>3</v>
      </c>
      <c r="G3733" s="33" t="s">
        <v>231</v>
      </c>
      <c r="H3733" s="33" t="s">
        <v>73</v>
      </c>
      <c r="I3733" s="33" t="s">
        <v>198</v>
      </c>
      <c r="J3733" s="34">
        <v>4450.5</v>
      </c>
      <c r="K3733" s="34"/>
      <c r="L3733" s="34">
        <v>4450.5</v>
      </c>
    </row>
    <row r="3734" spans="2:12" x14ac:dyDescent="0.3">
      <c r="B3734" s="25">
        <v>3756</v>
      </c>
      <c r="C3734" s="33">
        <v>53462</v>
      </c>
      <c r="D3734" s="33" t="s">
        <v>1800</v>
      </c>
      <c r="E3734" s="35">
        <v>45191</v>
      </c>
      <c r="F3734" s="33">
        <v>3</v>
      </c>
      <c r="G3734" s="33" t="s">
        <v>122</v>
      </c>
      <c r="H3734" s="33" t="s">
        <v>73</v>
      </c>
      <c r="I3734" s="33" t="s">
        <v>196</v>
      </c>
      <c r="J3734" s="34">
        <v>22183.62</v>
      </c>
      <c r="K3734" s="34"/>
      <c r="L3734" s="34">
        <v>22183.62</v>
      </c>
    </row>
    <row r="3735" spans="2:12" x14ac:dyDescent="0.3">
      <c r="B3735" s="25">
        <v>3757</v>
      </c>
      <c r="C3735" s="33">
        <v>53507</v>
      </c>
      <c r="D3735" s="33" t="s">
        <v>281</v>
      </c>
      <c r="E3735" s="35">
        <v>45197</v>
      </c>
      <c r="F3735" s="33">
        <v>3</v>
      </c>
      <c r="G3735" s="33" t="s">
        <v>124</v>
      </c>
      <c r="H3735" s="33">
        <v>53</v>
      </c>
      <c r="I3735" s="33" t="s">
        <v>197</v>
      </c>
      <c r="J3735" s="34">
        <v>4578.4799999999996</v>
      </c>
      <c r="K3735" s="34"/>
      <c r="L3735" s="34">
        <v>4578.4799999999996</v>
      </c>
    </row>
    <row r="3736" spans="2:12" x14ac:dyDescent="0.3">
      <c r="B3736" s="25">
        <v>3758</v>
      </c>
      <c r="C3736" s="33">
        <v>53511</v>
      </c>
      <c r="D3736" s="33" t="s">
        <v>400</v>
      </c>
      <c r="E3736" s="35">
        <v>45197</v>
      </c>
      <c r="F3736" s="33">
        <v>3</v>
      </c>
      <c r="G3736" s="33" t="s">
        <v>231</v>
      </c>
      <c r="H3736" s="33">
        <v>53</v>
      </c>
      <c r="I3736" s="33" t="s">
        <v>198</v>
      </c>
      <c r="J3736" s="34">
        <v>419.99</v>
      </c>
      <c r="K3736" s="34"/>
      <c r="L3736" s="34">
        <v>419.99</v>
      </c>
    </row>
    <row r="3737" spans="2:12" x14ac:dyDescent="0.3">
      <c r="B3737" s="25">
        <v>3759</v>
      </c>
      <c r="C3737" s="33">
        <v>53512</v>
      </c>
      <c r="D3737" s="33" t="s">
        <v>400</v>
      </c>
      <c r="E3737" s="35">
        <v>45197</v>
      </c>
      <c r="F3737" s="33">
        <v>3</v>
      </c>
      <c r="G3737" s="33" t="s">
        <v>231</v>
      </c>
      <c r="H3737" s="33">
        <v>53</v>
      </c>
      <c r="I3737" s="33" t="s">
        <v>198</v>
      </c>
      <c r="J3737" s="34">
        <v>1555.35</v>
      </c>
      <c r="K3737" s="34"/>
      <c r="L3737" s="34">
        <v>1555.35</v>
      </c>
    </row>
    <row r="3738" spans="2:12" x14ac:dyDescent="0.3">
      <c r="B3738" s="25">
        <v>3760</v>
      </c>
      <c r="C3738" s="33">
        <v>53513</v>
      </c>
      <c r="D3738" s="33" t="s">
        <v>400</v>
      </c>
      <c r="E3738" s="35">
        <v>45197</v>
      </c>
      <c r="F3738" s="33">
        <v>3</v>
      </c>
      <c r="G3738" s="33" t="s">
        <v>231</v>
      </c>
      <c r="H3738" s="33">
        <v>53</v>
      </c>
      <c r="I3738" s="33" t="s">
        <v>198</v>
      </c>
      <c r="J3738" s="34">
        <v>371.96</v>
      </c>
      <c r="K3738" s="34"/>
      <c r="L3738" s="34">
        <v>371.96</v>
      </c>
    </row>
    <row r="3739" spans="2:12" x14ac:dyDescent="0.3">
      <c r="B3739" s="25">
        <v>3761</v>
      </c>
      <c r="C3739" s="33">
        <v>53514</v>
      </c>
      <c r="D3739" s="33" t="s">
        <v>400</v>
      </c>
      <c r="E3739" s="35">
        <v>45197</v>
      </c>
      <c r="F3739" s="33">
        <v>3</v>
      </c>
      <c r="G3739" s="33" t="s">
        <v>231</v>
      </c>
      <c r="H3739" s="33" t="s">
        <v>73</v>
      </c>
      <c r="I3739" s="33" t="s">
        <v>198</v>
      </c>
      <c r="J3739" s="34">
        <v>1329.65</v>
      </c>
      <c r="K3739" s="34"/>
      <c r="L3739" s="34">
        <v>1329.65</v>
      </c>
    </row>
    <row r="3740" spans="2:12" x14ac:dyDescent="0.3">
      <c r="B3740" s="25">
        <v>3762</v>
      </c>
      <c r="C3740" s="33">
        <v>53515</v>
      </c>
      <c r="D3740" s="33" t="s">
        <v>832</v>
      </c>
      <c r="E3740" s="35">
        <v>45197</v>
      </c>
      <c r="F3740" s="33">
        <v>3</v>
      </c>
      <c r="G3740" s="33" t="s">
        <v>231</v>
      </c>
      <c r="H3740" s="33" t="s">
        <v>73</v>
      </c>
      <c r="I3740" s="33" t="s">
        <v>198</v>
      </c>
      <c r="J3740" s="34">
        <v>828.5</v>
      </c>
      <c r="K3740" s="34"/>
      <c r="L3740" s="34">
        <v>828.5</v>
      </c>
    </row>
    <row r="3741" spans="2:12" x14ac:dyDescent="0.3">
      <c r="B3741" s="25">
        <v>3763</v>
      </c>
      <c r="C3741" s="33" t="s">
        <v>1801</v>
      </c>
      <c r="D3741" s="33" t="s">
        <v>414</v>
      </c>
      <c r="E3741" s="35">
        <v>45198</v>
      </c>
      <c r="F3741" s="33">
        <v>3</v>
      </c>
      <c r="G3741" s="33" t="s">
        <v>122</v>
      </c>
      <c r="H3741" s="33">
        <v>53</v>
      </c>
      <c r="I3741" s="33" t="s">
        <v>196</v>
      </c>
      <c r="J3741" s="34">
        <v>1940.16</v>
      </c>
      <c r="K3741" s="34"/>
      <c r="L3741" s="34">
        <v>1940.16</v>
      </c>
    </row>
    <row r="3742" spans="2:12" x14ac:dyDescent="0.3">
      <c r="B3742" s="25">
        <v>3764</v>
      </c>
      <c r="C3742" s="33">
        <v>53554</v>
      </c>
      <c r="D3742" s="33" t="s">
        <v>1800</v>
      </c>
      <c r="E3742" s="35">
        <v>45198</v>
      </c>
      <c r="F3742" s="33">
        <v>3</v>
      </c>
      <c r="G3742" s="33" t="s">
        <v>122</v>
      </c>
      <c r="H3742" s="33" t="s">
        <v>73</v>
      </c>
      <c r="I3742" s="33" t="s">
        <v>196</v>
      </c>
      <c r="J3742" s="34">
        <v>28143.35</v>
      </c>
      <c r="K3742" s="34"/>
      <c r="L3742" s="34">
        <v>28143.35</v>
      </c>
    </row>
    <row r="3743" spans="2:12" x14ac:dyDescent="0.3">
      <c r="B3743" s="25">
        <v>3765</v>
      </c>
      <c r="C3743" s="33">
        <v>53616</v>
      </c>
      <c r="D3743" s="33" t="s">
        <v>411</v>
      </c>
      <c r="E3743" s="35">
        <v>45204</v>
      </c>
      <c r="F3743" s="33">
        <v>4</v>
      </c>
      <c r="G3743" s="33" t="s">
        <v>122</v>
      </c>
      <c r="H3743" s="33">
        <v>53</v>
      </c>
      <c r="I3743" s="33" t="s">
        <v>196</v>
      </c>
      <c r="J3743" s="34">
        <v>1111</v>
      </c>
      <c r="K3743" s="34"/>
      <c r="L3743" s="34">
        <v>1111</v>
      </c>
    </row>
    <row r="3744" spans="2:12" x14ac:dyDescent="0.3">
      <c r="B3744" s="25">
        <v>3766</v>
      </c>
      <c r="C3744" s="33">
        <v>53618</v>
      </c>
      <c r="D3744" s="33" t="s">
        <v>413</v>
      </c>
      <c r="E3744" s="35">
        <v>45204</v>
      </c>
      <c r="F3744" s="33">
        <v>4</v>
      </c>
      <c r="G3744" s="33" t="s">
        <v>122</v>
      </c>
      <c r="H3744" s="33" t="s">
        <v>73</v>
      </c>
      <c r="I3744" s="33" t="s">
        <v>196</v>
      </c>
      <c r="J3744" s="34">
        <v>85.5</v>
      </c>
      <c r="K3744" s="34"/>
      <c r="L3744" s="34">
        <v>85.5</v>
      </c>
    </row>
    <row r="3745" spans="2:12" x14ac:dyDescent="0.3">
      <c r="B3745" s="25">
        <v>3767</v>
      </c>
      <c r="C3745" s="33">
        <v>20498</v>
      </c>
      <c r="D3745" s="33" t="s">
        <v>1802</v>
      </c>
      <c r="E3745" s="35">
        <v>45196</v>
      </c>
      <c r="F3745" s="33">
        <v>3</v>
      </c>
      <c r="G3745" s="33" t="s">
        <v>122</v>
      </c>
      <c r="H3745" s="33" t="s">
        <v>73</v>
      </c>
      <c r="I3745" s="33" t="s">
        <v>196</v>
      </c>
      <c r="J3745" s="34">
        <v>552.41</v>
      </c>
      <c r="K3745" s="34"/>
      <c r="L3745" s="34">
        <v>552.41</v>
      </c>
    </row>
    <row r="3746" spans="2:12" x14ac:dyDescent="0.3">
      <c r="B3746" s="25">
        <v>3768</v>
      </c>
      <c r="C3746" s="33">
        <v>36762</v>
      </c>
      <c r="D3746" s="33" t="s">
        <v>233</v>
      </c>
      <c r="E3746" s="35">
        <v>45216</v>
      </c>
      <c r="F3746" s="33">
        <v>4</v>
      </c>
      <c r="G3746" s="33" t="s">
        <v>122</v>
      </c>
      <c r="H3746" s="33" t="s">
        <v>72</v>
      </c>
      <c r="I3746" s="33" t="s">
        <v>196</v>
      </c>
      <c r="J3746" s="34">
        <v>1386.28</v>
      </c>
      <c r="K3746" s="34"/>
      <c r="L3746" s="34">
        <v>1386.28</v>
      </c>
    </row>
    <row r="3747" spans="2:12" x14ac:dyDescent="0.3">
      <c r="B3747" s="25">
        <v>3769</v>
      </c>
      <c r="C3747" s="33" t="s">
        <v>1804</v>
      </c>
      <c r="D3747" s="33" t="s">
        <v>1355</v>
      </c>
      <c r="E3747" s="35">
        <v>45110</v>
      </c>
      <c r="F3747" s="33">
        <v>3</v>
      </c>
      <c r="G3747" s="33" t="s">
        <v>122</v>
      </c>
      <c r="H3747" s="33" t="s">
        <v>70</v>
      </c>
      <c r="I3747" s="33" t="s">
        <v>196</v>
      </c>
      <c r="J3747" s="34">
        <v>2978.04</v>
      </c>
      <c r="K3747" s="34">
        <v>75</v>
      </c>
      <c r="L3747" s="34">
        <v>2903.04</v>
      </c>
    </row>
    <row r="3748" spans="2:12" x14ac:dyDescent="0.3">
      <c r="B3748" s="25">
        <v>3770</v>
      </c>
      <c r="C3748" s="33" t="s">
        <v>1805</v>
      </c>
      <c r="D3748" s="33" t="s">
        <v>1355</v>
      </c>
      <c r="E3748" s="35">
        <v>45132</v>
      </c>
      <c r="F3748" s="33">
        <v>3</v>
      </c>
      <c r="G3748" s="33" t="s">
        <v>122</v>
      </c>
      <c r="H3748" s="33" t="s">
        <v>70</v>
      </c>
      <c r="I3748" s="33" t="s">
        <v>196</v>
      </c>
      <c r="J3748" s="34">
        <v>1947.96</v>
      </c>
      <c r="K3748" s="34">
        <v>75</v>
      </c>
      <c r="L3748" s="34">
        <v>1872.96</v>
      </c>
    </row>
    <row r="3749" spans="2:12" x14ac:dyDescent="0.3">
      <c r="B3749" s="25">
        <v>3771</v>
      </c>
      <c r="C3749" s="33" t="s">
        <v>1806</v>
      </c>
      <c r="D3749" s="33" t="s">
        <v>477</v>
      </c>
      <c r="E3749" s="35">
        <v>45138</v>
      </c>
      <c r="F3749" s="33">
        <v>3</v>
      </c>
      <c r="G3749" s="33" t="s">
        <v>628</v>
      </c>
      <c r="H3749" s="33" t="s">
        <v>70</v>
      </c>
      <c r="I3749" s="33" t="s">
        <v>75</v>
      </c>
      <c r="J3749" s="34">
        <v>233</v>
      </c>
      <c r="K3749" s="34">
        <v>50</v>
      </c>
      <c r="L3749" s="34">
        <v>183</v>
      </c>
    </row>
    <row r="3750" spans="2:12" x14ac:dyDescent="0.3">
      <c r="B3750" s="25">
        <v>3772</v>
      </c>
      <c r="C3750" s="33">
        <v>5847</v>
      </c>
      <c r="D3750" s="33" t="s">
        <v>1126</v>
      </c>
      <c r="E3750" s="35">
        <v>45145</v>
      </c>
      <c r="F3750" s="33">
        <v>3</v>
      </c>
      <c r="G3750" s="33" t="s">
        <v>124</v>
      </c>
      <c r="H3750" s="33" t="s">
        <v>630</v>
      </c>
      <c r="I3750" s="33" t="s">
        <v>197</v>
      </c>
      <c r="J3750" s="34">
        <v>3313.8</v>
      </c>
      <c r="K3750" s="34"/>
      <c r="L3750" s="34">
        <v>3313.8</v>
      </c>
    </row>
    <row r="3751" spans="2:12" x14ac:dyDescent="0.3">
      <c r="B3751" s="25">
        <v>3773</v>
      </c>
      <c r="C3751" s="33">
        <v>5897</v>
      </c>
      <c r="D3751" s="33" t="s">
        <v>1807</v>
      </c>
      <c r="E3751" s="35">
        <v>45163</v>
      </c>
      <c r="F3751" s="33">
        <v>3</v>
      </c>
      <c r="G3751" s="33" t="s">
        <v>628</v>
      </c>
      <c r="H3751" s="33" t="s">
        <v>630</v>
      </c>
      <c r="I3751" s="33" t="s">
        <v>75</v>
      </c>
      <c r="J3751" s="34">
        <v>2734.8</v>
      </c>
      <c r="K3751" s="34"/>
      <c r="L3751" s="34">
        <v>2734.8</v>
      </c>
    </row>
    <row r="3752" spans="2:12" x14ac:dyDescent="0.3">
      <c r="B3752" s="25">
        <v>3774</v>
      </c>
      <c r="C3752" s="33">
        <v>54177</v>
      </c>
      <c r="D3752" s="33" t="s">
        <v>512</v>
      </c>
      <c r="E3752" s="35">
        <v>45168</v>
      </c>
      <c r="F3752" s="33">
        <v>3</v>
      </c>
      <c r="G3752" s="33" t="s">
        <v>122</v>
      </c>
      <c r="H3752" s="33" t="s">
        <v>69</v>
      </c>
      <c r="I3752" s="33" t="s">
        <v>196</v>
      </c>
      <c r="J3752" s="34">
        <v>3507.99</v>
      </c>
      <c r="K3752" s="34"/>
      <c r="L3752" s="34">
        <v>3507.99</v>
      </c>
    </row>
    <row r="3753" spans="2:12" x14ac:dyDescent="0.3">
      <c r="B3753" s="25">
        <v>3775</v>
      </c>
      <c r="C3753" s="33">
        <v>54312</v>
      </c>
      <c r="D3753" s="33" t="s">
        <v>400</v>
      </c>
      <c r="E3753" s="35">
        <v>45176</v>
      </c>
      <c r="F3753" s="33">
        <v>3</v>
      </c>
      <c r="G3753" s="33" t="s">
        <v>231</v>
      </c>
      <c r="H3753" s="33" t="s">
        <v>69</v>
      </c>
      <c r="I3753" s="33" t="s">
        <v>198</v>
      </c>
      <c r="J3753" s="34">
        <v>2.91</v>
      </c>
      <c r="K3753" s="34"/>
      <c r="L3753" s="34">
        <v>2.91</v>
      </c>
    </row>
    <row r="3754" spans="2:12" x14ac:dyDescent="0.3">
      <c r="B3754" s="25">
        <v>3776</v>
      </c>
      <c r="C3754" s="33">
        <v>384814</v>
      </c>
      <c r="D3754" s="33" t="s">
        <v>1792</v>
      </c>
      <c r="E3754" s="35">
        <v>45113</v>
      </c>
      <c r="F3754" s="33">
        <v>3</v>
      </c>
      <c r="G3754" s="33" t="s">
        <v>124</v>
      </c>
      <c r="H3754" s="33" t="s">
        <v>200</v>
      </c>
      <c r="I3754" s="33" t="s">
        <v>197</v>
      </c>
      <c r="J3754" s="34">
        <v>3858.62</v>
      </c>
      <c r="K3754" s="34"/>
      <c r="L3754" s="34">
        <v>3858.62</v>
      </c>
    </row>
    <row r="3755" spans="2:12" x14ac:dyDescent="0.3">
      <c r="B3755" s="25">
        <v>3777</v>
      </c>
      <c r="C3755" s="33">
        <v>384875</v>
      </c>
      <c r="D3755" s="33" t="s">
        <v>395</v>
      </c>
      <c r="E3755" s="35">
        <v>45152</v>
      </c>
      <c r="F3755" s="33">
        <v>3</v>
      </c>
      <c r="G3755" s="33" t="s">
        <v>122</v>
      </c>
      <c r="H3755" s="33" t="s">
        <v>200</v>
      </c>
      <c r="I3755" s="33" t="s">
        <v>196</v>
      </c>
      <c r="J3755" s="34">
        <v>1841.3</v>
      </c>
      <c r="K3755" s="34"/>
      <c r="L3755" s="34">
        <v>1841.3</v>
      </c>
    </row>
    <row r="3756" spans="2:12" x14ac:dyDescent="0.3">
      <c r="B3756" s="25">
        <v>3778</v>
      </c>
      <c r="C3756" s="33">
        <v>384907</v>
      </c>
      <c r="D3756" s="33" t="s">
        <v>395</v>
      </c>
      <c r="E3756" s="35">
        <v>45154</v>
      </c>
      <c r="F3756" s="33">
        <v>3</v>
      </c>
      <c r="G3756" s="33" t="s">
        <v>122</v>
      </c>
      <c r="H3756" s="33" t="s">
        <v>200</v>
      </c>
      <c r="I3756" s="33" t="s">
        <v>196</v>
      </c>
      <c r="J3756" s="34">
        <v>552.39</v>
      </c>
      <c r="K3756" s="34"/>
      <c r="L3756" s="34">
        <v>552.39</v>
      </c>
    </row>
    <row r="3757" spans="2:12" x14ac:dyDescent="0.3">
      <c r="B3757" s="25">
        <v>3779</v>
      </c>
      <c r="C3757" s="33">
        <v>384989</v>
      </c>
      <c r="D3757" s="33" t="s">
        <v>1594</v>
      </c>
      <c r="E3757" s="35">
        <v>45167</v>
      </c>
      <c r="F3757" s="33">
        <v>3</v>
      </c>
      <c r="G3757" s="33" t="s">
        <v>122</v>
      </c>
      <c r="H3757" s="33" t="s">
        <v>200</v>
      </c>
      <c r="I3757" s="33" t="s">
        <v>196</v>
      </c>
      <c r="J3757" s="34">
        <v>975.89</v>
      </c>
      <c r="K3757" s="34"/>
      <c r="L3757" s="34">
        <v>975.89</v>
      </c>
    </row>
    <row r="3758" spans="2:12" x14ac:dyDescent="0.3">
      <c r="B3758" s="25">
        <v>3780</v>
      </c>
      <c r="C3758" s="33">
        <v>385047</v>
      </c>
      <c r="D3758" s="33" t="s">
        <v>1808</v>
      </c>
      <c r="E3758" s="35">
        <v>45176</v>
      </c>
      <c r="F3758" s="33">
        <v>3</v>
      </c>
      <c r="G3758" s="33" t="s">
        <v>231</v>
      </c>
      <c r="H3758" s="33" t="s">
        <v>200</v>
      </c>
      <c r="I3758" s="33" t="s">
        <v>198</v>
      </c>
      <c r="J3758" s="34">
        <v>221.44</v>
      </c>
      <c r="K3758" s="34"/>
      <c r="L3758" s="34">
        <v>221.44</v>
      </c>
    </row>
    <row r="3759" spans="2:12" x14ac:dyDescent="0.3">
      <c r="B3759" s="25">
        <v>3781</v>
      </c>
      <c r="C3759" s="33">
        <v>385174</v>
      </c>
      <c r="D3759" s="33" t="s">
        <v>759</v>
      </c>
      <c r="E3759" s="35">
        <v>45196</v>
      </c>
      <c r="F3759" s="33">
        <v>3</v>
      </c>
      <c r="G3759" s="33" t="s">
        <v>124</v>
      </c>
      <c r="H3759" s="33" t="s">
        <v>200</v>
      </c>
      <c r="I3759" s="33" t="s">
        <v>197</v>
      </c>
      <c r="J3759" s="34">
        <v>473.9</v>
      </c>
      <c r="K3759" s="34"/>
      <c r="L3759" s="34">
        <v>473.9</v>
      </c>
    </row>
    <row r="3760" spans="2:12" x14ac:dyDescent="0.3">
      <c r="B3760" s="25">
        <v>3782</v>
      </c>
      <c r="C3760" s="33">
        <v>703358</v>
      </c>
      <c r="D3760" s="33" t="s">
        <v>1809</v>
      </c>
      <c r="E3760" s="35">
        <v>45196</v>
      </c>
      <c r="F3760" s="33">
        <v>3</v>
      </c>
      <c r="G3760" s="33" t="s">
        <v>122</v>
      </c>
      <c r="H3760" s="33" t="s">
        <v>200</v>
      </c>
      <c r="I3760" s="33" t="s">
        <v>196</v>
      </c>
      <c r="J3760" s="34">
        <v>3684.56</v>
      </c>
      <c r="K3760" s="34"/>
      <c r="L3760" s="34">
        <v>3684.56</v>
      </c>
    </row>
  </sheetData>
  <sheetProtection algorithmName="SHA-512" hashValue="7QkQsAJ435ljpjQ+1sE64ZaDbpenWoDp/nv3rq8VkXLp26DNvzZypKwOdmGz1aqKpl7GjEgUyKjVhYXZWASeMw==" saltValue="fzmHXgAJBPR2WL3ocFuDiQ==" spinCount="100000" sheet="1" objects="1" scenarios="1" autoFilter="0"/>
  <autoFilter ref="C9:L3760" xr:uid="{54FA0832-0A3D-471D-8610-20D86ADC5BE8}"/>
  <dataValidations count="6">
    <dataValidation type="list" allowBlank="1" showInputMessage="1" showErrorMessage="1" sqref="C7" xr:uid="{6A9A28FB-F88D-4894-AF10-56C7AF04A489}">
      <formula1>LstFactAgence</formula1>
    </dataValidation>
    <dataValidation type="list" allowBlank="1" showInputMessage="1" showErrorMessage="1" sqref="D7" xr:uid="{3EE6A5FF-8D88-4001-B477-C32F405A043B}">
      <formula1>LstClientAgence</formula1>
    </dataValidation>
    <dataValidation type="list" allowBlank="1" showInputMessage="1" showErrorMessage="1" sqref="F7" xr:uid="{DC930FD4-E867-4B86-8CFA-0ACFCAD68265}">
      <formula1>LstTrimestreAgence</formula1>
    </dataValidation>
    <dataValidation type="list" allowBlank="1" showInputMessage="1" showErrorMessage="1" sqref="G7" xr:uid="{7B3FB8AD-2651-49F4-9E81-5727D94A995E}">
      <formula1>LstCommercialAgence</formula1>
    </dataValidation>
    <dataValidation type="list" allowBlank="1" showInputMessage="1" showErrorMessage="1" sqref="H7" xr:uid="{83D6BD70-7777-4E9C-AE2C-851833B1340F}">
      <formula1>LstMarqueAgence</formula1>
    </dataValidation>
    <dataValidation type="list" allowBlank="1" showInputMessage="1" showErrorMessage="1" sqref="I7" xr:uid="{7E0B042E-CE73-4C4A-B21A-68CE692F415F}">
      <formula1>LstRegionAgence</formula1>
    </dataValidation>
  </dataValidations>
  <pageMargins left="0.7" right="0.7" top="0.75" bottom="0.75" header="0.3" footer="0.3"/>
  <pageSetup paperSize="9" scale="68" fitToHeight="0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3BD1-6A7F-4981-80F4-EA5F6F8F619C}">
  <sheetPr codeName="F_Facturation_Negoce" filterMode="1">
    <tabColor rgb="FFFF0000"/>
  </sheetPr>
  <dimension ref="B1:P196"/>
  <sheetViews>
    <sheetView showGridLines="0" topLeftCell="A2" zoomScale="90" zoomScaleNormal="90" workbookViewId="0">
      <selection activeCell="B10" sqref="B10:P196"/>
    </sheetView>
  </sheetViews>
  <sheetFormatPr baseColWidth="10" defaultRowHeight="14.4" x14ac:dyDescent="0.3"/>
  <cols>
    <col min="1" max="1" width="1.33203125" customWidth="1"/>
    <col min="2" max="2" width="10.77734375" hidden="1" customWidth="1"/>
    <col min="3" max="3" width="17.109375" customWidth="1"/>
    <col min="4" max="4" width="14.77734375" customWidth="1"/>
    <col min="5" max="5" width="15.77734375" customWidth="1"/>
    <col min="6" max="6" width="14.77734375" customWidth="1"/>
    <col min="8" max="8" width="14.109375" customWidth="1"/>
    <col min="11" max="11" width="14.6640625" customWidth="1"/>
    <col min="13" max="13" width="14.33203125" customWidth="1"/>
    <col min="14" max="14" width="26" customWidth="1"/>
    <col min="15" max="15" width="13" customWidth="1"/>
    <col min="16" max="16" width="12.77734375" customWidth="1"/>
  </cols>
  <sheetData>
    <row r="1" spans="2:16" s="38" customFormat="1" hidden="1" x14ac:dyDescent="0.3">
      <c r="B1" s="27"/>
      <c r="C1" s="27"/>
      <c r="D1" s="27"/>
      <c r="E1" s="27"/>
      <c r="F1" s="27"/>
      <c r="G1" s="39"/>
      <c r="H1" s="39"/>
      <c r="I1" s="27"/>
      <c r="J1" s="27"/>
      <c r="K1" s="39"/>
      <c r="L1" s="27"/>
      <c r="M1" s="64"/>
      <c r="N1" s="72"/>
      <c r="O1" s="72"/>
      <c r="P1" s="64"/>
    </row>
    <row r="2" spans="2:16" ht="33.6" customHeight="1" x14ac:dyDescent="0.3"/>
    <row r="3" spans="2:16" ht="4.05" customHeight="1" thickBot="1" x14ac:dyDescent="0.35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2:16" ht="10.5" customHeight="1" x14ac:dyDescent="0.3"/>
    <row r="5" spans="2:16" hidden="1" x14ac:dyDescent="0.3"/>
    <row r="6" spans="2:16" hidden="1" x14ac:dyDescent="0.3"/>
    <row r="7" spans="2:16" hidden="1" x14ac:dyDescent="0.3"/>
    <row r="8" spans="2:16" ht="15.6" hidden="1" x14ac:dyDescent="0.3">
      <c r="B8" s="36"/>
      <c r="C8" s="36"/>
      <c r="D8" s="36"/>
      <c r="E8" s="36"/>
      <c r="F8" s="36"/>
      <c r="G8" s="37"/>
      <c r="I8" s="37"/>
      <c r="J8" s="37"/>
      <c r="K8" s="37"/>
      <c r="L8" s="37"/>
    </row>
    <row r="9" spans="2:16" ht="20.399999999999999" x14ac:dyDescent="0.3">
      <c r="B9" s="40" t="s">
        <v>76</v>
      </c>
      <c r="C9" s="41" t="s">
        <v>132</v>
      </c>
      <c r="D9" s="41" t="s">
        <v>80</v>
      </c>
      <c r="E9" s="42" t="s">
        <v>133</v>
      </c>
      <c r="F9" s="42" t="s">
        <v>134</v>
      </c>
      <c r="G9" s="43" t="s">
        <v>135</v>
      </c>
      <c r="H9" s="44" t="s">
        <v>136</v>
      </c>
      <c r="I9" s="45" t="s">
        <v>137</v>
      </c>
      <c r="J9" s="45" t="s">
        <v>138</v>
      </c>
      <c r="K9" s="46" t="s">
        <v>135</v>
      </c>
      <c r="L9" s="45" t="s">
        <v>139</v>
      </c>
      <c r="M9" s="68" t="s">
        <v>140</v>
      </c>
      <c r="N9" s="69" t="s">
        <v>141</v>
      </c>
      <c r="O9" s="69" t="s">
        <v>142</v>
      </c>
      <c r="P9" s="68" t="s">
        <v>143</v>
      </c>
    </row>
    <row r="10" spans="2:16" hidden="1" x14ac:dyDescent="0.3">
      <c r="B10" s="27">
        <v>1</v>
      </c>
      <c r="C10" s="130">
        <v>44203</v>
      </c>
      <c r="D10" s="27">
        <v>1</v>
      </c>
      <c r="E10" s="27" t="s">
        <v>229</v>
      </c>
      <c r="F10" s="27" t="s">
        <v>230</v>
      </c>
      <c r="G10" s="39">
        <v>835</v>
      </c>
      <c r="H10" s="39"/>
      <c r="I10" s="27" t="s">
        <v>73</v>
      </c>
      <c r="J10" s="27"/>
      <c r="K10" s="39">
        <v>356.96</v>
      </c>
      <c r="L10" s="27">
        <v>71</v>
      </c>
      <c r="M10" s="64">
        <v>532</v>
      </c>
      <c r="N10" s="72">
        <v>0.59909909909909898</v>
      </c>
      <c r="O10" s="72">
        <v>7.0000000000000007E-2</v>
      </c>
      <c r="P10" s="64">
        <v>37.24</v>
      </c>
    </row>
    <row r="11" spans="2:16" hidden="1" x14ac:dyDescent="0.3">
      <c r="B11" s="27">
        <v>2</v>
      </c>
      <c r="C11" s="130">
        <v>44207</v>
      </c>
      <c r="D11" s="27">
        <v>1</v>
      </c>
      <c r="E11" s="27" t="s">
        <v>235</v>
      </c>
      <c r="F11" s="27" t="s">
        <v>236</v>
      </c>
      <c r="G11" s="39">
        <v>2667.6</v>
      </c>
      <c r="H11" s="39"/>
      <c r="I11" s="27" t="s">
        <v>71</v>
      </c>
      <c r="J11" s="27">
        <v>149</v>
      </c>
      <c r="K11" s="39">
        <v>1858.43</v>
      </c>
      <c r="L11" s="27">
        <v>38</v>
      </c>
      <c r="M11" s="64">
        <v>809.17</v>
      </c>
      <c r="N11" s="72">
        <v>0.303332583595741</v>
      </c>
      <c r="O11" s="72">
        <v>5.2499999999999998E-2</v>
      </c>
      <c r="P11" s="64">
        <v>42.48</v>
      </c>
    </row>
    <row r="12" spans="2:16" hidden="1" x14ac:dyDescent="0.3">
      <c r="B12" s="27">
        <v>3</v>
      </c>
      <c r="C12" s="130">
        <v>44208</v>
      </c>
      <c r="D12" s="27">
        <v>1</v>
      </c>
      <c r="E12" s="27" t="s">
        <v>237</v>
      </c>
      <c r="F12" s="27" t="s">
        <v>239</v>
      </c>
      <c r="G12" s="39">
        <v>1278.1300000000001</v>
      </c>
      <c r="H12" s="39"/>
      <c r="I12" s="27" t="s">
        <v>71</v>
      </c>
      <c r="J12" s="27">
        <v>272</v>
      </c>
      <c r="K12" s="39">
        <v>878.71</v>
      </c>
      <c r="L12" s="27">
        <v>59</v>
      </c>
      <c r="M12" s="64">
        <v>399.42</v>
      </c>
      <c r="N12" s="72">
        <v>0.31250342296949501</v>
      </c>
      <c r="O12" s="72">
        <v>5.2499999999999998E-2</v>
      </c>
      <c r="P12" s="64">
        <v>20.97</v>
      </c>
    </row>
    <row r="13" spans="2:16" hidden="1" x14ac:dyDescent="0.3">
      <c r="B13" s="27">
        <v>4</v>
      </c>
      <c r="C13" s="130">
        <v>44209</v>
      </c>
      <c r="D13" s="27">
        <v>1</v>
      </c>
      <c r="E13" s="27" t="s">
        <v>287</v>
      </c>
      <c r="F13" s="27" t="s">
        <v>238</v>
      </c>
      <c r="G13" s="39">
        <v>685</v>
      </c>
      <c r="H13" s="39"/>
      <c r="I13" s="27" t="s">
        <v>72</v>
      </c>
      <c r="J13" s="27">
        <v>39267</v>
      </c>
      <c r="K13" s="39">
        <v>507.6</v>
      </c>
      <c r="L13" s="27">
        <v>30767</v>
      </c>
      <c r="M13" s="64">
        <v>177.4</v>
      </c>
      <c r="N13" s="72">
        <v>0.25897810218978101</v>
      </c>
      <c r="O13" s="72">
        <v>0.04</v>
      </c>
      <c r="P13" s="64">
        <v>7.1</v>
      </c>
    </row>
    <row r="14" spans="2:16" hidden="1" x14ac:dyDescent="0.3">
      <c r="B14" s="27">
        <v>5</v>
      </c>
      <c r="C14" s="130">
        <v>44221</v>
      </c>
      <c r="D14" s="27">
        <v>1</v>
      </c>
      <c r="E14" s="27" t="s">
        <v>240</v>
      </c>
      <c r="F14" s="27" t="s">
        <v>241</v>
      </c>
      <c r="G14" s="39">
        <v>8195.83</v>
      </c>
      <c r="H14" s="39"/>
      <c r="I14" s="27" t="s">
        <v>73</v>
      </c>
      <c r="J14" s="27"/>
      <c r="K14" s="39">
        <v>4219.63</v>
      </c>
      <c r="L14" s="27" t="s">
        <v>242</v>
      </c>
      <c r="M14" s="64">
        <v>3976.2</v>
      </c>
      <c r="N14" s="72">
        <v>0.48514915511912798</v>
      </c>
      <c r="O14" s="72">
        <v>7.0000000000000007E-2</v>
      </c>
      <c r="P14" s="64">
        <v>278.33</v>
      </c>
    </row>
    <row r="15" spans="2:16" hidden="1" x14ac:dyDescent="0.3">
      <c r="B15" s="27">
        <v>6</v>
      </c>
      <c r="C15" s="130">
        <v>44224</v>
      </c>
      <c r="D15" s="27">
        <v>1</v>
      </c>
      <c r="E15" s="27" t="s">
        <v>244</v>
      </c>
      <c r="F15" s="27" t="s">
        <v>245</v>
      </c>
      <c r="G15" s="39">
        <v>384.8</v>
      </c>
      <c r="H15" s="39"/>
      <c r="I15" s="27" t="s">
        <v>243</v>
      </c>
      <c r="J15" s="27"/>
      <c r="K15" s="39">
        <v>248.92</v>
      </c>
      <c r="L15" s="27">
        <v>19</v>
      </c>
      <c r="M15" s="64">
        <v>135.88</v>
      </c>
      <c r="N15" s="72">
        <v>0.35311850311850301</v>
      </c>
      <c r="O15" s="72">
        <v>5.7500000000000002E-2</v>
      </c>
      <c r="P15" s="64">
        <v>7.81</v>
      </c>
    </row>
    <row r="16" spans="2:16" hidden="1" x14ac:dyDescent="0.3">
      <c r="B16" s="27">
        <v>7</v>
      </c>
      <c r="C16" s="130">
        <v>44224</v>
      </c>
      <c r="D16" s="27">
        <v>1</v>
      </c>
      <c r="E16" s="27" t="s">
        <v>246</v>
      </c>
      <c r="F16" s="27" t="s">
        <v>234</v>
      </c>
      <c r="G16" s="39">
        <v>239.41</v>
      </c>
      <c r="H16" s="39"/>
      <c r="I16" s="27" t="s">
        <v>68</v>
      </c>
      <c r="J16" s="27">
        <v>210222</v>
      </c>
      <c r="K16" s="39">
        <v>157.05000000000001</v>
      </c>
      <c r="L16" s="27"/>
      <c r="M16" s="64">
        <v>82.36</v>
      </c>
      <c r="N16" s="72">
        <v>0.34401236372749699</v>
      </c>
      <c r="O16" s="72">
        <v>5.7500000000000002E-2</v>
      </c>
      <c r="P16" s="64">
        <v>4.74</v>
      </c>
    </row>
    <row r="17" spans="2:16" hidden="1" x14ac:dyDescent="0.3">
      <c r="B17" s="27">
        <v>8</v>
      </c>
      <c r="C17" s="130">
        <v>44225</v>
      </c>
      <c r="D17" s="27">
        <v>1</v>
      </c>
      <c r="E17" s="27" t="s">
        <v>247</v>
      </c>
      <c r="F17" s="27" t="s">
        <v>248</v>
      </c>
      <c r="G17" s="39">
        <v>10901.25</v>
      </c>
      <c r="H17" s="39"/>
      <c r="I17" s="27" t="s">
        <v>70</v>
      </c>
      <c r="J17" s="27"/>
      <c r="K17" s="39">
        <v>7299.99</v>
      </c>
      <c r="L17" s="27" t="s">
        <v>249</v>
      </c>
      <c r="M17" s="64">
        <v>3601.26</v>
      </c>
      <c r="N17" s="72">
        <v>0.33035294117647102</v>
      </c>
      <c r="O17" s="72">
        <v>5.5E-2</v>
      </c>
      <c r="P17" s="64">
        <v>198.07</v>
      </c>
    </row>
    <row r="18" spans="2:16" hidden="1" x14ac:dyDescent="0.3">
      <c r="B18" s="27">
        <v>9</v>
      </c>
      <c r="C18" s="130">
        <v>44200</v>
      </c>
      <c r="D18" s="27">
        <v>1</v>
      </c>
      <c r="E18" s="27" t="s">
        <v>250</v>
      </c>
      <c r="F18" s="27" t="s">
        <v>251</v>
      </c>
      <c r="G18" s="39">
        <v>4866.6400000000003</v>
      </c>
      <c r="H18" s="39"/>
      <c r="I18" s="27" t="s">
        <v>69</v>
      </c>
      <c r="J18" s="27"/>
      <c r="K18" s="39">
        <v>2397.6</v>
      </c>
      <c r="L18" s="27">
        <v>16796</v>
      </c>
      <c r="M18" s="64">
        <v>2469.04</v>
      </c>
      <c r="N18" s="72">
        <v>0.50733976624529498</v>
      </c>
      <c r="O18" s="72">
        <v>7.0000000000000007E-2</v>
      </c>
      <c r="P18" s="64">
        <v>172.83</v>
      </c>
    </row>
    <row r="19" spans="2:16" hidden="1" x14ac:dyDescent="0.3">
      <c r="B19" s="27">
        <v>10</v>
      </c>
      <c r="C19" s="130">
        <v>44232</v>
      </c>
      <c r="D19" s="27">
        <v>1</v>
      </c>
      <c r="E19" s="27" t="s">
        <v>252</v>
      </c>
      <c r="F19" s="27" t="s">
        <v>253</v>
      </c>
      <c r="G19" s="39">
        <v>3438.25</v>
      </c>
      <c r="H19" s="39"/>
      <c r="I19" s="27" t="s">
        <v>70</v>
      </c>
      <c r="J19" s="27"/>
      <c r="K19" s="39">
        <v>2348.5700000000002</v>
      </c>
      <c r="L19" s="27" t="s">
        <v>254</v>
      </c>
      <c r="M19" s="64">
        <v>1089.68</v>
      </c>
      <c r="N19" s="72">
        <v>0.31692867010834003</v>
      </c>
      <c r="O19" s="72">
        <v>5.2499999999999998E-2</v>
      </c>
      <c r="P19" s="64">
        <v>57.21</v>
      </c>
    </row>
    <row r="20" spans="2:16" hidden="1" x14ac:dyDescent="0.3">
      <c r="B20" s="27">
        <v>11</v>
      </c>
      <c r="C20" s="130">
        <v>44237</v>
      </c>
      <c r="D20" s="27">
        <v>1</v>
      </c>
      <c r="E20" s="27" t="s">
        <v>288</v>
      </c>
      <c r="F20" s="27" t="s">
        <v>289</v>
      </c>
      <c r="G20" s="39">
        <v>1176.8</v>
      </c>
      <c r="H20" s="39"/>
      <c r="I20" s="27" t="s">
        <v>73</v>
      </c>
      <c r="J20" s="27"/>
      <c r="K20" s="39">
        <v>735.5</v>
      </c>
      <c r="L20" s="27">
        <v>6470</v>
      </c>
      <c r="M20" s="64">
        <v>441.3</v>
      </c>
      <c r="N20" s="72">
        <v>0.375</v>
      </c>
      <c r="O20" s="72">
        <v>0.06</v>
      </c>
      <c r="P20" s="64">
        <v>26.48</v>
      </c>
    </row>
    <row r="21" spans="2:16" hidden="1" x14ac:dyDescent="0.3">
      <c r="B21" s="27">
        <v>12</v>
      </c>
      <c r="C21" s="130">
        <v>44235</v>
      </c>
      <c r="D21" s="27">
        <v>1</v>
      </c>
      <c r="E21" s="27" t="s">
        <v>290</v>
      </c>
      <c r="F21" s="27" t="s">
        <v>291</v>
      </c>
      <c r="G21" s="39">
        <v>8220</v>
      </c>
      <c r="H21" s="39"/>
      <c r="I21" s="27" t="s">
        <v>72</v>
      </c>
      <c r="J21" s="27">
        <v>39460</v>
      </c>
      <c r="K21" s="39">
        <v>5726.6</v>
      </c>
      <c r="L21" s="27">
        <v>30923</v>
      </c>
      <c r="M21" s="64">
        <v>2493.4</v>
      </c>
      <c r="N21" s="72">
        <v>0.30333333333333301</v>
      </c>
      <c r="O21" s="72">
        <v>5.2499999999999998E-2</v>
      </c>
      <c r="P21" s="64">
        <v>130.9</v>
      </c>
    </row>
    <row r="22" spans="2:16" hidden="1" x14ac:dyDescent="0.3">
      <c r="B22" s="27">
        <v>13</v>
      </c>
      <c r="C22" s="130">
        <v>44281</v>
      </c>
      <c r="D22" s="27">
        <v>1</v>
      </c>
      <c r="E22" s="27" t="s">
        <v>292</v>
      </c>
      <c r="F22" s="27" t="s">
        <v>293</v>
      </c>
      <c r="G22" s="39">
        <v>12227.6</v>
      </c>
      <c r="H22" s="39"/>
      <c r="I22" s="27" t="s">
        <v>69</v>
      </c>
      <c r="J22" s="27"/>
      <c r="K22" s="39">
        <v>7467.46</v>
      </c>
      <c r="L22" s="27" t="s">
        <v>294</v>
      </c>
      <c r="M22" s="64">
        <v>4760.1400000000003</v>
      </c>
      <c r="N22" s="72">
        <v>0.389294710327456</v>
      </c>
      <c r="O22" s="72">
        <v>6.25E-2</v>
      </c>
      <c r="P22" s="64">
        <v>297.51</v>
      </c>
    </row>
    <row r="23" spans="2:16" hidden="1" x14ac:dyDescent="0.3">
      <c r="B23" s="27">
        <v>14</v>
      </c>
      <c r="C23" s="130">
        <v>44278</v>
      </c>
      <c r="D23" s="27">
        <v>1</v>
      </c>
      <c r="E23" s="27" t="s">
        <v>295</v>
      </c>
      <c r="F23" s="27" t="s">
        <v>296</v>
      </c>
      <c r="G23" s="39">
        <v>974</v>
      </c>
      <c r="H23" s="39"/>
      <c r="I23" s="27" t="s">
        <v>70</v>
      </c>
      <c r="J23" s="27">
        <v>2100038</v>
      </c>
      <c r="K23" s="39">
        <v>645.79999999999995</v>
      </c>
      <c r="L23" s="27" t="s">
        <v>297</v>
      </c>
      <c r="M23" s="64">
        <v>328.2</v>
      </c>
      <c r="N23" s="72">
        <v>0.33696098562628302</v>
      </c>
      <c r="O23" s="72">
        <v>5.5E-2</v>
      </c>
      <c r="P23" s="64">
        <v>18.05</v>
      </c>
    </row>
    <row r="24" spans="2:16" hidden="1" x14ac:dyDescent="0.3">
      <c r="B24" s="27">
        <v>15</v>
      </c>
      <c r="C24" s="130">
        <v>44257</v>
      </c>
      <c r="D24" s="27">
        <v>1</v>
      </c>
      <c r="E24" s="27" t="s">
        <v>298</v>
      </c>
      <c r="F24" s="27" t="s">
        <v>299</v>
      </c>
      <c r="G24" s="39">
        <v>668.67</v>
      </c>
      <c r="H24" s="39"/>
      <c r="I24" s="27" t="s">
        <v>71</v>
      </c>
      <c r="J24" s="27">
        <v>2150</v>
      </c>
      <c r="K24" s="39">
        <v>421.75</v>
      </c>
      <c r="L24" s="27">
        <v>665</v>
      </c>
      <c r="M24" s="64">
        <v>246.92</v>
      </c>
      <c r="N24" s="72">
        <v>0.36927034262042602</v>
      </c>
      <c r="O24" s="72">
        <v>0.06</v>
      </c>
      <c r="P24" s="64">
        <v>14.82</v>
      </c>
    </row>
    <row r="25" spans="2:16" hidden="1" x14ac:dyDescent="0.3">
      <c r="B25" s="27">
        <v>16</v>
      </c>
      <c r="C25" s="130">
        <v>44258</v>
      </c>
      <c r="D25" s="27">
        <v>1</v>
      </c>
      <c r="E25" s="27" t="s">
        <v>300</v>
      </c>
      <c r="F25" s="27" t="s">
        <v>301</v>
      </c>
      <c r="G25" s="39">
        <v>1022.8</v>
      </c>
      <c r="H25" s="39"/>
      <c r="I25" s="27" t="s">
        <v>71</v>
      </c>
      <c r="J25" s="27">
        <v>2479</v>
      </c>
      <c r="K25" s="39">
        <v>792.55</v>
      </c>
      <c r="L25" s="27">
        <v>757</v>
      </c>
      <c r="M25" s="64">
        <v>230.25</v>
      </c>
      <c r="N25" s="72">
        <v>0.22511732499022299</v>
      </c>
      <c r="O25" s="72">
        <v>3.5000000000000003E-2</v>
      </c>
      <c r="P25" s="64">
        <v>8.06</v>
      </c>
    </row>
    <row r="26" spans="2:16" hidden="1" x14ac:dyDescent="0.3">
      <c r="B26" s="27">
        <v>17</v>
      </c>
      <c r="C26" s="130">
        <v>44279</v>
      </c>
      <c r="D26" s="27">
        <v>1</v>
      </c>
      <c r="E26" s="27" t="s">
        <v>302</v>
      </c>
      <c r="F26" s="27" t="s">
        <v>303</v>
      </c>
      <c r="G26" s="39">
        <v>3132.51</v>
      </c>
      <c r="H26" s="39"/>
      <c r="I26" s="27" t="s">
        <v>71</v>
      </c>
      <c r="J26" s="27">
        <v>3440</v>
      </c>
      <c r="K26" s="39">
        <v>2182.31</v>
      </c>
      <c r="L26" s="27">
        <v>1088</v>
      </c>
      <c r="M26" s="64">
        <v>950.2</v>
      </c>
      <c r="N26" s="72">
        <v>0.30333502526727801</v>
      </c>
      <c r="O26" s="72">
        <v>5.2499999999999998E-2</v>
      </c>
      <c r="P26" s="64">
        <v>49.89</v>
      </c>
    </row>
    <row r="27" spans="2:16" hidden="1" x14ac:dyDescent="0.3">
      <c r="B27" s="27">
        <v>18</v>
      </c>
      <c r="C27" s="130">
        <v>44281</v>
      </c>
      <c r="D27" s="27">
        <v>1</v>
      </c>
      <c r="E27" s="27" t="s">
        <v>304</v>
      </c>
      <c r="F27" s="27" t="s">
        <v>305</v>
      </c>
      <c r="G27" s="39">
        <v>2580</v>
      </c>
      <c r="H27" s="39"/>
      <c r="I27" s="27" t="s">
        <v>73</v>
      </c>
      <c r="J27" s="27">
        <v>531265</v>
      </c>
      <c r="K27" s="39">
        <v>1044.05</v>
      </c>
      <c r="L27" s="27">
        <v>7938</v>
      </c>
      <c r="M27" s="64">
        <v>1535.95</v>
      </c>
      <c r="N27" s="72">
        <v>0.59532945736434095</v>
      </c>
      <c r="O27" s="72">
        <v>7.0000000000000007E-2</v>
      </c>
      <c r="P27" s="64">
        <v>107.52</v>
      </c>
    </row>
    <row r="28" spans="2:16" hidden="1" x14ac:dyDescent="0.3">
      <c r="B28" s="27">
        <v>19</v>
      </c>
      <c r="C28" s="130">
        <v>44292</v>
      </c>
      <c r="D28" s="27">
        <v>2</v>
      </c>
      <c r="E28" s="27" t="s">
        <v>306</v>
      </c>
      <c r="F28" s="27" t="s">
        <v>307</v>
      </c>
      <c r="G28" s="39">
        <v>6936.19</v>
      </c>
      <c r="H28" s="39"/>
      <c r="I28" s="27" t="s">
        <v>71</v>
      </c>
      <c r="J28" s="27">
        <v>4008</v>
      </c>
      <c r="K28" s="39">
        <v>4741.66</v>
      </c>
      <c r="L28" s="27">
        <v>1351</v>
      </c>
      <c r="M28" s="64">
        <v>2194.5300000000002</v>
      </c>
      <c r="N28" s="72">
        <v>0.31638839189814599</v>
      </c>
      <c r="O28" s="72">
        <v>5.2499999999999998E-2</v>
      </c>
      <c r="P28" s="64">
        <v>115.21</v>
      </c>
    </row>
    <row r="29" spans="2:16" hidden="1" x14ac:dyDescent="0.3">
      <c r="B29" s="27">
        <v>20</v>
      </c>
      <c r="C29" s="130">
        <v>44307</v>
      </c>
      <c r="D29" s="27">
        <v>2</v>
      </c>
      <c r="E29" s="27" t="s">
        <v>308</v>
      </c>
      <c r="F29" s="27" t="s">
        <v>309</v>
      </c>
      <c r="G29" s="39">
        <v>1403.1</v>
      </c>
      <c r="H29" s="39"/>
      <c r="I29" s="27" t="s">
        <v>73</v>
      </c>
      <c r="J29" s="27">
        <v>532385</v>
      </c>
      <c r="K29" s="39">
        <v>766.63</v>
      </c>
      <c r="L29" s="27">
        <v>9753</v>
      </c>
      <c r="M29" s="64">
        <v>636.47</v>
      </c>
      <c r="N29" s="72">
        <v>0.45361699094861402</v>
      </c>
      <c r="O29" s="72">
        <v>7.0000000000000007E-2</v>
      </c>
      <c r="P29" s="64">
        <v>44.55</v>
      </c>
    </row>
    <row r="30" spans="2:16" hidden="1" x14ac:dyDescent="0.3">
      <c r="B30" s="27">
        <v>21</v>
      </c>
      <c r="C30" s="130">
        <v>44305</v>
      </c>
      <c r="D30" s="27">
        <v>2</v>
      </c>
      <c r="E30" s="27" t="s">
        <v>310</v>
      </c>
      <c r="F30" s="27" t="s">
        <v>311</v>
      </c>
      <c r="G30" s="39">
        <v>3105.2</v>
      </c>
      <c r="H30" s="39"/>
      <c r="I30" s="27" t="s">
        <v>201</v>
      </c>
      <c r="J30" s="27"/>
      <c r="K30" s="39">
        <v>2195.8200000000002</v>
      </c>
      <c r="L30" s="27"/>
      <c r="M30" s="64">
        <v>909.38</v>
      </c>
      <c r="N30" s="72">
        <v>0.29285714285714298</v>
      </c>
      <c r="O30" s="72">
        <v>0.05</v>
      </c>
      <c r="P30" s="64">
        <v>45.47</v>
      </c>
    </row>
    <row r="31" spans="2:16" hidden="1" x14ac:dyDescent="0.3">
      <c r="B31" s="27">
        <v>22</v>
      </c>
      <c r="C31" s="130">
        <v>44294</v>
      </c>
      <c r="D31" s="27">
        <v>2</v>
      </c>
      <c r="E31" s="27" t="s">
        <v>312</v>
      </c>
      <c r="F31" s="27" t="s">
        <v>313</v>
      </c>
      <c r="G31" s="39">
        <v>2920.14</v>
      </c>
      <c r="H31" s="39"/>
      <c r="I31" s="27" t="s">
        <v>71</v>
      </c>
      <c r="J31" s="27">
        <v>499</v>
      </c>
      <c r="K31" s="39">
        <v>2034.37</v>
      </c>
      <c r="L31" s="27">
        <v>1503</v>
      </c>
      <c r="M31" s="64">
        <v>885.77</v>
      </c>
      <c r="N31" s="72">
        <v>0.30333134712719301</v>
      </c>
      <c r="O31" s="72">
        <v>5.2499999999999998E-2</v>
      </c>
      <c r="P31" s="64">
        <v>46.5</v>
      </c>
    </row>
    <row r="32" spans="2:16" hidden="1" x14ac:dyDescent="0.3">
      <c r="B32" s="27">
        <v>23</v>
      </c>
      <c r="C32" s="130">
        <v>44315</v>
      </c>
      <c r="D32" s="27">
        <v>2</v>
      </c>
      <c r="E32" s="27" t="s">
        <v>314</v>
      </c>
      <c r="F32" s="27" t="s">
        <v>315</v>
      </c>
      <c r="G32" s="39">
        <v>10223.629999999999</v>
      </c>
      <c r="H32" s="39"/>
      <c r="I32" s="27" t="s">
        <v>69</v>
      </c>
      <c r="J32" s="27"/>
      <c r="K32" s="39">
        <v>5544.17</v>
      </c>
      <c r="L32" s="27" t="s">
        <v>316</v>
      </c>
      <c r="M32" s="64">
        <v>4679.46</v>
      </c>
      <c r="N32" s="72">
        <v>0.45771022621123802</v>
      </c>
      <c r="O32" s="72">
        <v>7.0000000000000007E-2</v>
      </c>
      <c r="P32" s="64">
        <v>327.56</v>
      </c>
    </row>
    <row r="33" spans="2:16" hidden="1" x14ac:dyDescent="0.3">
      <c r="B33" s="27">
        <v>24</v>
      </c>
      <c r="C33" s="130">
        <v>44348</v>
      </c>
      <c r="D33" s="27">
        <v>2</v>
      </c>
      <c r="E33" s="27" t="s">
        <v>317</v>
      </c>
      <c r="F33" s="27" t="s">
        <v>318</v>
      </c>
      <c r="G33" s="39">
        <v>2125</v>
      </c>
      <c r="H33" s="39"/>
      <c r="I33" s="27" t="s">
        <v>69</v>
      </c>
      <c r="J33" s="27"/>
      <c r="K33" s="39">
        <v>2096</v>
      </c>
      <c r="L33" s="27" t="s">
        <v>319</v>
      </c>
      <c r="M33" s="64">
        <v>29</v>
      </c>
      <c r="N33" s="72">
        <v>1.3647058823529399E-2</v>
      </c>
      <c r="O33" s="72">
        <v>1.4999999999999999E-2</v>
      </c>
      <c r="P33" s="64">
        <v>0.44</v>
      </c>
    </row>
    <row r="34" spans="2:16" hidden="1" x14ac:dyDescent="0.3">
      <c r="B34" s="27">
        <v>25</v>
      </c>
      <c r="C34" s="130">
        <v>44348</v>
      </c>
      <c r="D34" s="27">
        <v>2</v>
      </c>
      <c r="E34" s="27" t="s">
        <v>320</v>
      </c>
      <c r="F34" s="27" t="s">
        <v>321</v>
      </c>
      <c r="G34" s="39">
        <v>2291.17</v>
      </c>
      <c r="H34" s="39"/>
      <c r="I34" s="27" t="s">
        <v>69</v>
      </c>
      <c r="J34" s="27"/>
      <c r="K34" s="39">
        <v>1283.5</v>
      </c>
      <c r="L34" s="27" t="s">
        <v>319</v>
      </c>
      <c r="M34" s="64">
        <v>1007.67</v>
      </c>
      <c r="N34" s="72">
        <v>0.43980586337984501</v>
      </c>
      <c r="O34" s="72">
        <v>6.7500000000000004E-2</v>
      </c>
      <c r="P34" s="64">
        <v>68.02</v>
      </c>
    </row>
    <row r="35" spans="2:16" hidden="1" x14ac:dyDescent="0.3">
      <c r="B35" s="27">
        <v>26</v>
      </c>
      <c r="C35" s="130">
        <v>44312</v>
      </c>
      <c r="D35" s="27">
        <v>2</v>
      </c>
      <c r="E35" s="27" t="s">
        <v>322</v>
      </c>
      <c r="F35" s="27" t="s">
        <v>323</v>
      </c>
      <c r="G35" s="39">
        <v>2265.31</v>
      </c>
      <c r="H35" s="39"/>
      <c r="I35" s="27" t="s">
        <v>69</v>
      </c>
      <c r="J35" s="27"/>
      <c r="K35" s="39">
        <v>1778.25</v>
      </c>
      <c r="L35" s="27" t="s">
        <v>319</v>
      </c>
      <c r="M35" s="64">
        <v>487.06</v>
      </c>
      <c r="N35" s="72">
        <v>0.215008100436585</v>
      </c>
      <c r="O35" s="72">
        <v>0.03</v>
      </c>
      <c r="P35" s="64">
        <v>14.61</v>
      </c>
    </row>
    <row r="36" spans="2:16" hidden="1" x14ac:dyDescent="0.3">
      <c r="B36" s="27">
        <v>27</v>
      </c>
      <c r="C36" s="130">
        <v>44348</v>
      </c>
      <c r="D36" s="27">
        <v>2</v>
      </c>
      <c r="E36" s="27" t="s">
        <v>324</v>
      </c>
      <c r="F36" s="27" t="s">
        <v>325</v>
      </c>
      <c r="G36" s="39">
        <v>6039.26</v>
      </c>
      <c r="H36" s="39"/>
      <c r="I36" s="27" t="s">
        <v>70</v>
      </c>
      <c r="J36" s="27">
        <v>2100110</v>
      </c>
      <c r="K36" s="39">
        <v>4044.15</v>
      </c>
      <c r="L36" s="27" t="s">
        <v>326</v>
      </c>
      <c r="M36" s="64">
        <v>1995.11</v>
      </c>
      <c r="N36" s="72">
        <v>0.33035669933071299</v>
      </c>
      <c r="O36" s="72">
        <v>5.5E-2</v>
      </c>
      <c r="P36" s="64">
        <v>109.73</v>
      </c>
    </row>
    <row r="37" spans="2:16" hidden="1" x14ac:dyDescent="0.3">
      <c r="B37" s="27">
        <v>28</v>
      </c>
      <c r="C37" s="130">
        <v>44323</v>
      </c>
      <c r="D37" s="27">
        <v>2</v>
      </c>
      <c r="E37" s="27" t="s">
        <v>327</v>
      </c>
      <c r="F37" s="27" t="s">
        <v>233</v>
      </c>
      <c r="G37" s="39">
        <v>1747.25</v>
      </c>
      <c r="H37" s="39"/>
      <c r="I37" s="27" t="s">
        <v>71</v>
      </c>
      <c r="J37" s="27">
        <v>5578</v>
      </c>
      <c r="K37" s="39">
        <v>1161.52</v>
      </c>
      <c r="L37" s="27">
        <v>1854</v>
      </c>
      <c r="M37" s="64">
        <v>585.73</v>
      </c>
      <c r="N37" s="72">
        <v>0.33522964658749499</v>
      </c>
      <c r="O37" s="72">
        <v>5.5E-2</v>
      </c>
      <c r="P37" s="64">
        <v>32.22</v>
      </c>
    </row>
    <row r="38" spans="2:16" hidden="1" x14ac:dyDescent="0.3">
      <c r="B38" s="27">
        <v>29</v>
      </c>
      <c r="C38" s="130">
        <v>44324</v>
      </c>
      <c r="D38" s="27">
        <v>2</v>
      </c>
      <c r="E38" s="27" t="s">
        <v>328</v>
      </c>
      <c r="F38" s="27" t="s">
        <v>329</v>
      </c>
      <c r="G38" s="39">
        <v>1164.3399999999999</v>
      </c>
      <c r="H38" s="39"/>
      <c r="I38" s="27" t="s">
        <v>71</v>
      </c>
      <c r="J38" s="27">
        <v>6006</v>
      </c>
      <c r="K38" s="39">
        <v>835.46</v>
      </c>
      <c r="L38" s="27">
        <v>2121</v>
      </c>
      <c r="M38" s="64">
        <v>328.88</v>
      </c>
      <c r="N38" s="72">
        <v>0.28246044969682399</v>
      </c>
      <c r="O38" s="72">
        <v>0.05</v>
      </c>
      <c r="P38" s="64">
        <v>16.440000000000001</v>
      </c>
    </row>
    <row r="39" spans="2:16" hidden="1" x14ac:dyDescent="0.3">
      <c r="B39" s="27">
        <v>30</v>
      </c>
      <c r="C39" s="130">
        <v>44335</v>
      </c>
      <c r="D39" s="27">
        <v>2</v>
      </c>
      <c r="E39" s="27">
        <v>1099</v>
      </c>
      <c r="F39" s="27" t="s">
        <v>330</v>
      </c>
      <c r="G39" s="39">
        <v>975.12</v>
      </c>
      <c r="H39" s="39"/>
      <c r="I39" s="27" t="s">
        <v>71</v>
      </c>
      <c r="J39" s="27">
        <v>6136</v>
      </c>
      <c r="K39" s="39">
        <v>680.12</v>
      </c>
      <c r="L39" s="27">
        <v>2092</v>
      </c>
      <c r="M39" s="64">
        <v>295</v>
      </c>
      <c r="N39" s="72">
        <v>0.30252686848798099</v>
      </c>
      <c r="O39" s="72">
        <v>5.2499999999999998E-2</v>
      </c>
      <c r="P39" s="64">
        <v>15.49</v>
      </c>
    </row>
    <row r="40" spans="2:16" hidden="1" x14ac:dyDescent="0.3">
      <c r="B40" s="27">
        <v>31</v>
      </c>
      <c r="C40" s="130">
        <v>44348</v>
      </c>
      <c r="D40" s="27">
        <v>2</v>
      </c>
      <c r="E40" s="27" t="s">
        <v>331</v>
      </c>
      <c r="F40" s="27" t="s">
        <v>332</v>
      </c>
      <c r="G40" s="39">
        <v>3156.6</v>
      </c>
      <c r="H40" s="39"/>
      <c r="I40" s="27" t="s">
        <v>73</v>
      </c>
      <c r="J40" s="27"/>
      <c r="K40" s="39">
        <v>1370.66</v>
      </c>
      <c r="L40" s="27">
        <v>13935</v>
      </c>
      <c r="M40" s="64">
        <v>1785.94</v>
      </c>
      <c r="N40" s="72">
        <v>0.56577963631755701</v>
      </c>
      <c r="O40" s="72">
        <v>7.0000000000000007E-2</v>
      </c>
      <c r="P40" s="64">
        <v>125.02</v>
      </c>
    </row>
    <row r="41" spans="2:16" hidden="1" x14ac:dyDescent="0.3">
      <c r="B41" s="27">
        <v>32</v>
      </c>
      <c r="C41" s="130">
        <v>44336</v>
      </c>
      <c r="D41" s="27">
        <v>2</v>
      </c>
      <c r="E41" s="27" t="s">
        <v>333</v>
      </c>
      <c r="F41" s="27" t="s">
        <v>334</v>
      </c>
      <c r="G41" s="39">
        <v>3047.6</v>
      </c>
      <c r="H41" s="39"/>
      <c r="I41" s="27" t="s">
        <v>70</v>
      </c>
      <c r="J41" s="27"/>
      <c r="K41" s="39">
        <v>1717.3</v>
      </c>
      <c r="L41" s="27" t="s">
        <v>335</v>
      </c>
      <c r="M41" s="64">
        <v>1330.3</v>
      </c>
      <c r="N41" s="72">
        <v>0.43650741567134799</v>
      </c>
      <c r="O41" s="72">
        <v>6.7500000000000004E-2</v>
      </c>
      <c r="P41" s="64">
        <v>89.8</v>
      </c>
    </row>
    <row r="42" spans="2:16" hidden="1" x14ac:dyDescent="0.3">
      <c r="B42" s="27">
        <v>33</v>
      </c>
      <c r="C42" s="130">
        <v>44361</v>
      </c>
      <c r="D42" s="27">
        <v>2</v>
      </c>
      <c r="E42" s="27" t="s">
        <v>336</v>
      </c>
      <c r="F42" s="27" t="s">
        <v>337</v>
      </c>
      <c r="G42" s="39">
        <v>2070</v>
      </c>
      <c r="H42" s="39"/>
      <c r="I42" s="27" t="s">
        <v>201</v>
      </c>
      <c r="J42" s="27"/>
      <c r="K42" s="39">
        <v>1626.89</v>
      </c>
      <c r="L42" s="27">
        <v>2386</v>
      </c>
      <c r="M42" s="64">
        <v>443.11</v>
      </c>
      <c r="N42" s="72">
        <v>0.21406280193236699</v>
      </c>
      <c r="O42" s="72">
        <v>0.03</v>
      </c>
      <c r="P42" s="64">
        <v>13.29</v>
      </c>
    </row>
    <row r="43" spans="2:16" hidden="1" x14ac:dyDescent="0.3">
      <c r="B43" s="27">
        <v>34</v>
      </c>
      <c r="C43" s="130">
        <v>44327</v>
      </c>
      <c r="D43" s="27">
        <v>2</v>
      </c>
      <c r="E43" s="27" t="s">
        <v>338</v>
      </c>
      <c r="F43" s="27" t="s">
        <v>339</v>
      </c>
      <c r="G43" s="39">
        <v>1300.8</v>
      </c>
      <c r="H43" s="39"/>
      <c r="I43" s="27" t="s">
        <v>72</v>
      </c>
      <c r="J43" s="27">
        <v>40228</v>
      </c>
      <c r="K43" s="39">
        <v>884.3</v>
      </c>
      <c r="L43" s="27">
        <v>31334</v>
      </c>
      <c r="M43" s="64">
        <v>495.7</v>
      </c>
      <c r="N43" s="72">
        <v>0.35920289855072501</v>
      </c>
      <c r="O43" s="72">
        <v>5.7500000000000002E-2</v>
      </c>
      <c r="P43" s="64">
        <v>28.5</v>
      </c>
    </row>
    <row r="44" spans="2:16" hidden="1" x14ac:dyDescent="0.3">
      <c r="B44" s="27">
        <v>35</v>
      </c>
      <c r="C44" s="130">
        <v>44362</v>
      </c>
      <c r="D44" s="27">
        <v>2</v>
      </c>
      <c r="E44" s="27" t="s">
        <v>340</v>
      </c>
      <c r="F44" s="27" t="s">
        <v>341</v>
      </c>
      <c r="G44" s="39">
        <v>474</v>
      </c>
      <c r="H44" s="39"/>
      <c r="I44" s="27" t="s">
        <v>72</v>
      </c>
      <c r="J44" s="27"/>
      <c r="K44" s="39">
        <v>344.8</v>
      </c>
      <c r="L44" s="27">
        <v>31364</v>
      </c>
      <c r="M44" s="64">
        <v>129.22</v>
      </c>
      <c r="N44" s="72">
        <v>0.30333333333333301</v>
      </c>
      <c r="O44" s="72">
        <v>5.2499999999999998E-2</v>
      </c>
      <c r="P44" s="64">
        <v>6.78</v>
      </c>
    </row>
    <row r="45" spans="2:16" hidden="1" x14ac:dyDescent="0.3">
      <c r="B45" s="27">
        <v>36</v>
      </c>
      <c r="C45" s="130">
        <v>44364</v>
      </c>
      <c r="D45" s="27">
        <v>2</v>
      </c>
      <c r="E45" s="27" t="s">
        <v>342</v>
      </c>
      <c r="F45" s="27" t="s">
        <v>343</v>
      </c>
      <c r="G45" s="39">
        <v>4665.6400000000003</v>
      </c>
      <c r="H45" s="39"/>
      <c r="I45" s="27" t="s">
        <v>69</v>
      </c>
      <c r="J45" s="27"/>
      <c r="K45" s="39">
        <v>3259.43</v>
      </c>
      <c r="L45" s="27" t="s">
        <v>344</v>
      </c>
      <c r="M45" s="64">
        <v>1406.21</v>
      </c>
      <c r="N45" s="72">
        <v>0.30139702163047299</v>
      </c>
      <c r="O45" s="72">
        <v>5.2499999999999998E-2</v>
      </c>
      <c r="P45" s="64">
        <v>73.83</v>
      </c>
    </row>
    <row r="46" spans="2:16" hidden="1" x14ac:dyDescent="0.3">
      <c r="B46" s="27">
        <v>37</v>
      </c>
      <c r="C46" s="130">
        <v>44350</v>
      </c>
      <c r="D46" s="27">
        <v>2</v>
      </c>
      <c r="E46" s="27" t="s">
        <v>345</v>
      </c>
      <c r="F46" s="27" t="s">
        <v>346</v>
      </c>
      <c r="G46" s="39">
        <v>896.31</v>
      </c>
      <c r="H46" s="39"/>
      <c r="I46" s="27" t="s">
        <v>71</v>
      </c>
      <c r="J46" s="27">
        <v>6144</v>
      </c>
      <c r="K46" s="39">
        <v>696.91</v>
      </c>
      <c r="L46" s="27">
        <v>2093</v>
      </c>
      <c r="M46" s="64">
        <v>199.4</v>
      </c>
      <c r="N46" s="72">
        <v>0.22246767301491699</v>
      </c>
      <c r="O46" s="72">
        <v>3.5000000000000003E-2</v>
      </c>
      <c r="P46" s="64">
        <v>6.98</v>
      </c>
    </row>
    <row r="47" spans="2:16" hidden="1" x14ac:dyDescent="0.3">
      <c r="B47" s="27">
        <v>38</v>
      </c>
      <c r="C47" s="130">
        <v>44364</v>
      </c>
      <c r="D47" s="27">
        <v>2</v>
      </c>
      <c r="E47" s="27" t="s">
        <v>347</v>
      </c>
      <c r="F47" s="27" t="s">
        <v>348</v>
      </c>
      <c r="G47" s="39">
        <v>1341.9</v>
      </c>
      <c r="H47" s="39"/>
      <c r="I47" s="27" t="s">
        <v>69</v>
      </c>
      <c r="J47" s="27">
        <v>357483</v>
      </c>
      <c r="K47" s="39">
        <v>910.57</v>
      </c>
      <c r="L47" s="27">
        <v>10909</v>
      </c>
      <c r="M47" s="64">
        <v>431.33</v>
      </c>
      <c r="N47" s="72">
        <v>0.321432297488635</v>
      </c>
      <c r="O47" s="72">
        <v>5.5E-2</v>
      </c>
      <c r="P47" s="64">
        <v>23.72</v>
      </c>
    </row>
    <row r="48" spans="2:16" hidden="1" x14ac:dyDescent="0.3">
      <c r="B48" s="27">
        <v>39</v>
      </c>
      <c r="C48" s="130">
        <v>44364</v>
      </c>
      <c r="D48" s="27">
        <v>2</v>
      </c>
      <c r="E48" s="27" t="s">
        <v>349</v>
      </c>
      <c r="F48" s="27" t="s">
        <v>350</v>
      </c>
      <c r="G48" s="39">
        <v>4123.8</v>
      </c>
      <c r="H48" s="39"/>
      <c r="I48" s="27" t="s">
        <v>69</v>
      </c>
      <c r="J48" s="27"/>
      <c r="K48" s="39">
        <v>1937.94</v>
      </c>
      <c r="L48" s="27">
        <v>10908</v>
      </c>
      <c r="M48" s="64">
        <v>2185.86</v>
      </c>
      <c r="N48" s="72">
        <v>0.53005965371744501</v>
      </c>
      <c r="O48" s="72">
        <v>7.0000000000000007E-2</v>
      </c>
      <c r="P48" s="64">
        <v>153.01</v>
      </c>
    </row>
    <row r="49" spans="2:16" hidden="1" x14ac:dyDescent="0.3">
      <c r="B49" s="27">
        <v>40</v>
      </c>
      <c r="C49" s="130">
        <v>44242</v>
      </c>
      <c r="D49" s="27">
        <v>1</v>
      </c>
      <c r="E49" s="27" t="s">
        <v>351</v>
      </c>
      <c r="F49" s="27" t="s">
        <v>352</v>
      </c>
      <c r="G49" s="39">
        <v>2655</v>
      </c>
      <c r="H49" s="39"/>
      <c r="I49" s="27" t="s">
        <v>73</v>
      </c>
      <c r="J49" s="27">
        <v>518409</v>
      </c>
      <c r="K49" s="39">
        <v>1322.23</v>
      </c>
      <c r="L49" s="27">
        <v>4232</v>
      </c>
      <c r="M49" s="64">
        <v>1332.77</v>
      </c>
      <c r="N49" s="72">
        <v>0.50198493408662903</v>
      </c>
      <c r="O49" s="72">
        <v>7.0000000000000007E-2</v>
      </c>
      <c r="P49" s="64">
        <v>93.29</v>
      </c>
    </row>
    <row r="50" spans="2:16" hidden="1" x14ac:dyDescent="0.3">
      <c r="B50" s="27">
        <v>41</v>
      </c>
      <c r="C50" s="130">
        <v>44364</v>
      </c>
      <c r="D50" s="27">
        <v>2</v>
      </c>
      <c r="E50" s="27" t="s">
        <v>353</v>
      </c>
      <c r="F50" s="27" t="s">
        <v>354</v>
      </c>
      <c r="G50" s="39">
        <v>1735.8</v>
      </c>
      <c r="H50" s="39"/>
      <c r="I50" s="27">
        <v>53</v>
      </c>
      <c r="J50" s="27"/>
      <c r="K50" s="39">
        <v>1331.84</v>
      </c>
      <c r="L50" s="27">
        <v>16306</v>
      </c>
      <c r="M50" s="64">
        <v>403.96</v>
      </c>
      <c r="N50" s="72">
        <v>0.232722663901371</v>
      </c>
      <c r="O50" s="72">
        <v>3.5000000000000003E-2</v>
      </c>
      <c r="P50" s="64">
        <v>14.14</v>
      </c>
    </row>
    <row r="51" spans="2:16" hidden="1" x14ac:dyDescent="0.3">
      <c r="B51" s="27">
        <v>42</v>
      </c>
      <c r="C51" s="130">
        <v>44333</v>
      </c>
      <c r="D51" s="27">
        <v>2</v>
      </c>
      <c r="E51" s="27" t="s">
        <v>355</v>
      </c>
      <c r="F51" s="27" t="s">
        <v>356</v>
      </c>
      <c r="G51" s="39">
        <v>742.4</v>
      </c>
      <c r="H51" s="39"/>
      <c r="I51" s="27" t="s">
        <v>72</v>
      </c>
      <c r="J51" s="27">
        <v>40274</v>
      </c>
      <c r="K51" s="39">
        <v>484.88</v>
      </c>
      <c r="L51" s="27">
        <v>31436</v>
      </c>
      <c r="M51" s="64">
        <v>257.52</v>
      </c>
      <c r="N51" s="72">
        <v>0.34687499999999999</v>
      </c>
      <c r="O51" s="72">
        <v>5.7500000000000002E-2</v>
      </c>
      <c r="P51" s="64">
        <v>14.81</v>
      </c>
    </row>
    <row r="52" spans="2:16" hidden="1" x14ac:dyDescent="0.3">
      <c r="B52" s="27">
        <v>43</v>
      </c>
      <c r="C52" s="130">
        <v>44376</v>
      </c>
      <c r="D52" s="27">
        <v>2</v>
      </c>
      <c r="E52" s="27" t="s">
        <v>357</v>
      </c>
      <c r="F52" s="27" t="s">
        <v>358</v>
      </c>
      <c r="G52" s="39">
        <v>39548.54</v>
      </c>
      <c r="H52" s="39"/>
      <c r="I52" s="27" t="s">
        <v>201</v>
      </c>
      <c r="J52" s="27">
        <v>1353</v>
      </c>
      <c r="K52" s="39">
        <v>29544.560000000001</v>
      </c>
      <c r="L52" s="27">
        <v>2791</v>
      </c>
      <c r="M52" s="64">
        <v>10003.98</v>
      </c>
      <c r="N52" s="72">
        <v>0.25295447063279702</v>
      </c>
      <c r="O52" s="72">
        <v>0.04</v>
      </c>
      <c r="P52" s="64">
        <v>400.16</v>
      </c>
    </row>
    <row r="53" spans="2:16" hidden="1" x14ac:dyDescent="0.3">
      <c r="B53" s="27">
        <v>44</v>
      </c>
      <c r="C53" s="130">
        <v>44327</v>
      </c>
      <c r="D53" s="27">
        <v>2</v>
      </c>
      <c r="E53" s="27" t="s">
        <v>359</v>
      </c>
      <c r="F53" s="27" t="s">
        <v>360</v>
      </c>
      <c r="G53" s="39">
        <v>3924</v>
      </c>
      <c r="H53" s="39"/>
      <c r="I53" s="27" t="s">
        <v>201</v>
      </c>
      <c r="J53" s="27"/>
      <c r="K53" s="39">
        <v>2589.84</v>
      </c>
      <c r="L53" s="27">
        <v>2821</v>
      </c>
      <c r="M53" s="64">
        <v>1334.16</v>
      </c>
      <c r="N53" s="72">
        <v>0.34</v>
      </c>
      <c r="O53" s="72">
        <v>5.5E-2</v>
      </c>
      <c r="P53" s="64">
        <v>73.38</v>
      </c>
    </row>
    <row r="54" spans="2:16" hidden="1" x14ac:dyDescent="0.3">
      <c r="B54" s="27">
        <v>45</v>
      </c>
      <c r="C54" s="130">
        <v>44389</v>
      </c>
      <c r="D54" s="27">
        <v>3</v>
      </c>
      <c r="E54" s="27" t="s">
        <v>700</v>
      </c>
      <c r="F54" s="27" t="s">
        <v>701</v>
      </c>
      <c r="G54" s="39">
        <v>3748.8</v>
      </c>
      <c r="H54" s="39"/>
      <c r="I54" s="27" t="s">
        <v>73</v>
      </c>
      <c r="J54" s="27"/>
      <c r="K54" s="39">
        <v>1924.66</v>
      </c>
      <c r="L54" s="27">
        <v>17747</v>
      </c>
      <c r="M54" s="64">
        <v>1824.14</v>
      </c>
      <c r="N54" s="72">
        <v>0.48659304310712798</v>
      </c>
      <c r="O54" s="72">
        <v>7.0000000000000007E-2</v>
      </c>
      <c r="P54" s="64">
        <v>127.69</v>
      </c>
    </row>
    <row r="55" spans="2:16" hidden="1" x14ac:dyDescent="0.3">
      <c r="B55" s="27">
        <v>46</v>
      </c>
      <c r="C55" s="130">
        <v>44389</v>
      </c>
      <c r="D55" s="27">
        <v>3</v>
      </c>
      <c r="E55" s="27" t="s">
        <v>702</v>
      </c>
      <c r="F55" s="27" t="s">
        <v>703</v>
      </c>
      <c r="G55" s="39">
        <v>9132.34</v>
      </c>
      <c r="H55" s="39"/>
      <c r="I55" s="27" t="s">
        <v>73</v>
      </c>
      <c r="J55" s="27"/>
      <c r="K55" s="39">
        <v>5106.49</v>
      </c>
      <c r="L55" s="27" t="s">
        <v>541</v>
      </c>
      <c r="M55" s="64">
        <v>4025.85</v>
      </c>
      <c r="N55" s="72">
        <v>0.44083444111804898</v>
      </c>
      <c r="O55" s="72">
        <v>7.0000000000000007E-2</v>
      </c>
      <c r="P55" s="64">
        <v>281.81</v>
      </c>
    </row>
    <row r="56" spans="2:16" hidden="1" x14ac:dyDescent="0.3">
      <c r="B56" s="27">
        <v>47</v>
      </c>
      <c r="C56" s="130">
        <v>44400</v>
      </c>
      <c r="D56" s="27">
        <v>3</v>
      </c>
      <c r="E56" s="27" t="s">
        <v>704</v>
      </c>
      <c r="F56" s="27" t="s">
        <v>705</v>
      </c>
      <c r="G56" s="39">
        <v>2903.8</v>
      </c>
      <c r="H56" s="39"/>
      <c r="I56" s="27" t="s">
        <v>73</v>
      </c>
      <c r="J56" s="27"/>
      <c r="K56" s="39">
        <v>1326.61</v>
      </c>
      <c r="L56" s="27">
        <v>18353</v>
      </c>
      <c r="M56" s="64">
        <v>1577.19</v>
      </c>
      <c r="N56" s="72">
        <v>0.54314691094428003</v>
      </c>
      <c r="O56" s="72">
        <v>7.0000000000000007E-2</v>
      </c>
      <c r="P56" s="64">
        <v>110.4</v>
      </c>
    </row>
    <row r="57" spans="2:16" hidden="1" x14ac:dyDescent="0.3">
      <c r="B57" s="27">
        <v>48</v>
      </c>
      <c r="C57" s="130">
        <v>44393</v>
      </c>
      <c r="D57" s="27">
        <v>3</v>
      </c>
      <c r="E57" s="27" t="s">
        <v>706</v>
      </c>
      <c r="F57" s="27" t="s">
        <v>707</v>
      </c>
      <c r="G57" s="39">
        <v>1525.75</v>
      </c>
      <c r="H57" s="39"/>
      <c r="I57" s="27" t="s">
        <v>70</v>
      </c>
      <c r="J57" s="27"/>
      <c r="K57" s="39">
        <v>1023.15</v>
      </c>
      <c r="L57" s="27"/>
      <c r="M57" s="64">
        <v>502.6</v>
      </c>
      <c r="N57" s="72">
        <v>0.32941176470588202</v>
      </c>
      <c r="O57" s="72">
        <v>5.5E-2</v>
      </c>
      <c r="P57" s="64">
        <v>27.64</v>
      </c>
    </row>
    <row r="58" spans="2:16" hidden="1" x14ac:dyDescent="0.3">
      <c r="B58" s="27">
        <v>49</v>
      </c>
      <c r="C58" s="130">
        <v>44376</v>
      </c>
      <c r="D58" s="27">
        <v>2</v>
      </c>
      <c r="E58" s="27" t="s">
        <v>708</v>
      </c>
      <c r="F58" s="27" t="s">
        <v>709</v>
      </c>
      <c r="G58" s="39">
        <v>3481.27</v>
      </c>
      <c r="H58" s="39"/>
      <c r="I58" s="27" t="s">
        <v>71</v>
      </c>
      <c r="J58" s="27"/>
      <c r="K58" s="39">
        <v>2425.29</v>
      </c>
      <c r="L58" s="27">
        <v>2960</v>
      </c>
      <c r="M58" s="64">
        <v>1055.98</v>
      </c>
      <c r="N58" s="72">
        <v>0.303331830050528</v>
      </c>
      <c r="O58" s="72">
        <v>5.2499999999999998E-2</v>
      </c>
      <c r="P58" s="64">
        <v>55.44</v>
      </c>
    </row>
    <row r="59" spans="2:16" hidden="1" x14ac:dyDescent="0.3">
      <c r="B59" s="27">
        <v>50</v>
      </c>
      <c r="C59" s="130">
        <v>44389</v>
      </c>
      <c r="D59" s="27">
        <v>3</v>
      </c>
      <c r="E59" s="27" t="s">
        <v>710</v>
      </c>
      <c r="F59" s="27" t="s">
        <v>711</v>
      </c>
      <c r="G59" s="39">
        <v>4308.12</v>
      </c>
      <c r="H59" s="39"/>
      <c r="I59" s="27" t="s">
        <v>71</v>
      </c>
      <c r="J59" s="27"/>
      <c r="K59" s="39">
        <v>3001.33</v>
      </c>
      <c r="L59" s="27">
        <v>3092</v>
      </c>
      <c r="M59" s="64">
        <v>1306.79</v>
      </c>
      <c r="N59" s="72">
        <v>0.30333184776654298</v>
      </c>
      <c r="O59" s="72">
        <v>5.2499999999999998E-2</v>
      </c>
      <c r="P59" s="64">
        <v>68.61</v>
      </c>
    </row>
    <row r="60" spans="2:16" hidden="1" x14ac:dyDescent="0.3">
      <c r="B60" s="27">
        <v>51</v>
      </c>
      <c r="C60" s="130">
        <v>44382</v>
      </c>
      <c r="D60" s="27">
        <v>3</v>
      </c>
      <c r="E60" s="27" t="s">
        <v>712</v>
      </c>
      <c r="F60" s="27" t="s">
        <v>713</v>
      </c>
      <c r="G60" s="39">
        <v>1000.35</v>
      </c>
      <c r="H60" s="39"/>
      <c r="I60" s="27" t="s">
        <v>71</v>
      </c>
      <c r="J60" s="27"/>
      <c r="K60" s="39">
        <v>580.76</v>
      </c>
      <c r="L60" s="27">
        <v>2959</v>
      </c>
      <c r="M60" s="64">
        <v>419.59</v>
      </c>
      <c r="N60" s="72">
        <v>0.41944319488179099</v>
      </c>
      <c r="O60" s="72">
        <v>6.5000000000000002E-2</v>
      </c>
      <c r="P60" s="64">
        <v>27.27</v>
      </c>
    </row>
    <row r="61" spans="2:16" hidden="1" x14ac:dyDescent="0.3">
      <c r="B61" s="27">
        <v>52</v>
      </c>
      <c r="C61" s="130">
        <v>44460</v>
      </c>
      <c r="D61" s="27">
        <v>3</v>
      </c>
      <c r="E61" s="27" t="s">
        <v>625</v>
      </c>
      <c r="F61" s="27" t="s">
        <v>714</v>
      </c>
      <c r="G61" s="39">
        <v>1585.81</v>
      </c>
      <c r="H61" s="39"/>
      <c r="I61" s="27" t="s">
        <v>71</v>
      </c>
      <c r="J61" s="27"/>
      <c r="K61" s="39">
        <v>1162.93</v>
      </c>
      <c r="L61" s="27">
        <v>4198</v>
      </c>
      <c r="M61" s="64">
        <v>422.88</v>
      </c>
      <c r="N61" s="72">
        <v>0.26666498508648601</v>
      </c>
      <c r="O61" s="72">
        <v>4.4999999999999998E-2</v>
      </c>
      <c r="P61" s="64">
        <v>19.03</v>
      </c>
    </row>
    <row r="62" spans="2:16" hidden="1" x14ac:dyDescent="0.3">
      <c r="B62" s="27">
        <v>53</v>
      </c>
      <c r="C62" s="130">
        <v>44466</v>
      </c>
      <c r="D62" s="27">
        <v>3</v>
      </c>
      <c r="E62" s="27" t="s">
        <v>626</v>
      </c>
      <c r="F62" s="27" t="s">
        <v>715</v>
      </c>
      <c r="G62" s="39">
        <v>519.41</v>
      </c>
      <c r="H62" s="39"/>
      <c r="I62" s="27" t="s">
        <v>71</v>
      </c>
      <c r="J62" s="27">
        <v>11095</v>
      </c>
      <c r="K62" s="39">
        <v>361.86</v>
      </c>
      <c r="L62" s="27">
        <v>4236</v>
      </c>
      <c r="M62" s="64">
        <v>157.55000000000001</v>
      </c>
      <c r="N62" s="72">
        <v>0.30332492635875302</v>
      </c>
      <c r="O62" s="72">
        <v>5.2499999999999998E-2</v>
      </c>
      <c r="P62" s="64">
        <v>8.27</v>
      </c>
    </row>
    <row r="63" spans="2:16" hidden="1" x14ac:dyDescent="0.3">
      <c r="B63" s="27">
        <v>54</v>
      </c>
      <c r="C63" s="130">
        <v>44461</v>
      </c>
      <c r="D63" s="27">
        <v>3</v>
      </c>
      <c r="E63" s="27" t="s">
        <v>661</v>
      </c>
      <c r="F63" s="27" t="s">
        <v>716</v>
      </c>
      <c r="G63" s="39">
        <v>261.10000000000002</v>
      </c>
      <c r="H63" s="39"/>
      <c r="I63" s="27" t="s">
        <v>201</v>
      </c>
      <c r="J63" s="27"/>
      <c r="K63" s="39">
        <v>184.63</v>
      </c>
      <c r="L63" s="27">
        <v>4770</v>
      </c>
      <c r="M63" s="64">
        <v>76.47</v>
      </c>
      <c r="N63" s="72">
        <v>0.29287629260819598</v>
      </c>
      <c r="O63" s="72">
        <v>0.05</v>
      </c>
      <c r="P63" s="64">
        <v>3.82</v>
      </c>
    </row>
    <row r="64" spans="2:16" hidden="1" x14ac:dyDescent="0.3">
      <c r="B64" s="27">
        <v>55</v>
      </c>
      <c r="C64" s="130">
        <v>44453</v>
      </c>
      <c r="D64" s="27">
        <v>3</v>
      </c>
      <c r="E64" s="27" t="s">
        <v>717</v>
      </c>
      <c r="F64" s="27" t="s">
        <v>718</v>
      </c>
      <c r="G64" s="39">
        <v>13818.62</v>
      </c>
      <c r="H64" s="39"/>
      <c r="I64" s="27" t="s">
        <v>70</v>
      </c>
      <c r="J64" s="27"/>
      <c r="K64" s="39">
        <v>7485.13</v>
      </c>
      <c r="L64" s="27" t="s">
        <v>719</v>
      </c>
      <c r="M64" s="64">
        <v>6333.49</v>
      </c>
      <c r="N64" s="72">
        <v>0.458330137162756</v>
      </c>
      <c r="O64" s="72">
        <v>7.0000000000000007E-2</v>
      </c>
      <c r="P64" s="64">
        <v>443.34</v>
      </c>
    </row>
    <row r="65" spans="2:16" hidden="1" x14ac:dyDescent="0.3">
      <c r="B65" s="27">
        <v>56</v>
      </c>
      <c r="C65" s="130">
        <v>44490</v>
      </c>
      <c r="D65" s="27">
        <v>4</v>
      </c>
      <c r="E65" s="27" t="s">
        <v>720</v>
      </c>
      <c r="F65" s="27" t="s">
        <v>721</v>
      </c>
      <c r="G65" s="39">
        <v>912.74</v>
      </c>
      <c r="H65" s="39"/>
      <c r="I65" s="27" t="s">
        <v>71</v>
      </c>
      <c r="J65" s="27">
        <v>12402</v>
      </c>
      <c r="K65" s="39">
        <v>654.75</v>
      </c>
      <c r="L65" s="27">
        <v>12537</v>
      </c>
      <c r="M65" s="64">
        <v>257.99</v>
      </c>
      <c r="N65" s="72">
        <v>0.282654425137498</v>
      </c>
      <c r="O65" s="72">
        <v>0.05</v>
      </c>
      <c r="P65" s="64">
        <v>12.9</v>
      </c>
    </row>
    <row r="66" spans="2:16" hidden="1" x14ac:dyDescent="0.3">
      <c r="B66" s="27">
        <v>57</v>
      </c>
      <c r="C66" s="130">
        <v>44515</v>
      </c>
      <c r="D66" s="27">
        <v>4</v>
      </c>
      <c r="E66" s="27" t="s">
        <v>722</v>
      </c>
      <c r="F66" s="27" t="s">
        <v>723</v>
      </c>
      <c r="G66" s="39">
        <v>552</v>
      </c>
      <c r="H66" s="39"/>
      <c r="I66" s="27" t="s">
        <v>73</v>
      </c>
      <c r="J66" s="27"/>
      <c r="K66" s="39">
        <v>234.97</v>
      </c>
      <c r="L66" s="27">
        <v>27470</v>
      </c>
      <c r="M66" s="64">
        <v>317.02999999999997</v>
      </c>
      <c r="N66" s="72">
        <v>0.57432971014492795</v>
      </c>
      <c r="O66" s="72">
        <v>7.0000000000000007E-2</v>
      </c>
      <c r="P66" s="64">
        <v>22.19</v>
      </c>
    </row>
    <row r="67" spans="2:16" hidden="1" x14ac:dyDescent="0.3">
      <c r="B67" s="27">
        <v>58</v>
      </c>
      <c r="C67" s="130">
        <v>44516</v>
      </c>
      <c r="D67" s="27">
        <v>4</v>
      </c>
      <c r="E67" s="27" t="s">
        <v>724</v>
      </c>
      <c r="F67" s="27" t="s">
        <v>725</v>
      </c>
      <c r="G67" s="39">
        <v>9562.1200000000008</v>
      </c>
      <c r="H67" s="39"/>
      <c r="I67" s="27" t="s">
        <v>72</v>
      </c>
      <c r="J67" s="27"/>
      <c r="K67" s="39">
        <v>7758.5</v>
      </c>
      <c r="L67" s="27">
        <v>32310</v>
      </c>
      <c r="M67" s="64">
        <v>1803.62</v>
      </c>
      <c r="N67" s="72">
        <v>0.188621351750449</v>
      </c>
      <c r="O67" s="72">
        <v>2.5000000000000001E-2</v>
      </c>
      <c r="P67" s="64">
        <v>45.09</v>
      </c>
    </row>
    <row r="68" spans="2:16" hidden="1" x14ac:dyDescent="0.3">
      <c r="B68" s="27">
        <v>59</v>
      </c>
      <c r="C68" s="130">
        <v>44519</v>
      </c>
      <c r="D68" s="27">
        <v>4</v>
      </c>
      <c r="E68" s="27" t="s">
        <v>726</v>
      </c>
      <c r="F68" s="27" t="s">
        <v>727</v>
      </c>
      <c r="G68" s="39">
        <v>550.1</v>
      </c>
      <c r="H68" s="39"/>
      <c r="I68" s="27" t="s">
        <v>71</v>
      </c>
      <c r="J68" s="27">
        <v>13353</v>
      </c>
      <c r="K68" s="39">
        <v>459.07</v>
      </c>
      <c r="L68" s="27">
        <v>4992</v>
      </c>
      <c r="M68" s="64">
        <v>91.03</v>
      </c>
      <c r="N68" s="72">
        <v>0.16547900381748801</v>
      </c>
      <c r="O68" s="72">
        <v>0.02</v>
      </c>
      <c r="P68" s="64">
        <v>1.82</v>
      </c>
    </row>
    <row r="69" spans="2:16" hidden="1" x14ac:dyDescent="0.3">
      <c r="B69" s="27">
        <v>60</v>
      </c>
      <c r="C69" s="130">
        <v>44488</v>
      </c>
      <c r="D69" s="27">
        <v>4</v>
      </c>
      <c r="E69" s="27" t="s">
        <v>728</v>
      </c>
      <c r="F69" s="27" t="s">
        <v>729</v>
      </c>
      <c r="G69" s="39">
        <v>5069.6000000000004</v>
      </c>
      <c r="H69" s="39"/>
      <c r="I69" s="27" t="s">
        <v>72</v>
      </c>
      <c r="J69" s="27">
        <v>41845</v>
      </c>
      <c r="K69" s="39">
        <v>3245.8</v>
      </c>
      <c r="L69" s="27">
        <v>32347</v>
      </c>
      <c r="M69" s="64">
        <v>1823.8</v>
      </c>
      <c r="N69" s="72">
        <v>0.359752248698122</v>
      </c>
      <c r="O69" s="72">
        <v>5.7500000000000002E-2</v>
      </c>
      <c r="P69" s="64">
        <v>104.87</v>
      </c>
    </row>
    <row r="70" spans="2:16" hidden="1" x14ac:dyDescent="0.3">
      <c r="B70" s="27">
        <v>61</v>
      </c>
      <c r="C70" s="130">
        <v>44524</v>
      </c>
      <c r="D70" s="27">
        <v>4</v>
      </c>
      <c r="E70" s="27" t="s">
        <v>730</v>
      </c>
      <c r="F70" s="27" t="s">
        <v>731</v>
      </c>
      <c r="G70" s="39">
        <v>4516.8</v>
      </c>
      <c r="H70" s="39"/>
      <c r="I70" s="27" t="s">
        <v>69</v>
      </c>
      <c r="J70" s="27"/>
      <c r="K70" s="39">
        <v>2206.85</v>
      </c>
      <c r="L70" s="27">
        <v>18747</v>
      </c>
      <c r="M70" s="64">
        <v>2376.16</v>
      </c>
      <c r="N70" s="72">
        <v>0.52607155508324499</v>
      </c>
      <c r="O70" s="72">
        <v>7.0000000000000007E-2</v>
      </c>
      <c r="P70" s="64">
        <v>166.33</v>
      </c>
    </row>
    <row r="71" spans="2:16" hidden="1" x14ac:dyDescent="0.3">
      <c r="B71" s="27">
        <v>62</v>
      </c>
      <c r="C71" s="130">
        <v>44522</v>
      </c>
      <c r="D71" s="27">
        <v>4</v>
      </c>
      <c r="E71" s="27" t="s">
        <v>697</v>
      </c>
      <c r="F71" s="27" t="s">
        <v>732</v>
      </c>
      <c r="G71" s="39">
        <v>6999.38</v>
      </c>
      <c r="H71" s="39">
        <v>1399.88</v>
      </c>
      <c r="I71" s="27" t="s">
        <v>71</v>
      </c>
      <c r="J71" s="27">
        <v>14464</v>
      </c>
      <c r="K71" s="39">
        <v>4063.53</v>
      </c>
      <c r="L71" s="27">
        <v>5424</v>
      </c>
      <c r="M71" s="64">
        <v>1535.97</v>
      </c>
      <c r="N71" s="72">
        <v>0.21944372215824801</v>
      </c>
      <c r="O71" s="72">
        <v>0.03</v>
      </c>
      <c r="P71" s="64">
        <v>46.08</v>
      </c>
    </row>
    <row r="72" spans="2:16" hidden="1" x14ac:dyDescent="0.3">
      <c r="B72" s="27">
        <v>63</v>
      </c>
      <c r="C72" s="130">
        <v>44544</v>
      </c>
      <c r="D72" s="27">
        <v>4</v>
      </c>
      <c r="E72" s="27" t="s">
        <v>733</v>
      </c>
      <c r="F72" s="27" t="s">
        <v>734</v>
      </c>
      <c r="G72" s="39">
        <v>1293.1500000000001</v>
      </c>
      <c r="H72" s="39"/>
      <c r="I72" s="27" t="s">
        <v>71</v>
      </c>
      <c r="J72" s="27">
        <v>14685</v>
      </c>
      <c r="K72" s="39">
        <v>795.05</v>
      </c>
      <c r="L72" s="27">
        <v>5511</v>
      </c>
      <c r="M72" s="64">
        <v>498.1</v>
      </c>
      <c r="N72" s="72">
        <v>0.38518346672853099</v>
      </c>
      <c r="O72" s="72">
        <v>6.25E-2</v>
      </c>
      <c r="P72" s="64">
        <v>31.13</v>
      </c>
    </row>
    <row r="73" spans="2:16" hidden="1" x14ac:dyDescent="0.3">
      <c r="B73" s="27">
        <v>64</v>
      </c>
      <c r="C73" s="130">
        <v>44517</v>
      </c>
      <c r="D73" s="27">
        <v>4</v>
      </c>
      <c r="E73" s="27" t="s">
        <v>735</v>
      </c>
      <c r="F73" s="27" t="s">
        <v>736</v>
      </c>
      <c r="G73" s="39">
        <v>35144.19</v>
      </c>
      <c r="H73" s="39"/>
      <c r="I73" s="27" t="s">
        <v>72</v>
      </c>
      <c r="J73" s="27">
        <v>41454</v>
      </c>
      <c r="K73" s="39">
        <v>27761.200000000001</v>
      </c>
      <c r="L73" s="27" t="s">
        <v>737</v>
      </c>
      <c r="M73" s="64">
        <v>7382.99</v>
      </c>
      <c r="N73" s="72">
        <v>0.21007711374198701</v>
      </c>
      <c r="O73" s="72">
        <v>0.03</v>
      </c>
      <c r="P73" s="64">
        <v>221.49</v>
      </c>
    </row>
    <row r="74" spans="2:16" hidden="1" x14ac:dyDescent="0.3">
      <c r="B74" s="27">
        <v>65</v>
      </c>
      <c r="C74" s="130">
        <v>44544</v>
      </c>
      <c r="D74" s="27">
        <v>4</v>
      </c>
      <c r="E74" s="27" t="s">
        <v>738</v>
      </c>
      <c r="F74" s="27" t="s">
        <v>739</v>
      </c>
      <c r="G74" s="39">
        <v>750.11</v>
      </c>
      <c r="H74" s="39"/>
      <c r="I74" s="27" t="s">
        <v>71</v>
      </c>
      <c r="J74" s="27">
        <v>14420</v>
      </c>
      <c r="K74" s="39">
        <v>546.84</v>
      </c>
      <c r="L74" s="27">
        <v>5418</v>
      </c>
      <c r="M74" s="64">
        <v>203.27</v>
      </c>
      <c r="N74" s="72">
        <v>0.27098692191811902</v>
      </c>
      <c r="O74" s="72">
        <v>4.4999999999999998E-2</v>
      </c>
      <c r="P74" s="64">
        <v>9.15</v>
      </c>
    </row>
    <row r="75" spans="2:16" hidden="1" x14ac:dyDescent="0.3">
      <c r="B75" s="27">
        <v>66</v>
      </c>
      <c r="C75" s="130">
        <v>44497</v>
      </c>
      <c r="D75" s="27">
        <v>4</v>
      </c>
      <c r="E75" s="27" t="s">
        <v>860</v>
      </c>
      <c r="F75" s="27" t="s">
        <v>861</v>
      </c>
      <c r="G75" s="39">
        <v>731.44</v>
      </c>
      <c r="H75" s="39"/>
      <c r="I75" s="27" t="s">
        <v>201</v>
      </c>
      <c r="J75" s="27">
        <v>4990</v>
      </c>
      <c r="K75" s="39">
        <v>544.73</v>
      </c>
      <c r="L75" s="27">
        <v>6778</v>
      </c>
      <c r="M75" s="64">
        <v>186.71</v>
      </c>
      <c r="N75" s="72">
        <v>0.25526358963141199</v>
      </c>
      <c r="O75" s="72">
        <v>0.04</v>
      </c>
      <c r="P75" s="64">
        <v>7.47</v>
      </c>
    </row>
    <row r="76" spans="2:16" hidden="1" x14ac:dyDescent="0.3">
      <c r="B76" s="27">
        <v>67</v>
      </c>
      <c r="C76" s="130">
        <v>44547</v>
      </c>
      <c r="D76" s="27">
        <v>4</v>
      </c>
      <c r="E76" s="27" t="s">
        <v>777</v>
      </c>
      <c r="F76" s="27" t="s">
        <v>862</v>
      </c>
      <c r="G76" s="39">
        <v>836.83</v>
      </c>
      <c r="H76" s="39"/>
      <c r="I76" s="27" t="s">
        <v>71</v>
      </c>
      <c r="J76" s="27">
        <v>14884</v>
      </c>
      <c r="K76" s="39">
        <v>582.99</v>
      </c>
      <c r="L76" s="27">
        <v>5630</v>
      </c>
      <c r="M76" s="64">
        <v>253.84</v>
      </c>
      <c r="N76" s="72">
        <v>0.30333520547781501</v>
      </c>
      <c r="O76" s="72">
        <v>5.2499999999999998E-2</v>
      </c>
      <c r="P76" s="64">
        <v>13.33</v>
      </c>
    </row>
    <row r="77" spans="2:16" hidden="1" x14ac:dyDescent="0.3">
      <c r="B77" s="27">
        <v>68</v>
      </c>
      <c r="C77" s="130">
        <v>44526</v>
      </c>
      <c r="D77" s="27">
        <v>4</v>
      </c>
      <c r="E77" s="27" t="s">
        <v>863</v>
      </c>
      <c r="F77" s="27" t="s">
        <v>864</v>
      </c>
      <c r="G77" s="39">
        <v>1648</v>
      </c>
      <c r="H77" s="39"/>
      <c r="I77" s="27" t="s">
        <v>630</v>
      </c>
      <c r="J77" s="27">
        <v>3670</v>
      </c>
      <c r="K77" s="39">
        <v>659.2</v>
      </c>
      <c r="L77" s="27">
        <v>4135</v>
      </c>
      <c r="M77" s="64">
        <v>988.8</v>
      </c>
      <c r="N77" s="72">
        <v>0.6</v>
      </c>
      <c r="O77" s="72">
        <v>7.0000000000000007E-2</v>
      </c>
      <c r="P77" s="64">
        <v>69.22</v>
      </c>
    </row>
    <row r="78" spans="2:16" hidden="1" x14ac:dyDescent="0.3">
      <c r="B78" s="27">
        <v>69</v>
      </c>
      <c r="C78" s="130">
        <v>44566</v>
      </c>
      <c r="D78" s="27">
        <v>1</v>
      </c>
      <c r="E78" s="27" t="s">
        <v>784</v>
      </c>
      <c r="F78" s="27" t="s">
        <v>865</v>
      </c>
      <c r="G78" s="39">
        <v>1148.55</v>
      </c>
      <c r="H78" s="39"/>
      <c r="I78" s="27" t="s">
        <v>71</v>
      </c>
      <c r="J78" s="27">
        <v>15016</v>
      </c>
      <c r="K78" s="39">
        <v>800.16</v>
      </c>
      <c r="L78" s="27">
        <v>5716</v>
      </c>
      <c r="M78" s="64">
        <v>348.39</v>
      </c>
      <c r="N78" s="72">
        <v>0.30333028601279899</v>
      </c>
      <c r="O78" s="72">
        <v>5.2499999999999998E-2</v>
      </c>
      <c r="P78" s="64">
        <v>18.29</v>
      </c>
    </row>
    <row r="79" spans="2:16" hidden="1" x14ac:dyDescent="0.3">
      <c r="B79" s="27">
        <v>70</v>
      </c>
      <c r="C79" s="130">
        <v>44550</v>
      </c>
      <c r="D79" s="27">
        <v>4</v>
      </c>
      <c r="E79" s="27" t="s">
        <v>866</v>
      </c>
      <c r="F79" s="27" t="s">
        <v>301</v>
      </c>
      <c r="G79" s="39">
        <v>12451.53</v>
      </c>
      <c r="H79" s="39"/>
      <c r="I79" s="27" t="s">
        <v>71</v>
      </c>
      <c r="J79" s="27">
        <v>22</v>
      </c>
      <c r="K79" s="39">
        <v>8674.56</v>
      </c>
      <c r="L79" s="27"/>
      <c r="M79" s="64">
        <v>3776.97</v>
      </c>
      <c r="N79" s="72">
        <v>0.30333380717068498</v>
      </c>
      <c r="O79" s="72">
        <v>5.2499999999999998E-2</v>
      </c>
      <c r="P79" s="64">
        <v>198.29</v>
      </c>
    </row>
    <row r="80" spans="2:16" hidden="1" x14ac:dyDescent="0.3">
      <c r="B80" s="27">
        <v>71</v>
      </c>
      <c r="C80" s="130">
        <v>44578</v>
      </c>
      <c r="D80" s="27">
        <v>1</v>
      </c>
      <c r="E80" s="27" t="s">
        <v>867</v>
      </c>
      <c r="F80" s="27" t="s">
        <v>868</v>
      </c>
      <c r="G80" s="39">
        <v>1098.3699999999999</v>
      </c>
      <c r="H80" s="39"/>
      <c r="I80" s="27" t="s">
        <v>71</v>
      </c>
      <c r="J80" s="27">
        <v>343</v>
      </c>
      <c r="K80" s="39">
        <v>772.78</v>
      </c>
      <c r="L80" s="27">
        <v>130</v>
      </c>
      <c r="M80" s="64">
        <v>325.58999999999997</v>
      </c>
      <c r="N80" s="72">
        <v>0.29643016469859901</v>
      </c>
      <c r="O80" s="72">
        <v>0.05</v>
      </c>
      <c r="P80" s="64">
        <v>16.28</v>
      </c>
    </row>
    <row r="81" spans="2:16" hidden="1" x14ac:dyDescent="0.3">
      <c r="B81" s="27">
        <v>72</v>
      </c>
      <c r="C81" s="130">
        <v>44578</v>
      </c>
      <c r="D81" s="27">
        <v>1</v>
      </c>
      <c r="E81" s="27" t="s">
        <v>869</v>
      </c>
      <c r="F81" s="27" t="s">
        <v>870</v>
      </c>
      <c r="G81" s="39">
        <v>2357.56</v>
      </c>
      <c r="H81" s="39"/>
      <c r="I81" s="27" t="s">
        <v>71</v>
      </c>
      <c r="J81" s="27">
        <v>359</v>
      </c>
      <c r="K81" s="39">
        <v>1718.27</v>
      </c>
      <c r="L81" s="27">
        <v>152</v>
      </c>
      <c r="M81" s="64">
        <v>639.29</v>
      </c>
      <c r="N81" s="72">
        <v>0.27116595123772003</v>
      </c>
      <c r="O81" s="72">
        <v>4.4999999999999998E-2</v>
      </c>
      <c r="P81" s="64">
        <v>28.77</v>
      </c>
    </row>
    <row r="82" spans="2:16" hidden="1" x14ac:dyDescent="0.3">
      <c r="B82" s="27">
        <v>73</v>
      </c>
      <c r="C82" s="130">
        <v>44582</v>
      </c>
      <c r="D82" s="27">
        <v>1</v>
      </c>
      <c r="E82" s="27" t="s">
        <v>871</v>
      </c>
      <c r="F82" s="27" t="s">
        <v>872</v>
      </c>
      <c r="G82" s="39">
        <v>3665.92</v>
      </c>
      <c r="H82" s="39"/>
      <c r="I82" s="27" t="s">
        <v>201</v>
      </c>
      <c r="J82" s="27" t="s">
        <v>873</v>
      </c>
      <c r="K82" s="39">
        <v>2778.65</v>
      </c>
      <c r="L82" s="27">
        <v>208</v>
      </c>
      <c r="M82" s="64">
        <v>887.27</v>
      </c>
      <c r="N82" s="72">
        <v>0.24203201379189901</v>
      </c>
      <c r="O82" s="72">
        <v>0.04</v>
      </c>
      <c r="P82" s="64">
        <v>35.49</v>
      </c>
    </row>
    <row r="83" spans="2:16" hidden="1" x14ac:dyDescent="0.3">
      <c r="B83" s="27">
        <v>74</v>
      </c>
      <c r="C83" s="130">
        <v>44592</v>
      </c>
      <c r="D83" s="27">
        <v>1</v>
      </c>
      <c r="E83" s="27" t="s">
        <v>820</v>
      </c>
      <c r="F83" s="27" t="s">
        <v>874</v>
      </c>
      <c r="G83" s="39">
        <v>669.68</v>
      </c>
      <c r="H83" s="39"/>
      <c r="I83" s="27" t="s">
        <v>71</v>
      </c>
      <c r="J83" s="27">
        <v>942</v>
      </c>
      <c r="K83" s="39">
        <v>490.81</v>
      </c>
      <c r="L83" s="27">
        <v>400</v>
      </c>
      <c r="M83" s="64">
        <v>178.87</v>
      </c>
      <c r="N83" s="72">
        <v>0.26709771831322399</v>
      </c>
      <c r="O83" s="72">
        <v>4.4999999999999998E-2</v>
      </c>
      <c r="P83" s="64">
        <v>8.0500000000000007</v>
      </c>
    </row>
    <row r="84" spans="2:16" hidden="1" x14ac:dyDescent="0.3">
      <c r="B84" s="27">
        <v>75</v>
      </c>
      <c r="C84" s="130">
        <v>44607</v>
      </c>
      <c r="D84" s="27">
        <v>1</v>
      </c>
      <c r="E84" s="27" t="s">
        <v>875</v>
      </c>
      <c r="F84" s="27" t="s">
        <v>876</v>
      </c>
      <c r="G84" s="39">
        <v>925.08</v>
      </c>
      <c r="H84" s="39"/>
      <c r="I84" s="27" t="s">
        <v>71</v>
      </c>
      <c r="J84" s="27">
        <v>1623</v>
      </c>
      <c r="K84" s="39">
        <v>744.57</v>
      </c>
      <c r="L84" s="27"/>
      <c r="M84" s="64">
        <v>180.51</v>
      </c>
      <c r="N84" s="72">
        <v>0.195129069918277</v>
      </c>
      <c r="O84" s="72">
        <v>2.5000000000000001E-2</v>
      </c>
      <c r="P84" s="64">
        <v>4.51</v>
      </c>
    </row>
    <row r="85" spans="2:16" hidden="1" x14ac:dyDescent="0.3">
      <c r="B85" s="27">
        <v>76</v>
      </c>
      <c r="C85" s="130">
        <v>44608</v>
      </c>
      <c r="D85" s="27">
        <v>1</v>
      </c>
      <c r="E85" s="27" t="s">
        <v>877</v>
      </c>
      <c r="F85" s="27" t="s">
        <v>878</v>
      </c>
      <c r="G85" s="39">
        <v>315</v>
      </c>
      <c r="H85" s="39"/>
      <c r="I85" s="27" t="s">
        <v>630</v>
      </c>
      <c r="J85" s="27"/>
      <c r="K85" s="39">
        <v>144.4</v>
      </c>
      <c r="L85" s="27">
        <v>4327</v>
      </c>
      <c r="M85" s="64">
        <v>170.6</v>
      </c>
      <c r="N85" s="72">
        <v>0.49449275362318801</v>
      </c>
      <c r="O85" s="72">
        <v>7.0000000000000007E-2</v>
      </c>
      <c r="P85" s="64">
        <v>11.94</v>
      </c>
    </row>
    <row r="86" spans="2:16" hidden="1" x14ac:dyDescent="0.3">
      <c r="B86" s="27">
        <v>77</v>
      </c>
      <c r="C86" s="130">
        <v>44620</v>
      </c>
      <c r="D86" s="27">
        <v>1</v>
      </c>
      <c r="E86" s="27" t="s">
        <v>828</v>
      </c>
      <c r="F86" s="27" t="s">
        <v>879</v>
      </c>
      <c r="G86" s="39">
        <v>1757.74</v>
      </c>
      <c r="H86" s="39"/>
      <c r="I86" s="27" t="s">
        <v>69</v>
      </c>
      <c r="J86" s="27"/>
      <c r="K86" s="39">
        <v>1136.6600000000001</v>
      </c>
      <c r="L86" s="27">
        <v>2839</v>
      </c>
      <c r="M86" s="64">
        <v>621.08000000000004</v>
      </c>
      <c r="N86" s="72">
        <v>0.35334008442659298</v>
      </c>
      <c r="O86" s="72">
        <v>5.7500000000000002E-2</v>
      </c>
      <c r="P86" s="64">
        <v>35.71</v>
      </c>
    </row>
    <row r="87" spans="2:16" hidden="1" x14ac:dyDescent="0.3">
      <c r="B87" s="27">
        <v>78</v>
      </c>
      <c r="C87" s="130">
        <v>44620</v>
      </c>
      <c r="D87" s="27">
        <v>1</v>
      </c>
      <c r="E87" s="27" t="s">
        <v>880</v>
      </c>
      <c r="F87" s="27" t="s">
        <v>881</v>
      </c>
      <c r="G87" s="39">
        <v>1135.5999999999999</v>
      </c>
      <c r="H87" s="39"/>
      <c r="I87" s="27" t="s">
        <v>71</v>
      </c>
      <c r="J87" s="27">
        <v>2233</v>
      </c>
      <c r="K87" s="39">
        <v>631.54999999999995</v>
      </c>
      <c r="L87" s="27">
        <v>901</v>
      </c>
      <c r="M87" s="64">
        <v>504.05</v>
      </c>
      <c r="N87" s="72">
        <v>0.44386227544910201</v>
      </c>
      <c r="O87" s="72">
        <v>7.0000000000000007E-2</v>
      </c>
      <c r="P87" s="64">
        <v>35.28</v>
      </c>
    </row>
    <row r="88" spans="2:16" hidden="1" x14ac:dyDescent="0.3">
      <c r="B88" s="27">
        <v>79</v>
      </c>
      <c r="C88" s="130">
        <v>44621</v>
      </c>
      <c r="D88" s="27">
        <v>1</v>
      </c>
      <c r="E88" s="27" t="s">
        <v>882</v>
      </c>
      <c r="F88" s="27" t="s">
        <v>883</v>
      </c>
      <c r="G88" s="39">
        <v>1022.63</v>
      </c>
      <c r="H88" s="39">
        <v>141.38999999999999</v>
      </c>
      <c r="I88" s="27" t="s">
        <v>71</v>
      </c>
      <c r="J88" s="27">
        <v>2300</v>
      </c>
      <c r="K88" s="39">
        <v>627.25</v>
      </c>
      <c r="L88" s="27">
        <v>937</v>
      </c>
      <c r="M88" s="64">
        <v>253.99</v>
      </c>
      <c r="N88" s="72">
        <v>0.24836940046742201</v>
      </c>
      <c r="O88" s="72">
        <v>0.04</v>
      </c>
      <c r="P88" s="64">
        <v>10.16</v>
      </c>
    </row>
    <row r="89" spans="2:16" hidden="1" x14ac:dyDescent="0.3">
      <c r="B89" s="27">
        <v>80</v>
      </c>
      <c r="C89" s="130">
        <v>44629</v>
      </c>
      <c r="D89" s="27">
        <v>1</v>
      </c>
      <c r="E89" s="27" t="s">
        <v>884</v>
      </c>
      <c r="F89" s="27" t="s">
        <v>885</v>
      </c>
      <c r="G89" s="39">
        <v>7723.2</v>
      </c>
      <c r="H89" s="39"/>
      <c r="I89" s="27" t="s">
        <v>201</v>
      </c>
      <c r="J89" s="27"/>
      <c r="K89" s="39">
        <v>4422.17</v>
      </c>
      <c r="L89" s="27">
        <v>1195</v>
      </c>
      <c r="M89" s="64">
        <v>3301.03</v>
      </c>
      <c r="N89" s="72">
        <v>0.42741739175471299</v>
      </c>
      <c r="O89" s="72">
        <v>6.7500000000000004E-2</v>
      </c>
      <c r="P89" s="64">
        <v>222.82</v>
      </c>
    </row>
    <row r="90" spans="2:16" hidden="1" x14ac:dyDescent="0.3">
      <c r="B90" s="27">
        <v>81</v>
      </c>
      <c r="C90" s="130">
        <v>44637</v>
      </c>
      <c r="D90" s="27">
        <v>1</v>
      </c>
      <c r="E90" s="27" t="s">
        <v>886</v>
      </c>
      <c r="F90" s="27" t="s">
        <v>887</v>
      </c>
      <c r="G90" s="39">
        <v>1157</v>
      </c>
      <c r="H90" s="39"/>
      <c r="I90" s="27" t="s">
        <v>630</v>
      </c>
      <c r="J90" s="27">
        <v>3912</v>
      </c>
      <c r="K90" s="39">
        <v>486.8</v>
      </c>
      <c r="L90" s="27">
        <v>4407</v>
      </c>
      <c r="M90" s="64">
        <v>670.2</v>
      </c>
      <c r="N90" s="72">
        <v>0.57925669835782201</v>
      </c>
      <c r="O90" s="72">
        <v>7.0000000000000007E-2</v>
      </c>
      <c r="P90" s="64">
        <v>46.91</v>
      </c>
    </row>
    <row r="91" spans="2:16" hidden="1" x14ac:dyDescent="0.3">
      <c r="B91" s="27">
        <v>82</v>
      </c>
      <c r="C91" s="130">
        <v>44589</v>
      </c>
      <c r="D91" s="27">
        <v>1</v>
      </c>
      <c r="E91" s="27" t="s">
        <v>970</v>
      </c>
      <c r="F91" s="27" t="s">
        <v>971</v>
      </c>
      <c r="G91" s="39">
        <v>1607.45</v>
      </c>
      <c r="H91" s="39"/>
      <c r="I91" s="27" t="s">
        <v>69</v>
      </c>
      <c r="J91" s="27"/>
      <c r="K91" s="39">
        <v>1174.6400000000001</v>
      </c>
      <c r="L91" s="27">
        <v>4326</v>
      </c>
      <c r="M91" s="64">
        <v>432.81</v>
      </c>
      <c r="N91" s="72">
        <v>0.26925254284736699</v>
      </c>
      <c r="O91" s="72">
        <v>4.4999999999999998E-2</v>
      </c>
      <c r="P91" s="64">
        <v>19.48</v>
      </c>
    </row>
    <row r="92" spans="2:16" hidden="1" x14ac:dyDescent="0.3">
      <c r="B92" s="27">
        <v>83</v>
      </c>
      <c r="C92" s="130">
        <v>44644</v>
      </c>
      <c r="D92" s="27">
        <v>1</v>
      </c>
      <c r="E92" s="27" t="s">
        <v>972</v>
      </c>
      <c r="F92" s="27" t="s">
        <v>973</v>
      </c>
      <c r="G92" s="39">
        <v>2576.6</v>
      </c>
      <c r="H92" s="39">
        <v>184.86</v>
      </c>
      <c r="I92" s="27" t="s">
        <v>69</v>
      </c>
      <c r="J92" s="27"/>
      <c r="K92" s="39">
        <v>1160.4100000000001</v>
      </c>
      <c r="L92" s="27" t="s">
        <v>974</v>
      </c>
      <c r="M92" s="64">
        <v>1231.33</v>
      </c>
      <c r="N92" s="72">
        <v>0.47788946673911398</v>
      </c>
      <c r="O92" s="72">
        <v>7.0000000000000007E-2</v>
      </c>
      <c r="P92" s="64">
        <v>86.19</v>
      </c>
    </row>
    <row r="93" spans="2:16" hidden="1" x14ac:dyDescent="0.3">
      <c r="B93" s="27">
        <v>84</v>
      </c>
      <c r="C93" s="130">
        <v>44652</v>
      </c>
      <c r="D93" s="27">
        <v>2</v>
      </c>
      <c r="E93" s="27" t="s">
        <v>975</v>
      </c>
      <c r="F93" s="27" t="s">
        <v>976</v>
      </c>
      <c r="G93" s="39">
        <v>878.52</v>
      </c>
      <c r="H93" s="39"/>
      <c r="I93" s="27" t="s">
        <v>71</v>
      </c>
      <c r="J93" s="27">
        <v>3820</v>
      </c>
      <c r="K93" s="39">
        <v>636.30999999999995</v>
      </c>
      <c r="L93" s="27">
        <v>1505</v>
      </c>
      <c r="M93" s="64">
        <v>242.21</v>
      </c>
      <c r="N93" s="72">
        <v>0.27570231753403501</v>
      </c>
      <c r="O93" s="72">
        <v>4.4999999999999998E-2</v>
      </c>
      <c r="P93" s="64">
        <v>10.9</v>
      </c>
    </row>
    <row r="94" spans="2:16" hidden="1" x14ac:dyDescent="0.3">
      <c r="B94" s="27">
        <v>85</v>
      </c>
      <c r="C94" s="130">
        <v>44663</v>
      </c>
      <c r="D94" s="27">
        <v>2</v>
      </c>
      <c r="E94" s="27" t="s">
        <v>977</v>
      </c>
      <c r="F94" s="27" t="s">
        <v>978</v>
      </c>
      <c r="G94" s="39">
        <v>2253.61</v>
      </c>
      <c r="H94" s="39"/>
      <c r="I94" s="27" t="s">
        <v>71</v>
      </c>
      <c r="J94" s="27"/>
      <c r="K94" s="39">
        <v>1219.5899999999999</v>
      </c>
      <c r="L94" s="27">
        <v>1662</v>
      </c>
      <c r="M94" s="64">
        <v>1034.02</v>
      </c>
      <c r="N94" s="72">
        <v>0.45882827995970898</v>
      </c>
      <c r="O94" s="72">
        <v>7.0000000000000007E-2</v>
      </c>
      <c r="P94" s="64">
        <v>72.38</v>
      </c>
    </row>
    <row r="95" spans="2:16" hidden="1" x14ac:dyDescent="0.3">
      <c r="B95" s="27">
        <v>86</v>
      </c>
      <c r="C95" s="130">
        <v>44620</v>
      </c>
      <c r="D95" s="27">
        <v>1</v>
      </c>
      <c r="E95" s="27" t="s">
        <v>979</v>
      </c>
      <c r="F95" s="27" t="s">
        <v>980</v>
      </c>
      <c r="G95" s="39">
        <v>1360.8</v>
      </c>
      <c r="H95" s="39"/>
      <c r="I95" s="27" t="s">
        <v>72</v>
      </c>
      <c r="J95" s="27"/>
      <c r="K95" s="39">
        <v>923.5</v>
      </c>
      <c r="L95" s="27">
        <v>33299</v>
      </c>
      <c r="M95" s="64">
        <v>437.3</v>
      </c>
      <c r="N95" s="72">
        <v>0.32135508524397399</v>
      </c>
      <c r="O95" s="72">
        <v>5.5E-2</v>
      </c>
      <c r="P95" s="64">
        <v>24.05</v>
      </c>
    </row>
    <row r="96" spans="2:16" hidden="1" x14ac:dyDescent="0.3">
      <c r="B96" s="27">
        <v>87</v>
      </c>
      <c r="C96" s="130">
        <v>44606</v>
      </c>
      <c r="D96" s="27">
        <v>1</v>
      </c>
      <c r="E96" s="27" t="s">
        <v>981</v>
      </c>
      <c r="F96" s="27" t="s">
        <v>358</v>
      </c>
      <c r="G96" s="39">
        <v>4299.34</v>
      </c>
      <c r="H96" s="39"/>
      <c r="I96" s="27" t="s">
        <v>69</v>
      </c>
      <c r="J96" s="27"/>
      <c r="K96" s="39">
        <v>3218.6</v>
      </c>
      <c r="L96" s="27">
        <v>1998</v>
      </c>
      <c r="M96" s="64">
        <v>1080.74</v>
      </c>
      <c r="N96" s="72">
        <v>0.25137346662511001</v>
      </c>
      <c r="O96" s="72">
        <v>0.04</v>
      </c>
      <c r="P96" s="64">
        <v>43.23</v>
      </c>
    </row>
    <row r="97" spans="2:16" hidden="1" x14ac:dyDescent="0.3">
      <c r="B97" s="27">
        <v>88</v>
      </c>
      <c r="C97" s="130">
        <v>44606</v>
      </c>
      <c r="D97" s="27">
        <v>1</v>
      </c>
      <c r="E97" s="27" t="s">
        <v>915</v>
      </c>
      <c r="F97" s="27" t="s">
        <v>358</v>
      </c>
      <c r="G97" s="39">
        <v>14001.2</v>
      </c>
      <c r="H97" s="39"/>
      <c r="I97" s="27" t="s">
        <v>201</v>
      </c>
      <c r="J97" s="27"/>
      <c r="K97" s="39">
        <v>10539.27</v>
      </c>
      <c r="L97" s="27" t="s">
        <v>982</v>
      </c>
      <c r="M97" s="64">
        <v>3461.93</v>
      </c>
      <c r="N97" s="72">
        <v>0.24725952061251899</v>
      </c>
      <c r="O97" s="72">
        <v>0.04</v>
      </c>
      <c r="P97" s="64">
        <v>138.47999999999999</v>
      </c>
    </row>
    <row r="98" spans="2:16" hidden="1" x14ac:dyDescent="0.3">
      <c r="B98" s="27">
        <v>89</v>
      </c>
      <c r="C98" s="130">
        <v>44606</v>
      </c>
      <c r="D98" s="27">
        <v>1</v>
      </c>
      <c r="E98" s="27" t="s">
        <v>917</v>
      </c>
      <c r="F98" s="27" t="s">
        <v>716</v>
      </c>
      <c r="G98" s="39">
        <v>1734.94</v>
      </c>
      <c r="H98" s="39"/>
      <c r="I98" s="27" t="s">
        <v>629</v>
      </c>
      <c r="J98" s="27"/>
      <c r="K98" s="39">
        <v>1400</v>
      </c>
      <c r="L98" s="27" t="s">
        <v>920</v>
      </c>
      <c r="M98" s="64">
        <v>334.94</v>
      </c>
      <c r="N98" s="72">
        <v>0.193055667631157</v>
      </c>
      <c r="O98" s="72">
        <v>2.5000000000000001E-2</v>
      </c>
      <c r="P98" s="64">
        <v>8.3699999999999992</v>
      </c>
    </row>
    <row r="99" spans="2:16" hidden="1" x14ac:dyDescent="0.3">
      <c r="B99" s="27">
        <v>90</v>
      </c>
      <c r="C99" s="130">
        <v>44609</v>
      </c>
      <c r="D99" s="27">
        <v>1</v>
      </c>
      <c r="E99" s="27" t="s">
        <v>922</v>
      </c>
      <c r="F99" s="27" t="s">
        <v>983</v>
      </c>
      <c r="G99" s="39">
        <v>1767.74</v>
      </c>
      <c r="H99" s="39"/>
      <c r="I99" s="27" t="s">
        <v>200</v>
      </c>
      <c r="J99" s="27">
        <v>167864</v>
      </c>
      <c r="K99" s="39">
        <v>1215.32</v>
      </c>
      <c r="L99" s="27">
        <v>381498</v>
      </c>
      <c r="M99" s="64">
        <v>552.41999999999996</v>
      </c>
      <c r="N99" s="72">
        <v>0.312500707117563</v>
      </c>
      <c r="O99" s="72">
        <v>5.2499999999999998E-2</v>
      </c>
      <c r="P99" s="64">
        <v>29</v>
      </c>
    </row>
    <row r="100" spans="2:16" hidden="1" x14ac:dyDescent="0.3">
      <c r="B100" s="27">
        <v>91</v>
      </c>
      <c r="C100" s="130">
        <v>44620</v>
      </c>
      <c r="D100" s="27">
        <v>1</v>
      </c>
      <c r="E100" s="27" t="s">
        <v>923</v>
      </c>
      <c r="F100" s="27" t="s">
        <v>984</v>
      </c>
      <c r="G100" s="39">
        <v>310.25</v>
      </c>
      <c r="H100" s="39"/>
      <c r="I100" s="27" t="s">
        <v>200</v>
      </c>
      <c r="J100" s="27"/>
      <c r="K100" s="39">
        <v>170.64</v>
      </c>
      <c r="L100" s="27">
        <v>381527</v>
      </c>
      <c r="M100" s="64">
        <v>139.61000000000001</v>
      </c>
      <c r="N100" s="72">
        <v>0.44999194198227199</v>
      </c>
      <c r="O100" s="72">
        <v>7.0000000000000007E-2</v>
      </c>
      <c r="P100" s="64">
        <v>9.77</v>
      </c>
    </row>
    <row r="101" spans="2:16" hidden="1" x14ac:dyDescent="0.3">
      <c r="B101" s="27">
        <v>92</v>
      </c>
      <c r="C101" s="130">
        <v>44651</v>
      </c>
      <c r="D101" s="27">
        <v>1</v>
      </c>
      <c r="E101" s="27" t="s">
        <v>925</v>
      </c>
      <c r="F101" s="27" t="s">
        <v>983</v>
      </c>
      <c r="G101" s="39">
        <v>1325.8</v>
      </c>
      <c r="H101" s="39"/>
      <c r="I101" s="27" t="s">
        <v>200</v>
      </c>
      <c r="J101" s="27"/>
      <c r="K101" s="39">
        <v>911.5</v>
      </c>
      <c r="L101" s="27">
        <v>381884</v>
      </c>
      <c r="M101" s="64">
        <v>414.3</v>
      </c>
      <c r="N101" s="72">
        <v>0.312490571730276</v>
      </c>
      <c r="O101" s="72">
        <v>5.2499999999999998E-2</v>
      </c>
      <c r="P101" s="64">
        <v>21.75</v>
      </c>
    </row>
    <row r="102" spans="2:16" hidden="1" x14ac:dyDescent="0.3">
      <c r="B102" s="27">
        <v>93</v>
      </c>
      <c r="C102" s="130">
        <v>44677</v>
      </c>
      <c r="D102" s="27">
        <v>2</v>
      </c>
      <c r="E102" s="27" t="s">
        <v>949</v>
      </c>
      <c r="F102" s="27" t="s">
        <v>985</v>
      </c>
      <c r="G102" s="39">
        <v>246.53</v>
      </c>
      <c r="H102" s="39"/>
      <c r="I102" s="27" t="s">
        <v>71</v>
      </c>
      <c r="J102" s="27">
        <v>4917</v>
      </c>
      <c r="K102" s="39">
        <v>196.02</v>
      </c>
      <c r="L102" s="27">
        <v>1969</v>
      </c>
      <c r="M102" s="64">
        <v>50.51</v>
      </c>
      <c r="N102" s="72">
        <v>0.20488378696304699</v>
      </c>
      <c r="O102" s="72">
        <v>0.03</v>
      </c>
      <c r="P102" s="64">
        <v>1.52</v>
      </c>
    </row>
    <row r="103" spans="2:16" hidden="1" x14ac:dyDescent="0.3">
      <c r="B103" s="27">
        <v>94</v>
      </c>
      <c r="C103" s="130">
        <v>44686</v>
      </c>
      <c r="D103" s="27">
        <v>2</v>
      </c>
      <c r="E103" s="27" t="s">
        <v>954</v>
      </c>
      <c r="F103" s="27" t="s">
        <v>986</v>
      </c>
      <c r="G103" s="39">
        <v>1460</v>
      </c>
      <c r="H103" s="39">
        <v>345</v>
      </c>
      <c r="I103" s="27" t="s">
        <v>629</v>
      </c>
      <c r="J103" s="27"/>
      <c r="K103" s="39">
        <v>770</v>
      </c>
      <c r="L103" s="27" t="s">
        <v>956</v>
      </c>
      <c r="M103" s="64">
        <v>345</v>
      </c>
      <c r="N103" s="72">
        <v>0.236301369863014</v>
      </c>
      <c r="O103" s="72">
        <v>3.5000000000000003E-2</v>
      </c>
      <c r="P103" s="64">
        <v>12.08</v>
      </c>
    </row>
    <row r="104" spans="2:16" hidden="1" x14ac:dyDescent="0.3">
      <c r="B104" s="27">
        <v>95</v>
      </c>
      <c r="C104" s="130">
        <v>44655</v>
      </c>
      <c r="D104" s="27">
        <v>2</v>
      </c>
      <c r="E104" s="27" t="s">
        <v>987</v>
      </c>
      <c r="F104" s="27" t="s">
        <v>988</v>
      </c>
      <c r="G104" s="39">
        <v>7616</v>
      </c>
      <c r="H104" s="39">
        <v>1523.2</v>
      </c>
      <c r="I104" s="27" t="s">
        <v>72</v>
      </c>
      <c r="J104" s="27">
        <v>43715</v>
      </c>
      <c r="K104" s="39">
        <v>3796.5</v>
      </c>
      <c r="L104" s="27">
        <v>33532</v>
      </c>
      <c r="M104" s="64">
        <v>2296.3000000000002</v>
      </c>
      <c r="N104" s="72">
        <v>0.30150997899159698</v>
      </c>
      <c r="O104" s="72">
        <v>5.2499999999999998E-2</v>
      </c>
      <c r="P104" s="64">
        <v>120.56</v>
      </c>
    </row>
    <row r="105" spans="2:16" hidden="1" x14ac:dyDescent="0.3">
      <c r="B105" s="27">
        <v>96</v>
      </c>
      <c r="C105" s="130">
        <v>44652</v>
      </c>
      <c r="D105" s="27">
        <v>2</v>
      </c>
      <c r="E105" s="27" t="s">
        <v>989</v>
      </c>
      <c r="F105" s="27" t="s">
        <v>990</v>
      </c>
      <c r="G105" s="39">
        <v>3800</v>
      </c>
      <c r="H105" s="39">
        <v>380</v>
      </c>
      <c r="I105" s="27" t="s">
        <v>201</v>
      </c>
      <c r="J105" s="27"/>
      <c r="K105" s="39">
        <v>1930.5</v>
      </c>
      <c r="L105" s="27">
        <v>2873</v>
      </c>
      <c r="M105" s="64">
        <v>1489.5</v>
      </c>
      <c r="N105" s="72">
        <v>0.39197368421052597</v>
      </c>
      <c r="O105" s="72">
        <v>6.25E-2</v>
      </c>
      <c r="P105" s="64">
        <v>93.09</v>
      </c>
    </row>
    <row r="106" spans="2:16" hidden="1" x14ac:dyDescent="0.3">
      <c r="B106" s="27">
        <v>97</v>
      </c>
      <c r="C106" s="130">
        <v>44698</v>
      </c>
      <c r="D106" s="27">
        <v>2</v>
      </c>
      <c r="E106" s="27" t="s">
        <v>991</v>
      </c>
      <c r="F106" s="27" t="s">
        <v>992</v>
      </c>
      <c r="G106" s="39">
        <v>2382.6</v>
      </c>
      <c r="H106" s="39"/>
      <c r="I106" s="27" t="s">
        <v>71</v>
      </c>
      <c r="J106" s="27">
        <v>5802</v>
      </c>
      <c r="K106" s="39">
        <v>1244.9100000000001</v>
      </c>
      <c r="L106" s="27">
        <v>2279</v>
      </c>
      <c r="M106" s="64">
        <v>1137.69</v>
      </c>
      <c r="N106" s="72">
        <v>0.47749937043565799</v>
      </c>
      <c r="O106" s="72">
        <v>7.0000000000000007E-2</v>
      </c>
      <c r="P106" s="64">
        <v>79.64</v>
      </c>
    </row>
    <row r="107" spans="2:16" hidden="1" x14ac:dyDescent="0.3">
      <c r="B107" s="27">
        <v>98</v>
      </c>
      <c r="C107" s="130">
        <v>44655</v>
      </c>
      <c r="D107" s="27">
        <v>2</v>
      </c>
      <c r="E107" s="27" t="s">
        <v>993</v>
      </c>
      <c r="F107" s="27" t="s">
        <v>994</v>
      </c>
      <c r="G107" s="39">
        <v>3888.4</v>
      </c>
      <c r="H107" s="39"/>
      <c r="I107" s="27" t="s">
        <v>72</v>
      </c>
      <c r="J107" s="27"/>
      <c r="K107" s="39">
        <v>2428.6</v>
      </c>
      <c r="L107" s="27">
        <v>33548</v>
      </c>
      <c r="M107" s="64">
        <v>1459.8</v>
      </c>
      <c r="N107" s="72">
        <v>0.37542433905976802</v>
      </c>
      <c r="O107" s="72">
        <v>0.06</v>
      </c>
      <c r="P107" s="64">
        <v>87.59</v>
      </c>
    </row>
    <row r="108" spans="2:16" hidden="1" x14ac:dyDescent="0.3">
      <c r="B108" s="27">
        <v>99</v>
      </c>
      <c r="C108" s="130">
        <v>44680</v>
      </c>
      <c r="D108" s="27">
        <v>2</v>
      </c>
      <c r="E108" s="27" t="s">
        <v>1005</v>
      </c>
      <c r="F108" s="27" t="s">
        <v>1025</v>
      </c>
      <c r="G108" s="39">
        <v>13085.6</v>
      </c>
      <c r="H108" s="39">
        <v>185.31</v>
      </c>
      <c r="I108" s="27" t="s">
        <v>72</v>
      </c>
      <c r="J108" s="27">
        <v>43209</v>
      </c>
      <c r="K108" s="39">
        <v>8415.9</v>
      </c>
      <c r="L108" s="27">
        <v>33386</v>
      </c>
      <c r="M108" s="64">
        <v>4484.3900000000003</v>
      </c>
      <c r="N108" s="72">
        <v>0.34269655193495102</v>
      </c>
      <c r="O108" s="72">
        <v>5.7500000000000002E-2</v>
      </c>
      <c r="P108" s="64">
        <v>257.85000000000002</v>
      </c>
    </row>
    <row r="109" spans="2:16" hidden="1" x14ac:dyDescent="0.3">
      <c r="B109" s="27">
        <v>100</v>
      </c>
      <c r="C109" s="130">
        <v>44713</v>
      </c>
      <c r="D109" s="27">
        <v>2</v>
      </c>
      <c r="E109" s="27" t="s">
        <v>1026</v>
      </c>
      <c r="F109" s="27" t="s">
        <v>1027</v>
      </c>
      <c r="G109" s="39">
        <v>1298.47</v>
      </c>
      <c r="H109" s="39"/>
      <c r="I109" s="27" t="s">
        <v>71</v>
      </c>
      <c r="J109" s="27">
        <v>6434</v>
      </c>
      <c r="K109" s="39">
        <v>1004.7</v>
      </c>
      <c r="L109" s="27">
        <v>2586</v>
      </c>
      <c r="M109" s="64">
        <v>293.77</v>
      </c>
      <c r="N109" s="72">
        <v>0.22624319391283601</v>
      </c>
      <c r="O109" s="72">
        <v>3.5000000000000003E-2</v>
      </c>
      <c r="P109" s="64">
        <v>10.28</v>
      </c>
    </row>
    <row r="110" spans="2:16" hidden="1" x14ac:dyDescent="0.3">
      <c r="B110" s="27">
        <v>101</v>
      </c>
      <c r="C110" s="130">
        <v>44713</v>
      </c>
      <c r="D110" s="27">
        <v>2</v>
      </c>
      <c r="E110" s="27" t="s">
        <v>1028</v>
      </c>
      <c r="F110" s="27" t="s">
        <v>1029</v>
      </c>
      <c r="G110" s="39">
        <v>3604.62</v>
      </c>
      <c r="H110" s="39"/>
      <c r="I110" s="27" t="s">
        <v>70</v>
      </c>
      <c r="J110" s="27"/>
      <c r="K110" s="39">
        <v>2286.92</v>
      </c>
      <c r="L110" s="27" t="s">
        <v>1007</v>
      </c>
      <c r="M110" s="64">
        <v>1317.7</v>
      </c>
      <c r="N110" s="72">
        <v>0.36555864418440798</v>
      </c>
      <c r="O110" s="72">
        <v>0.06</v>
      </c>
      <c r="P110" s="64">
        <v>79.06</v>
      </c>
    </row>
    <row r="111" spans="2:16" hidden="1" x14ac:dyDescent="0.3">
      <c r="B111" s="27">
        <v>102</v>
      </c>
      <c r="C111" s="130">
        <v>44711</v>
      </c>
      <c r="D111" s="27">
        <v>2</v>
      </c>
      <c r="E111" s="27" t="s">
        <v>1030</v>
      </c>
      <c r="F111" s="27" t="s">
        <v>872</v>
      </c>
      <c r="G111" s="39">
        <v>1510.4</v>
      </c>
      <c r="H111" s="39"/>
      <c r="I111" s="27" t="s">
        <v>201</v>
      </c>
      <c r="J111" s="27"/>
      <c r="K111" s="39">
        <v>1144.83</v>
      </c>
      <c r="L111" s="27"/>
      <c r="M111" s="64">
        <v>365.57</v>
      </c>
      <c r="N111" s="72">
        <v>0.24203522245762699</v>
      </c>
      <c r="O111" s="72">
        <v>0.04</v>
      </c>
      <c r="P111" s="64">
        <v>14.62</v>
      </c>
    </row>
    <row r="112" spans="2:16" hidden="1" x14ac:dyDescent="0.3">
      <c r="B112" s="27">
        <v>103</v>
      </c>
      <c r="C112" s="130">
        <v>44677</v>
      </c>
      <c r="D112" s="27">
        <v>2</v>
      </c>
      <c r="E112" s="27" t="s">
        <v>1031</v>
      </c>
      <c r="F112" s="27" t="s">
        <v>861</v>
      </c>
      <c r="G112" s="39">
        <v>394</v>
      </c>
      <c r="H112" s="39"/>
      <c r="I112" s="27" t="s">
        <v>201</v>
      </c>
      <c r="J112" s="27"/>
      <c r="K112" s="39">
        <v>282.25</v>
      </c>
      <c r="L112" s="27">
        <v>3473</v>
      </c>
      <c r="M112" s="64">
        <v>111.75</v>
      </c>
      <c r="N112" s="72">
        <v>0.28362944162436499</v>
      </c>
      <c r="O112" s="72">
        <v>0.05</v>
      </c>
      <c r="P112" s="64">
        <v>5.59</v>
      </c>
    </row>
    <row r="113" spans="2:16" hidden="1" x14ac:dyDescent="0.3">
      <c r="B113" s="27">
        <v>104</v>
      </c>
      <c r="C113" s="130">
        <v>44734</v>
      </c>
      <c r="D113" s="27">
        <v>2</v>
      </c>
      <c r="E113" s="27" t="s">
        <v>1032</v>
      </c>
      <c r="F113" s="27" t="s">
        <v>1033</v>
      </c>
      <c r="G113" s="39">
        <v>12191.04</v>
      </c>
      <c r="H113" s="39"/>
      <c r="I113" s="27" t="s">
        <v>73</v>
      </c>
      <c r="J113" s="27"/>
      <c r="K113" s="39">
        <v>5274.73</v>
      </c>
      <c r="L113" s="27" t="s">
        <v>1034</v>
      </c>
      <c r="M113" s="64">
        <v>6916.31</v>
      </c>
      <c r="N113" s="72">
        <v>0.56732731579914397</v>
      </c>
      <c r="O113" s="72">
        <v>7.0000000000000007E-2</v>
      </c>
      <c r="P113" s="64">
        <v>484.14</v>
      </c>
    </row>
    <row r="114" spans="2:16" hidden="1" x14ac:dyDescent="0.3">
      <c r="B114" s="27">
        <v>105</v>
      </c>
      <c r="C114" s="130">
        <v>44734</v>
      </c>
      <c r="D114" s="27">
        <v>2</v>
      </c>
      <c r="E114" s="27" t="s">
        <v>1023</v>
      </c>
      <c r="F114" s="27" t="s">
        <v>1035</v>
      </c>
      <c r="G114" s="39">
        <v>1001.37</v>
      </c>
      <c r="H114" s="39"/>
      <c r="I114" s="27" t="s">
        <v>71</v>
      </c>
      <c r="J114" s="27">
        <v>7334</v>
      </c>
      <c r="K114" s="39">
        <v>721.89</v>
      </c>
      <c r="L114" s="27">
        <v>2930</v>
      </c>
      <c r="M114" s="64">
        <v>279.48</v>
      </c>
      <c r="N114" s="72">
        <v>0.27909763623835299</v>
      </c>
      <c r="O114" s="72">
        <v>4.4999999999999998E-2</v>
      </c>
      <c r="P114" s="64">
        <v>12.58</v>
      </c>
    </row>
    <row r="115" spans="2:16" hidden="1" x14ac:dyDescent="0.3">
      <c r="B115" s="27">
        <v>106</v>
      </c>
      <c r="C115" s="130">
        <v>44734</v>
      </c>
      <c r="D115" s="27">
        <v>2</v>
      </c>
      <c r="E115" s="27" t="s">
        <v>1036</v>
      </c>
      <c r="F115" s="27" t="s">
        <v>1037</v>
      </c>
      <c r="G115" s="39">
        <v>306.04000000000002</v>
      </c>
      <c r="H115" s="39"/>
      <c r="I115" s="27" t="s">
        <v>71</v>
      </c>
      <c r="J115" s="27">
        <v>7344</v>
      </c>
      <c r="K115" s="39">
        <v>208.38</v>
      </c>
      <c r="L115" s="27">
        <v>2929</v>
      </c>
      <c r="M115" s="64">
        <v>97.66</v>
      </c>
      <c r="N115" s="72">
        <v>0.31910861325317003</v>
      </c>
      <c r="O115" s="72">
        <v>5.2499999999999998E-2</v>
      </c>
      <c r="P115" s="64">
        <v>5.13</v>
      </c>
    </row>
    <row r="116" spans="2:16" hidden="1" x14ac:dyDescent="0.3">
      <c r="B116" s="27">
        <v>107</v>
      </c>
      <c r="C116" s="130">
        <v>44711</v>
      </c>
      <c r="D116" s="27">
        <v>2</v>
      </c>
      <c r="E116" s="27" t="s">
        <v>1039</v>
      </c>
      <c r="F116" s="27" t="s">
        <v>1067</v>
      </c>
      <c r="G116" s="39">
        <v>4039.02</v>
      </c>
      <c r="H116" s="39"/>
      <c r="I116" s="27" t="s">
        <v>200</v>
      </c>
      <c r="J116" s="27"/>
      <c r="K116" s="39">
        <v>3117.84</v>
      </c>
      <c r="L116" s="27">
        <v>382420</v>
      </c>
      <c r="M116" s="64">
        <v>921.18</v>
      </c>
      <c r="N116" s="72">
        <v>0.22807017543859601</v>
      </c>
      <c r="O116" s="72">
        <v>3.5000000000000003E-2</v>
      </c>
      <c r="P116" s="64">
        <v>32.24</v>
      </c>
    </row>
    <row r="117" spans="2:16" hidden="1" x14ac:dyDescent="0.3">
      <c r="B117" s="27">
        <v>108</v>
      </c>
      <c r="C117" s="130">
        <v>44735</v>
      </c>
      <c r="D117" s="27">
        <v>2</v>
      </c>
      <c r="E117" s="27" t="s">
        <v>1110</v>
      </c>
      <c r="F117" s="27" t="s">
        <v>1111</v>
      </c>
      <c r="G117" s="39">
        <v>1079.18</v>
      </c>
      <c r="H117" s="39"/>
      <c r="I117" s="27" t="s">
        <v>71</v>
      </c>
      <c r="J117" s="27">
        <v>7117</v>
      </c>
      <c r="K117" s="39">
        <v>776.1</v>
      </c>
      <c r="L117" s="27">
        <v>2804</v>
      </c>
      <c r="M117" s="64">
        <v>303.08</v>
      </c>
      <c r="N117" s="72">
        <v>0.28084286217313098</v>
      </c>
      <c r="O117" s="72">
        <v>0.05</v>
      </c>
      <c r="P117" s="64">
        <v>15.15</v>
      </c>
    </row>
    <row r="118" spans="2:16" hidden="1" x14ac:dyDescent="0.3">
      <c r="B118" s="27">
        <v>109</v>
      </c>
      <c r="C118" s="130">
        <v>44736</v>
      </c>
      <c r="D118" s="27">
        <v>2</v>
      </c>
      <c r="E118" s="27" t="s">
        <v>1076</v>
      </c>
      <c r="F118" s="27" t="s">
        <v>1112</v>
      </c>
      <c r="G118" s="39">
        <v>2745</v>
      </c>
      <c r="H118" s="39"/>
      <c r="I118" s="27" t="s">
        <v>71</v>
      </c>
      <c r="J118" s="27">
        <v>7277</v>
      </c>
      <c r="K118" s="39">
        <v>1912.36</v>
      </c>
      <c r="L118" s="27">
        <v>2900</v>
      </c>
      <c r="M118" s="64">
        <v>832.64</v>
      </c>
      <c r="N118" s="72">
        <v>0.30332969034608398</v>
      </c>
      <c r="O118" s="72">
        <v>5.2499999999999998E-2</v>
      </c>
      <c r="P118" s="64">
        <v>43.71</v>
      </c>
    </row>
    <row r="119" spans="2:16" hidden="1" x14ac:dyDescent="0.3">
      <c r="B119" s="27">
        <v>110</v>
      </c>
      <c r="C119" s="130">
        <v>44726</v>
      </c>
      <c r="D119" s="27">
        <v>2</v>
      </c>
      <c r="E119" s="27" t="s">
        <v>1113</v>
      </c>
      <c r="F119" s="27" t="s">
        <v>1114</v>
      </c>
      <c r="G119" s="39">
        <v>1256.08</v>
      </c>
      <c r="H119" s="39"/>
      <c r="I119" s="27" t="s">
        <v>71</v>
      </c>
      <c r="J119" s="27">
        <v>7886</v>
      </c>
      <c r="K119" s="39">
        <v>762.78</v>
      </c>
      <c r="L119" s="27">
        <v>3126</v>
      </c>
      <c r="M119" s="64">
        <v>493.3</v>
      </c>
      <c r="N119" s="72">
        <v>0.392729762435514</v>
      </c>
      <c r="O119" s="72">
        <v>6.25E-2</v>
      </c>
      <c r="P119" s="64">
        <v>30.83</v>
      </c>
    </row>
    <row r="120" spans="2:16" hidden="1" x14ac:dyDescent="0.3">
      <c r="B120" s="27">
        <v>111</v>
      </c>
      <c r="C120" s="130">
        <v>44760</v>
      </c>
      <c r="D120" s="27">
        <v>3</v>
      </c>
      <c r="E120" s="27" t="s">
        <v>1079</v>
      </c>
      <c r="F120" s="27" t="s">
        <v>1115</v>
      </c>
      <c r="G120" s="39">
        <v>1185.0899999999999</v>
      </c>
      <c r="H120" s="39"/>
      <c r="I120" s="27" t="s">
        <v>71</v>
      </c>
      <c r="J120" s="27">
        <v>7830</v>
      </c>
      <c r="K120" s="39">
        <v>849.88</v>
      </c>
      <c r="L120" s="27">
        <v>3109</v>
      </c>
      <c r="M120" s="64">
        <v>335.21</v>
      </c>
      <c r="N120" s="72">
        <v>0.28285615438489897</v>
      </c>
      <c r="O120" s="72">
        <v>0.05</v>
      </c>
      <c r="P120" s="64">
        <v>16.760000000000002</v>
      </c>
    </row>
    <row r="121" spans="2:16" hidden="1" x14ac:dyDescent="0.3">
      <c r="B121" s="27">
        <v>112</v>
      </c>
      <c r="C121" s="130">
        <v>44734</v>
      </c>
      <c r="D121" s="27">
        <v>2</v>
      </c>
      <c r="E121" s="27" t="s">
        <v>1082</v>
      </c>
      <c r="F121" s="27" t="s">
        <v>1116</v>
      </c>
      <c r="G121" s="39">
        <v>1724.55</v>
      </c>
      <c r="H121" s="39">
        <v>246.66</v>
      </c>
      <c r="I121" s="27" t="s">
        <v>71</v>
      </c>
      <c r="J121" s="27">
        <v>6484</v>
      </c>
      <c r="K121" s="39">
        <v>954.75</v>
      </c>
      <c r="L121" s="27">
        <v>2611</v>
      </c>
      <c r="M121" s="64">
        <v>523.14</v>
      </c>
      <c r="N121" s="72">
        <v>0.30334869966078098</v>
      </c>
      <c r="O121" s="72">
        <v>5.2499999999999998E-2</v>
      </c>
      <c r="P121" s="64">
        <v>27.46</v>
      </c>
    </row>
    <row r="122" spans="2:16" hidden="1" x14ac:dyDescent="0.3">
      <c r="B122" s="27">
        <v>113</v>
      </c>
      <c r="C122" s="130">
        <v>44760</v>
      </c>
      <c r="D122" s="27">
        <v>3</v>
      </c>
      <c r="E122" s="27" t="s">
        <v>1084</v>
      </c>
      <c r="F122" s="27" t="s">
        <v>1117</v>
      </c>
      <c r="G122" s="39">
        <v>1220.48</v>
      </c>
      <c r="H122" s="39"/>
      <c r="I122" s="27" t="s">
        <v>71</v>
      </c>
      <c r="J122" s="27">
        <v>7844</v>
      </c>
      <c r="K122" s="39">
        <v>707.11</v>
      </c>
      <c r="L122" s="27">
        <v>3108</v>
      </c>
      <c r="M122" s="64">
        <v>513.37</v>
      </c>
      <c r="N122" s="72">
        <v>0.42062958835867897</v>
      </c>
      <c r="O122" s="72">
        <v>6.7500000000000004E-2</v>
      </c>
      <c r="P122" s="64">
        <v>34.65</v>
      </c>
    </row>
    <row r="123" spans="2:16" hidden="1" x14ac:dyDescent="0.3">
      <c r="B123" s="27">
        <v>114</v>
      </c>
      <c r="C123" s="130">
        <v>44753</v>
      </c>
      <c r="D123" s="27">
        <v>3</v>
      </c>
      <c r="E123" s="27" t="s">
        <v>1089</v>
      </c>
      <c r="F123" s="27" t="s">
        <v>872</v>
      </c>
      <c r="G123" s="39">
        <v>5148.8</v>
      </c>
      <c r="H123" s="39"/>
      <c r="I123" s="27" t="s">
        <v>629</v>
      </c>
      <c r="J123" s="27"/>
      <c r="K123" s="39">
        <v>4040</v>
      </c>
      <c r="L123" s="27" t="s">
        <v>1090</v>
      </c>
      <c r="M123" s="64">
        <v>1108.8</v>
      </c>
      <c r="N123" s="72">
        <v>0.21535114978247399</v>
      </c>
      <c r="O123" s="72">
        <v>0.03</v>
      </c>
      <c r="P123" s="64">
        <v>33.26</v>
      </c>
    </row>
    <row r="124" spans="2:16" hidden="1" x14ac:dyDescent="0.3">
      <c r="B124" s="27">
        <v>115</v>
      </c>
      <c r="C124" s="130">
        <v>44753</v>
      </c>
      <c r="D124" s="27">
        <v>3</v>
      </c>
      <c r="E124" s="27" t="s">
        <v>1107</v>
      </c>
      <c r="F124" s="27" t="s">
        <v>556</v>
      </c>
      <c r="G124" s="39">
        <v>5940</v>
      </c>
      <c r="H124" s="39"/>
      <c r="I124" s="27" t="s">
        <v>69</v>
      </c>
      <c r="J124" s="27"/>
      <c r="K124" s="39">
        <v>4702.41</v>
      </c>
      <c r="L124" s="27" t="s">
        <v>1109</v>
      </c>
      <c r="M124" s="64">
        <v>1237.5899999999999</v>
      </c>
      <c r="N124" s="72">
        <v>0.208348484848485</v>
      </c>
      <c r="O124" s="72">
        <v>0.03</v>
      </c>
      <c r="P124" s="64">
        <v>37.130000000000003</v>
      </c>
    </row>
    <row r="125" spans="2:16" hidden="1" x14ac:dyDescent="0.3">
      <c r="B125" s="27">
        <v>116</v>
      </c>
      <c r="C125" s="130">
        <v>44762</v>
      </c>
      <c r="D125" s="27">
        <v>3</v>
      </c>
      <c r="E125" s="27" t="s">
        <v>1120</v>
      </c>
      <c r="F125" s="27" t="s">
        <v>1150</v>
      </c>
      <c r="G125" s="39">
        <v>11277.5</v>
      </c>
      <c r="H125" s="39"/>
      <c r="I125" s="27" t="s">
        <v>201</v>
      </c>
      <c r="J125" s="27"/>
      <c r="K125" s="39">
        <v>6502.75</v>
      </c>
      <c r="L125" s="27">
        <v>4559</v>
      </c>
      <c r="M125" s="64">
        <v>4774.75</v>
      </c>
      <c r="N125" s="72">
        <v>0.42338727554865901</v>
      </c>
      <c r="O125" s="72">
        <v>6.7500000000000004E-2</v>
      </c>
      <c r="P125" s="64">
        <v>322.3</v>
      </c>
    </row>
    <row r="126" spans="2:16" hidden="1" x14ac:dyDescent="0.3">
      <c r="B126" s="27">
        <v>117</v>
      </c>
      <c r="C126" s="130">
        <v>44804</v>
      </c>
      <c r="D126" s="27">
        <v>3</v>
      </c>
      <c r="E126" s="27" t="s">
        <v>1151</v>
      </c>
      <c r="F126" s="27" t="s">
        <v>1152</v>
      </c>
      <c r="G126" s="39">
        <v>1082.8399999999999</v>
      </c>
      <c r="H126" s="39"/>
      <c r="I126" s="27" t="s">
        <v>71</v>
      </c>
      <c r="J126" s="27">
        <v>9556</v>
      </c>
      <c r="K126" s="39">
        <v>660.21</v>
      </c>
      <c r="L126" s="27">
        <v>3944</v>
      </c>
      <c r="M126" s="64">
        <v>422.63</v>
      </c>
      <c r="N126" s="72">
        <v>0.390297735584204</v>
      </c>
      <c r="O126" s="72">
        <v>6.25E-2</v>
      </c>
      <c r="P126" s="64">
        <v>26.41</v>
      </c>
    </row>
    <row r="127" spans="2:16" hidden="1" x14ac:dyDescent="0.3">
      <c r="B127" s="27">
        <v>118</v>
      </c>
      <c r="C127" s="130">
        <v>44795</v>
      </c>
      <c r="D127" s="27">
        <v>3</v>
      </c>
      <c r="E127" s="27" t="s">
        <v>1153</v>
      </c>
      <c r="F127" s="27" t="s">
        <v>1154</v>
      </c>
      <c r="G127" s="39">
        <v>1907.75</v>
      </c>
      <c r="H127" s="39"/>
      <c r="I127" s="27" t="s">
        <v>71</v>
      </c>
      <c r="J127" s="27">
        <v>9778</v>
      </c>
      <c r="K127" s="39">
        <v>1746.65</v>
      </c>
      <c r="L127" s="27">
        <v>3534</v>
      </c>
      <c r="M127" s="64">
        <v>161.1</v>
      </c>
      <c r="N127" s="72">
        <v>8.4445026864106904E-2</v>
      </c>
      <c r="O127" s="72">
        <v>1.4999999999999999E-2</v>
      </c>
      <c r="P127" s="64">
        <v>2.42</v>
      </c>
    </row>
    <row r="128" spans="2:16" hidden="1" x14ac:dyDescent="0.3">
      <c r="B128" s="27">
        <v>119</v>
      </c>
      <c r="C128" s="130">
        <v>44809</v>
      </c>
      <c r="D128" s="27">
        <v>3</v>
      </c>
      <c r="E128" s="27" t="s">
        <v>1155</v>
      </c>
      <c r="F128" s="27" t="s">
        <v>1156</v>
      </c>
      <c r="G128" s="39">
        <v>2274</v>
      </c>
      <c r="H128" s="39"/>
      <c r="I128" s="27" t="s">
        <v>201</v>
      </c>
      <c r="J128" s="27"/>
      <c r="K128" s="39">
        <v>1106.03</v>
      </c>
      <c r="L128" s="27">
        <v>5480</v>
      </c>
      <c r="M128" s="64">
        <v>1167.97</v>
      </c>
      <c r="N128" s="72">
        <v>0.51361917326297302</v>
      </c>
      <c r="O128" s="72">
        <v>7.0000000000000007E-2</v>
      </c>
      <c r="P128" s="64">
        <v>81.760000000000005</v>
      </c>
    </row>
    <row r="129" spans="2:16" hidden="1" x14ac:dyDescent="0.3">
      <c r="B129" s="27">
        <v>120</v>
      </c>
      <c r="C129" s="130">
        <v>44768</v>
      </c>
      <c r="D129" s="27">
        <v>3</v>
      </c>
      <c r="E129" s="27" t="s">
        <v>1157</v>
      </c>
      <c r="F129" s="27" t="s">
        <v>1158</v>
      </c>
      <c r="G129" s="39">
        <v>9435.26</v>
      </c>
      <c r="H129" s="39"/>
      <c r="I129" s="27" t="s">
        <v>388</v>
      </c>
      <c r="J129" s="27">
        <v>696522</v>
      </c>
      <c r="K129" s="39">
        <v>5424.16</v>
      </c>
      <c r="L129" s="27">
        <v>17240</v>
      </c>
      <c r="M129" s="64">
        <v>4011.1</v>
      </c>
      <c r="N129" s="72">
        <v>0.42511812075131</v>
      </c>
      <c r="O129" s="72">
        <v>6.7500000000000004E-2</v>
      </c>
      <c r="P129" s="64">
        <v>270.75</v>
      </c>
    </row>
    <row r="130" spans="2:16" hidden="1" x14ac:dyDescent="0.3">
      <c r="B130" s="27">
        <v>121</v>
      </c>
      <c r="C130" s="130">
        <v>44809</v>
      </c>
      <c r="D130" s="27">
        <v>3</v>
      </c>
      <c r="E130" s="27" t="s">
        <v>1159</v>
      </c>
      <c r="F130" s="27" t="s">
        <v>1160</v>
      </c>
      <c r="G130" s="39">
        <v>10945.2</v>
      </c>
      <c r="H130" s="39"/>
      <c r="I130" s="27" t="s">
        <v>69</v>
      </c>
      <c r="J130" s="27"/>
      <c r="K130" s="39">
        <v>7295.82</v>
      </c>
      <c r="L130" s="27">
        <v>10548</v>
      </c>
      <c r="M130" s="64">
        <v>3649.38</v>
      </c>
      <c r="N130" s="72">
        <v>0.333422870299309</v>
      </c>
      <c r="O130" s="72">
        <v>5.5E-2</v>
      </c>
      <c r="P130" s="64">
        <v>200.72</v>
      </c>
    </row>
    <row r="131" spans="2:16" hidden="1" x14ac:dyDescent="0.3">
      <c r="B131" s="27">
        <v>122</v>
      </c>
      <c r="C131" s="130">
        <v>44803</v>
      </c>
      <c r="D131" s="27">
        <v>3</v>
      </c>
      <c r="E131" s="27" t="s">
        <v>1161</v>
      </c>
      <c r="F131" s="27" t="s">
        <v>1162</v>
      </c>
      <c r="G131" s="39">
        <v>2484</v>
      </c>
      <c r="H131" s="39"/>
      <c r="I131" s="27" t="s">
        <v>71</v>
      </c>
      <c r="J131" s="27">
        <v>10046</v>
      </c>
      <c r="K131" s="39">
        <v>1730.73</v>
      </c>
      <c r="L131" s="27">
        <v>4068</v>
      </c>
      <c r="M131" s="64">
        <v>753.27</v>
      </c>
      <c r="N131" s="72">
        <v>0.30324879227053098</v>
      </c>
      <c r="O131" s="72">
        <v>5.2499999999999998E-2</v>
      </c>
      <c r="P131" s="64">
        <v>39.549999999999997</v>
      </c>
    </row>
    <row r="132" spans="2:16" hidden="1" x14ac:dyDescent="0.3">
      <c r="B132" s="27">
        <v>123</v>
      </c>
      <c r="C132" s="130">
        <v>44825</v>
      </c>
      <c r="D132" s="27">
        <v>3</v>
      </c>
      <c r="E132" s="27" t="s">
        <v>1163</v>
      </c>
      <c r="F132" s="27" t="s">
        <v>1164</v>
      </c>
      <c r="G132" s="39">
        <v>10539.43</v>
      </c>
      <c r="H132" s="39">
        <v>1580.91</v>
      </c>
      <c r="I132" s="27" t="s">
        <v>71</v>
      </c>
      <c r="J132" s="27">
        <v>10161</v>
      </c>
      <c r="K132" s="39">
        <v>6571.76</v>
      </c>
      <c r="L132" s="27">
        <v>4179</v>
      </c>
      <c r="M132" s="64">
        <v>2386.7600000000002</v>
      </c>
      <c r="N132" s="72">
        <v>0.226460064728358</v>
      </c>
      <c r="O132" s="72">
        <v>3.5000000000000003E-2</v>
      </c>
      <c r="P132" s="64">
        <v>83.54</v>
      </c>
    </row>
    <row r="133" spans="2:16" hidden="1" x14ac:dyDescent="0.3">
      <c r="B133" s="27">
        <v>124</v>
      </c>
      <c r="C133" s="130">
        <v>44809</v>
      </c>
      <c r="D133" s="27">
        <v>3</v>
      </c>
      <c r="E133" s="27" t="s">
        <v>1165</v>
      </c>
      <c r="F133" s="27" t="s">
        <v>1166</v>
      </c>
      <c r="G133" s="39">
        <v>27754.2</v>
      </c>
      <c r="H133" s="39">
        <v>4163.13</v>
      </c>
      <c r="I133" s="27" t="s">
        <v>69</v>
      </c>
      <c r="J133" s="27"/>
      <c r="K133" s="39">
        <v>14505.75</v>
      </c>
      <c r="L133" s="27" t="s">
        <v>1167</v>
      </c>
      <c r="M133" s="64">
        <v>9085.32</v>
      </c>
      <c r="N133" s="72">
        <v>0.32734937414877702</v>
      </c>
      <c r="O133" s="72">
        <v>5.5E-2</v>
      </c>
      <c r="P133" s="64">
        <v>499.69</v>
      </c>
    </row>
    <row r="134" spans="2:16" hidden="1" x14ac:dyDescent="0.3">
      <c r="B134" s="27">
        <v>125</v>
      </c>
      <c r="C134" s="130">
        <v>44838</v>
      </c>
      <c r="D134" s="27">
        <v>4</v>
      </c>
      <c r="E134" s="27" t="s">
        <v>1168</v>
      </c>
      <c r="F134" s="27" t="s">
        <v>1169</v>
      </c>
      <c r="G134" s="39">
        <v>298.39999999999998</v>
      </c>
      <c r="H134" s="39"/>
      <c r="I134" s="27" t="s">
        <v>71</v>
      </c>
      <c r="J134" s="27">
        <v>10621</v>
      </c>
      <c r="K134" s="39">
        <v>222.64</v>
      </c>
      <c r="L134" s="27">
        <v>4310</v>
      </c>
      <c r="M134" s="64">
        <v>75.760000000000005</v>
      </c>
      <c r="N134" s="72">
        <v>0.25388739946380701</v>
      </c>
      <c r="O134" s="72">
        <v>0.04</v>
      </c>
      <c r="P134" s="64">
        <v>3.03</v>
      </c>
    </row>
    <row r="135" spans="2:16" hidden="1" x14ac:dyDescent="0.3">
      <c r="B135" s="27">
        <v>126</v>
      </c>
      <c r="C135" s="130">
        <v>44839</v>
      </c>
      <c r="D135" s="27">
        <v>4</v>
      </c>
      <c r="E135" s="27" t="s">
        <v>1170</v>
      </c>
      <c r="F135" s="27" t="s">
        <v>1171</v>
      </c>
      <c r="G135" s="39">
        <v>1689.6</v>
      </c>
      <c r="H135" s="39"/>
      <c r="I135" s="27" t="s">
        <v>71</v>
      </c>
      <c r="J135" s="27">
        <v>10684</v>
      </c>
      <c r="K135" s="39">
        <v>1103.52</v>
      </c>
      <c r="L135" s="27">
        <v>4351</v>
      </c>
      <c r="M135" s="64">
        <v>586.08000000000004</v>
      </c>
      <c r="N135" s="72">
        <v>0.34687499999999999</v>
      </c>
      <c r="O135" s="72">
        <v>5.7500000000000002E-2</v>
      </c>
      <c r="P135" s="64">
        <v>33.700000000000003</v>
      </c>
    </row>
    <row r="136" spans="2:16" hidden="1" x14ac:dyDescent="0.3">
      <c r="B136" s="27">
        <v>127</v>
      </c>
      <c r="C136" s="130">
        <v>44778</v>
      </c>
      <c r="D136" s="27">
        <v>3</v>
      </c>
      <c r="E136" s="27" t="s">
        <v>1172</v>
      </c>
      <c r="F136" s="27" t="s">
        <v>1173</v>
      </c>
      <c r="G136" s="39">
        <v>2215</v>
      </c>
      <c r="H136" s="39"/>
      <c r="I136" s="27" t="s">
        <v>72</v>
      </c>
      <c r="J136" s="27"/>
      <c r="K136" s="39">
        <v>1583.5</v>
      </c>
      <c r="L136" s="27">
        <v>34441</v>
      </c>
      <c r="M136" s="64">
        <v>631.5</v>
      </c>
      <c r="N136" s="72">
        <v>0.28510158013544001</v>
      </c>
      <c r="O136" s="72">
        <v>0.05</v>
      </c>
      <c r="P136" s="64">
        <v>31.58</v>
      </c>
    </row>
    <row r="137" spans="2:16" hidden="1" x14ac:dyDescent="0.3">
      <c r="B137" s="27">
        <v>128</v>
      </c>
      <c r="C137" s="130">
        <v>44834</v>
      </c>
      <c r="D137" s="27">
        <v>3</v>
      </c>
      <c r="E137" s="27" t="s">
        <v>1174</v>
      </c>
      <c r="F137" s="27" t="s">
        <v>1175</v>
      </c>
      <c r="G137" s="39">
        <v>135412</v>
      </c>
      <c r="H137" s="39"/>
      <c r="I137" s="27">
        <v>53</v>
      </c>
      <c r="J137" s="27"/>
      <c r="K137" s="39">
        <v>87674.32</v>
      </c>
      <c r="L137" s="27"/>
      <c r="M137" s="64">
        <v>47737.68</v>
      </c>
      <c r="N137" s="72">
        <v>0.35253655510589899</v>
      </c>
      <c r="O137" s="72">
        <v>5.7500000000000002E-2</v>
      </c>
      <c r="P137" s="64">
        <v>2744.92</v>
      </c>
    </row>
    <row r="138" spans="2:16" hidden="1" x14ac:dyDescent="0.3">
      <c r="B138" s="27">
        <v>129</v>
      </c>
      <c r="C138" s="130">
        <v>44833</v>
      </c>
      <c r="D138" s="27">
        <v>3</v>
      </c>
      <c r="E138" s="27" t="s">
        <v>1176</v>
      </c>
      <c r="F138" s="27" t="s">
        <v>354</v>
      </c>
      <c r="G138" s="39">
        <v>2617.1999999999998</v>
      </c>
      <c r="H138" s="39"/>
      <c r="I138" s="27">
        <v>53</v>
      </c>
      <c r="J138" s="27">
        <v>718710</v>
      </c>
      <c r="K138" s="39">
        <v>2174.52</v>
      </c>
      <c r="L138" s="27">
        <v>21802</v>
      </c>
      <c r="M138" s="64">
        <v>442.68</v>
      </c>
      <c r="N138" s="72">
        <v>0.169142595139844</v>
      </c>
      <c r="O138" s="72">
        <v>0.02</v>
      </c>
      <c r="P138" s="64">
        <v>8.85</v>
      </c>
    </row>
    <row r="139" spans="2:16" hidden="1" x14ac:dyDescent="0.3">
      <c r="B139" s="27">
        <v>130</v>
      </c>
      <c r="C139" s="130">
        <v>44823</v>
      </c>
      <c r="D139" s="27">
        <v>3</v>
      </c>
      <c r="E139" s="27" t="s">
        <v>1404</v>
      </c>
      <c r="F139" s="27" t="s">
        <v>1405</v>
      </c>
      <c r="G139" s="39">
        <v>250.22</v>
      </c>
      <c r="H139" s="39"/>
      <c r="I139" s="27" t="s">
        <v>72</v>
      </c>
      <c r="J139" s="27"/>
      <c r="K139" s="39">
        <v>171.9</v>
      </c>
      <c r="L139" s="27">
        <v>34381</v>
      </c>
      <c r="M139" s="64">
        <v>78.319999999999993</v>
      </c>
      <c r="N139" s="72">
        <v>0.31300455599072802</v>
      </c>
      <c r="O139" s="72">
        <v>5.2499999999999998E-2</v>
      </c>
      <c r="P139" s="64">
        <v>4.1100000000000003</v>
      </c>
    </row>
    <row r="140" spans="2:16" hidden="1" x14ac:dyDescent="0.3">
      <c r="B140" s="27">
        <v>131</v>
      </c>
      <c r="C140" s="130">
        <v>44844</v>
      </c>
      <c r="D140" s="27">
        <v>4</v>
      </c>
      <c r="E140" s="27" t="s">
        <v>1406</v>
      </c>
      <c r="F140" s="27" t="s">
        <v>1407</v>
      </c>
      <c r="G140" s="39">
        <v>426.3</v>
      </c>
      <c r="H140" s="39"/>
      <c r="I140" s="27" t="s">
        <v>630</v>
      </c>
      <c r="J140" s="27">
        <v>4460</v>
      </c>
      <c r="K140" s="39">
        <v>259.60000000000002</v>
      </c>
      <c r="L140" s="27">
        <v>4995</v>
      </c>
      <c r="M140" s="64">
        <v>166.7</v>
      </c>
      <c r="N140" s="72">
        <v>0.39103917429040602</v>
      </c>
      <c r="O140" s="72">
        <v>6.25E-2</v>
      </c>
      <c r="P140" s="64">
        <v>10.42</v>
      </c>
    </row>
    <row r="141" spans="2:16" hidden="1" x14ac:dyDescent="0.3">
      <c r="B141" s="27">
        <v>132</v>
      </c>
      <c r="C141" s="130">
        <v>44848</v>
      </c>
      <c r="D141" s="27">
        <v>4</v>
      </c>
      <c r="E141" s="27" t="s">
        <v>1408</v>
      </c>
      <c r="F141" s="27" t="s">
        <v>1409</v>
      </c>
      <c r="G141" s="39">
        <v>2822.4</v>
      </c>
      <c r="H141" s="39"/>
      <c r="I141" s="27" t="s">
        <v>630</v>
      </c>
      <c r="J141" s="27"/>
      <c r="K141" s="39">
        <v>1414.4</v>
      </c>
      <c r="L141" s="27">
        <v>4996</v>
      </c>
      <c r="M141" s="64">
        <v>1408</v>
      </c>
      <c r="N141" s="72">
        <v>0.49886621315192697</v>
      </c>
      <c r="O141" s="72">
        <v>7.0000000000000007E-2</v>
      </c>
      <c r="P141" s="64">
        <v>98.56</v>
      </c>
    </row>
    <row r="142" spans="2:16" hidden="1" x14ac:dyDescent="0.3">
      <c r="B142" s="27">
        <v>133</v>
      </c>
      <c r="C142" s="130">
        <v>44848</v>
      </c>
      <c r="D142" s="27">
        <v>4</v>
      </c>
      <c r="E142" s="27" t="s">
        <v>1316</v>
      </c>
      <c r="F142" s="27" t="s">
        <v>983</v>
      </c>
      <c r="G142" s="39">
        <v>1873.79</v>
      </c>
      <c r="H142" s="39"/>
      <c r="I142" s="27" t="s">
        <v>200</v>
      </c>
      <c r="J142" s="27"/>
      <c r="K142" s="39">
        <v>1288.24</v>
      </c>
      <c r="L142" s="27">
        <v>383156</v>
      </c>
      <c r="M142" s="64">
        <v>585.54999999999995</v>
      </c>
      <c r="N142" s="72">
        <v>0.31249499677124998</v>
      </c>
      <c r="O142" s="72">
        <v>5.2499999999999998E-2</v>
      </c>
      <c r="P142" s="64">
        <v>30.74</v>
      </c>
    </row>
    <row r="143" spans="2:16" hidden="1" x14ac:dyDescent="0.3">
      <c r="B143" s="27">
        <v>134</v>
      </c>
      <c r="C143" s="130">
        <v>44861</v>
      </c>
      <c r="D143" s="27">
        <v>4</v>
      </c>
      <c r="E143" s="27" t="s">
        <v>1319</v>
      </c>
      <c r="F143" s="27" t="s">
        <v>1410</v>
      </c>
      <c r="G143" s="39">
        <v>1239.7</v>
      </c>
      <c r="H143" s="39"/>
      <c r="I143" s="27" t="s">
        <v>71</v>
      </c>
      <c r="J143" s="27">
        <v>11618</v>
      </c>
      <c r="K143" s="39">
        <v>837.44</v>
      </c>
      <c r="L143" s="27">
        <v>4709</v>
      </c>
      <c r="M143" s="64">
        <v>402.26</v>
      </c>
      <c r="N143" s="72">
        <v>0.32448172945067399</v>
      </c>
      <c r="O143" s="72">
        <v>5.5E-2</v>
      </c>
      <c r="P143" s="64">
        <v>22.12</v>
      </c>
    </row>
    <row r="144" spans="2:16" hidden="1" x14ac:dyDescent="0.3">
      <c r="B144" s="27">
        <v>135</v>
      </c>
      <c r="C144" s="130">
        <v>44879</v>
      </c>
      <c r="D144" s="27">
        <v>4</v>
      </c>
      <c r="E144" s="27" t="s">
        <v>1322</v>
      </c>
      <c r="F144" s="27" t="s">
        <v>1411</v>
      </c>
      <c r="G144" s="39">
        <v>931.76</v>
      </c>
      <c r="H144" s="39"/>
      <c r="I144" s="27" t="s">
        <v>71</v>
      </c>
      <c r="J144" s="27">
        <v>11931</v>
      </c>
      <c r="K144" s="39">
        <v>636.30999999999995</v>
      </c>
      <c r="L144" s="27">
        <v>4784</v>
      </c>
      <c r="M144" s="64">
        <v>295.45</v>
      </c>
      <c r="N144" s="72">
        <v>0.31708809135399701</v>
      </c>
      <c r="O144" s="72">
        <v>5.2499999999999998E-2</v>
      </c>
      <c r="P144" s="64">
        <v>15.51</v>
      </c>
    </row>
    <row r="145" spans="2:16" hidden="1" x14ac:dyDescent="0.3">
      <c r="B145" s="27">
        <v>136</v>
      </c>
      <c r="C145" s="130">
        <v>44846</v>
      </c>
      <c r="D145" s="27">
        <v>4</v>
      </c>
      <c r="E145" s="27" t="s">
        <v>1412</v>
      </c>
      <c r="F145" s="27" t="s">
        <v>1413</v>
      </c>
      <c r="G145" s="39">
        <v>3198.4</v>
      </c>
      <c r="H145" s="39"/>
      <c r="I145" s="27" t="s">
        <v>630</v>
      </c>
      <c r="J145" s="27"/>
      <c r="K145" s="39">
        <v>1599.2</v>
      </c>
      <c r="L145" s="27">
        <v>5083</v>
      </c>
      <c r="M145" s="64">
        <v>1599.2</v>
      </c>
      <c r="N145" s="72">
        <v>0.5</v>
      </c>
      <c r="O145" s="72">
        <v>7.0000000000000007E-2</v>
      </c>
      <c r="P145" s="64">
        <v>111.94</v>
      </c>
    </row>
    <row r="146" spans="2:16" hidden="1" x14ac:dyDescent="0.3">
      <c r="B146" s="27">
        <v>137</v>
      </c>
      <c r="C146" s="130">
        <v>44851</v>
      </c>
      <c r="D146" s="27">
        <v>4</v>
      </c>
      <c r="E146" s="27" t="s">
        <v>1414</v>
      </c>
      <c r="F146" s="27" t="s">
        <v>1415</v>
      </c>
      <c r="G146" s="39">
        <v>1808.8</v>
      </c>
      <c r="H146" s="39"/>
      <c r="I146" s="27" t="s">
        <v>70</v>
      </c>
      <c r="J146" s="27"/>
      <c r="K146" s="39">
        <v>1061.1199999999999</v>
      </c>
      <c r="L146" s="27" t="s">
        <v>1337</v>
      </c>
      <c r="M146" s="64">
        <v>747.68</v>
      </c>
      <c r="N146" s="72">
        <v>0.41335692171605498</v>
      </c>
      <c r="O146" s="72">
        <v>6.5000000000000002E-2</v>
      </c>
      <c r="P146" s="64">
        <v>48.6</v>
      </c>
    </row>
    <row r="147" spans="2:16" hidden="1" x14ac:dyDescent="0.3">
      <c r="B147" s="27">
        <v>138</v>
      </c>
      <c r="C147" s="130">
        <v>44861</v>
      </c>
      <c r="D147" s="27">
        <v>4</v>
      </c>
      <c r="E147" s="27" t="s">
        <v>1342</v>
      </c>
      <c r="F147" s="27" t="s">
        <v>1416</v>
      </c>
      <c r="G147" s="39">
        <v>16766.400000000001</v>
      </c>
      <c r="H147" s="39"/>
      <c r="I147" s="27" t="s">
        <v>201</v>
      </c>
      <c r="J147" s="27"/>
      <c r="K147" s="39">
        <v>11619.1</v>
      </c>
      <c r="L147" s="27">
        <v>8128</v>
      </c>
      <c r="M147" s="64">
        <v>5147.3</v>
      </c>
      <c r="N147" s="72">
        <v>0.30700090657505502</v>
      </c>
      <c r="O147" s="72">
        <v>5.2499999999999998E-2</v>
      </c>
      <c r="P147" s="64">
        <v>270.23</v>
      </c>
    </row>
    <row r="148" spans="2:16" hidden="1" x14ac:dyDescent="0.3">
      <c r="B148" s="27">
        <v>139</v>
      </c>
      <c r="C148" s="130">
        <v>44908</v>
      </c>
      <c r="D148" s="27">
        <v>4</v>
      </c>
      <c r="E148" s="27" t="s">
        <v>1417</v>
      </c>
      <c r="F148" s="27" t="s">
        <v>1418</v>
      </c>
      <c r="G148" s="39">
        <v>3822</v>
      </c>
      <c r="H148" s="39"/>
      <c r="I148" s="27" t="s">
        <v>71</v>
      </c>
      <c r="J148" s="27">
        <v>13131</v>
      </c>
      <c r="K148" s="39">
        <v>2662.66</v>
      </c>
      <c r="L148" s="27">
        <v>5279</v>
      </c>
      <c r="M148" s="64">
        <v>1159.3399999999999</v>
      </c>
      <c r="N148" s="72">
        <v>0.30333333333333301</v>
      </c>
      <c r="O148" s="72">
        <v>5.2499999999999998E-2</v>
      </c>
      <c r="P148" s="64">
        <v>60.87</v>
      </c>
    </row>
    <row r="149" spans="2:16" hidden="1" x14ac:dyDescent="0.3">
      <c r="B149" s="27">
        <v>140</v>
      </c>
      <c r="C149" s="130">
        <v>44915</v>
      </c>
      <c r="D149" s="27">
        <v>4</v>
      </c>
      <c r="E149" s="27" t="s">
        <v>1351</v>
      </c>
      <c r="F149" s="27" t="s">
        <v>1419</v>
      </c>
      <c r="G149" s="39">
        <v>4241.6000000000004</v>
      </c>
      <c r="H149" s="39"/>
      <c r="I149" s="27" t="s">
        <v>630</v>
      </c>
      <c r="J149" s="27"/>
      <c r="K149" s="39">
        <v>2107.1999999999998</v>
      </c>
      <c r="L149" s="27">
        <v>5208</v>
      </c>
      <c r="M149" s="64">
        <v>2134.4</v>
      </c>
      <c r="N149" s="72">
        <v>0.50320633723123398</v>
      </c>
      <c r="O149" s="72">
        <v>7.0000000000000007E-2</v>
      </c>
      <c r="P149" s="64">
        <v>149.41</v>
      </c>
    </row>
    <row r="150" spans="2:16" hidden="1" x14ac:dyDescent="0.3">
      <c r="B150" s="27">
        <v>141</v>
      </c>
      <c r="C150" s="130">
        <v>44935</v>
      </c>
      <c r="D150" s="27">
        <v>1</v>
      </c>
      <c r="E150" s="27" t="s">
        <v>1420</v>
      </c>
      <c r="F150" s="27" t="s">
        <v>1421</v>
      </c>
      <c r="G150" s="39">
        <v>1612.27</v>
      </c>
      <c r="H150" s="39"/>
      <c r="I150" s="27" t="s">
        <v>71</v>
      </c>
      <c r="J150" s="27"/>
      <c r="K150" s="39">
        <v>1199.05</v>
      </c>
      <c r="L150" s="27">
        <v>56</v>
      </c>
      <c r="M150" s="64">
        <v>413.22</v>
      </c>
      <c r="N150" s="72">
        <v>0.25629702221091999</v>
      </c>
      <c r="O150" s="72">
        <v>0.04</v>
      </c>
      <c r="P150" s="64">
        <v>16.53</v>
      </c>
    </row>
    <row r="151" spans="2:16" hidden="1" x14ac:dyDescent="0.3">
      <c r="B151" s="27">
        <v>142</v>
      </c>
      <c r="C151" s="130">
        <v>44903</v>
      </c>
      <c r="D151" s="27">
        <v>4</v>
      </c>
      <c r="E151" s="27" t="s">
        <v>1353</v>
      </c>
      <c r="F151" s="27" t="s">
        <v>1164</v>
      </c>
      <c r="G151" s="39">
        <v>42284</v>
      </c>
      <c r="H151" s="39"/>
      <c r="I151" s="27" t="s">
        <v>72</v>
      </c>
      <c r="J151" s="27"/>
      <c r="K151" s="39">
        <v>27906.799999999999</v>
      </c>
      <c r="L151" s="27">
        <v>34991</v>
      </c>
      <c r="M151" s="64">
        <v>14377.2</v>
      </c>
      <c r="N151" s="72">
        <v>0.34001513574874698</v>
      </c>
      <c r="O151" s="72">
        <v>5.7500000000000002E-2</v>
      </c>
      <c r="P151" s="64">
        <v>826.69</v>
      </c>
    </row>
    <row r="152" spans="2:16" hidden="1" x14ac:dyDescent="0.3">
      <c r="B152" s="27">
        <v>143</v>
      </c>
      <c r="C152" s="130">
        <v>44888</v>
      </c>
      <c r="D152" s="27">
        <v>4</v>
      </c>
      <c r="E152" s="27" t="s">
        <v>1422</v>
      </c>
      <c r="F152" s="27" t="s">
        <v>1423</v>
      </c>
      <c r="G152" s="39">
        <v>1969.5</v>
      </c>
      <c r="H152" s="39">
        <v>805.43</v>
      </c>
      <c r="I152" s="27" t="s">
        <v>73</v>
      </c>
      <c r="J152" s="27"/>
      <c r="K152" s="39">
        <v>881.11</v>
      </c>
      <c r="L152" s="27">
        <v>26395</v>
      </c>
      <c r="M152" s="64">
        <v>282.95999999999998</v>
      </c>
      <c r="N152" s="72">
        <v>0.143670982482864</v>
      </c>
      <c r="O152" s="72">
        <v>1.4999999999999999E-2</v>
      </c>
      <c r="P152" s="64">
        <v>4.24</v>
      </c>
    </row>
    <row r="153" spans="2:16" hidden="1" x14ac:dyDescent="0.3">
      <c r="B153" s="27">
        <v>144</v>
      </c>
      <c r="C153" s="130">
        <v>44896</v>
      </c>
      <c r="D153" s="27">
        <v>4</v>
      </c>
      <c r="E153" s="27" t="s">
        <v>1369</v>
      </c>
      <c r="F153" s="27" t="s">
        <v>1424</v>
      </c>
      <c r="G153" s="39">
        <v>7046.9</v>
      </c>
      <c r="H153" s="39"/>
      <c r="I153" s="27" t="s">
        <v>69</v>
      </c>
      <c r="J153" s="27"/>
      <c r="K153" s="39">
        <v>4725.76</v>
      </c>
      <c r="L153" s="27">
        <v>17235</v>
      </c>
      <c r="M153" s="64">
        <v>2321.14</v>
      </c>
      <c r="N153" s="72">
        <v>0.32938455207254203</v>
      </c>
      <c r="O153" s="72">
        <v>5.5E-2</v>
      </c>
      <c r="P153" s="64">
        <v>127.66</v>
      </c>
    </row>
    <row r="154" spans="2:16" hidden="1" x14ac:dyDescent="0.3">
      <c r="B154" s="27">
        <v>145</v>
      </c>
      <c r="C154" s="130">
        <v>44896</v>
      </c>
      <c r="D154" s="27">
        <v>4</v>
      </c>
      <c r="E154" s="27" t="s">
        <v>1425</v>
      </c>
      <c r="F154" s="27" t="s">
        <v>1426</v>
      </c>
      <c r="G154" s="39">
        <v>15525</v>
      </c>
      <c r="H154" s="39">
        <v>350</v>
      </c>
      <c r="I154" s="27" t="s">
        <v>69</v>
      </c>
      <c r="J154" s="27"/>
      <c r="K154" s="39">
        <v>6903.9</v>
      </c>
      <c r="L154" s="27" t="s">
        <v>1370</v>
      </c>
      <c r="M154" s="64">
        <v>8271.1</v>
      </c>
      <c r="N154" s="72">
        <v>0.532760064412238</v>
      </c>
      <c r="O154" s="72">
        <v>7.0000000000000007E-2</v>
      </c>
      <c r="P154" s="64">
        <v>578.98</v>
      </c>
    </row>
    <row r="155" spans="2:16" hidden="1" x14ac:dyDescent="0.3">
      <c r="B155" s="27">
        <v>146</v>
      </c>
      <c r="C155" s="130">
        <v>44944</v>
      </c>
      <c r="D155" s="27">
        <v>1</v>
      </c>
      <c r="E155" s="27" t="s">
        <v>1427</v>
      </c>
      <c r="F155" s="27" t="s">
        <v>1428</v>
      </c>
      <c r="G155" s="39">
        <v>858.23</v>
      </c>
      <c r="H155" s="39"/>
      <c r="I155" s="27" t="s">
        <v>71</v>
      </c>
      <c r="J155" s="27"/>
      <c r="K155" s="39">
        <v>588.28</v>
      </c>
      <c r="L155" s="27">
        <v>159</v>
      </c>
      <c r="M155" s="64">
        <v>269.95</v>
      </c>
      <c r="N155" s="72">
        <v>0.31454272164804298</v>
      </c>
      <c r="O155" s="72">
        <v>5.2499999999999998E-2</v>
      </c>
      <c r="P155" s="64">
        <v>14.17</v>
      </c>
    </row>
    <row r="156" spans="2:16" hidden="1" x14ac:dyDescent="0.3">
      <c r="B156" s="27">
        <v>147</v>
      </c>
      <c r="C156" s="130">
        <v>44935</v>
      </c>
      <c r="D156" s="27">
        <v>1</v>
      </c>
      <c r="E156" s="27" t="s">
        <v>1388</v>
      </c>
      <c r="F156" s="27" t="s">
        <v>872</v>
      </c>
      <c r="G156" s="39">
        <v>3722.04</v>
      </c>
      <c r="H156" s="39"/>
      <c r="I156" s="27" t="s">
        <v>629</v>
      </c>
      <c r="J156" s="27"/>
      <c r="K156" s="39">
        <v>2659</v>
      </c>
      <c r="L156" s="27" t="s">
        <v>1387</v>
      </c>
      <c r="M156" s="64">
        <v>1063.04</v>
      </c>
      <c r="N156" s="72">
        <v>0.28560681776660102</v>
      </c>
      <c r="O156" s="72">
        <v>0.05</v>
      </c>
      <c r="P156" s="64">
        <v>53.15</v>
      </c>
    </row>
    <row r="157" spans="2:16" hidden="1" x14ac:dyDescent="0.3">
      <c r="B157" s="27">
        <v>148</v>
      </c>
      <c r="C157" s="130">
        <v>44837</v>
      </c>
      <c r="D157" s="27">
        <v>4</v>
      </c>
      <c r="E157" s="27" t="s">
        <v>1429</v>
      </c>
      <c r="F157" s="27" t="s">
        <v>1430</v>
      </c>
      <c r="G157" s="39">
        <v>2051.6</v>
      </c>
      <c r="H157" s="39">
        <v>180</v>
      </c>
      <c r="I157" s="27" t="s">
        <v>72</v>
      </c>
      <c r="J157" s="27"/>
      <c r="K157" s="39">
        <v>1260.5999999999999</v>
      </c>
      <c r="L157" s="27">
        <v>34909</v>
      </c>
      <c r="M157" s="64">
        <v>611</v>
      </c>
      <c r="N157" s="72">
        <v>0.29781633846753802</v>
      </c>
      <c r="O157" s="72">
        <v>0.05</v>
      </c>
      <c r="P157" s="64">
        <v>30.55</v>
      </c>
    </row>
    <row r="158" spans="2:16" hidden="1" x14ac:dyDescent="0.3">
      <c r="B158" s="27">
        <v>149</v>
      </c>
      <c r="C158" s="130">
        <v>44928</v>
      </c>
      <c r="D158" s="27">
        <v>1</v>
      </c>
      <c r="E158" s="27" t="s">
        <v>1401</v>
      </c>
      <c r="F158" s="27" t="s">
        <v>1431</v>
      </c>
      <c r="G158" s="39">
        <v>1025</v>
      </c>
      <c r="H158" s="39"/>
      <c r="I158" s="27" t="s">
        <v>629</v>
      </c>
      <c r="J158" s="27"/>
      <c r="K158" s="39">
        <v>734</v>
      </c>
      <c r="L158" s="27" t="s">
        <v>1432</v>
      </c>
      <c r="M158" s="64">
        <v>291</v>
      </c>
      <c r="N158" s="72">
        <v>0.28390243902439</v>
      </c>
      <c r="O158" s="72">
        <v>0.05</v>
      </c>
      <c r="P158" s="64">
        <v>14.55</v>
      </c>
    </row>
    <row r="159" spans="2:16" hidden="1" x14ac:dyDescent="0.3">
      <c r="B159" s="27">
        <v>150</v>
      </c>
      <c r="C159" s="130">
        <v>44944</v>
      </c>
      <c r="D159" s="27">
        <v>1</v>
      </c>
      <c r="E159" s="27" t="s">
        <v>1433</v>
      </c>
      <c r="F159" s="27" t="s">
        <v>1434</v>
      </c>
      <c r="G159" s="39">
        <v>6062.76</v>
      </c>
      <c r="H159" s="39">
        <v>1245</v>
      </c>
      <c r="I159" s="27" t="s">
        <v>73</v>
      </c>
      <c r="J159" s="27"/>
      <c r="K159" s="39">
        <v>2515.9699999999998</v>
      </c>
      <c r="L159" s="27" t="s">
        <v>1435</v>
      </c>
      <c r="M159" s="64">
        <v>2301.79</v>
      </c>
      <c r="N159" s="72">
        <v>0.37966041868719902</v>
      </c>
      <c r="O159" s="72">
        <v>0.06</v>
      </c>
      <c r="P159" s="64">
        <v>138.11000000000001</v>
      </c>
    </row>
    <row r="160" spans="2:16" hidden="1" x14ac:dyDescent="0.3">
      <c r="B160" s="27">
        <v>151</v>
      </c>
      <c r="C160" s="130">
        <v>44960</v>
      </c>
      <c r="D160" s="27">
        <v>1</v>
      </c>
      <c r="E160" s="27" t="s">
        <v>1436</v>
      </c>
      <c r="F160" s="27" t="s">
        <v>1437</v>
      </c>
      <c r="G160" s="39">
        <v>946.32</v>
      </c>
      <c r="H160" s="39"/>
      <c r="I160" s="27" t="s">
        <v>71</v>
      </c>
      <c r="J160" s="27">
        <v>1085</v>
      </c>
      <c r="K160" s="39">
        <v>726.65</v>
      </c>
      <c r="L160" s="27">
        <v>499</v>
      </c>
      <c r="M160" s="64">
        <v>219.67</v>
      </c>
      <c r="N160" s="72">
        <v>0.232130780285738</v>
      </c>
      <c r="O160" s="72">
        <v>3.5000000000000003E-2</v>
      </c>
      <c r="P160" s="64">
        <v>7.69</v>
      </c>
    </row>
    <row r="161" spans="2:16" hidden="1" x14ac:dyDescent="0.3">
      <c r="B161" s="27">
        <v>152</v>
      </c>
      <c r="C161" s="130">
        <v>44963</v>
      </c>
      <c r="D161" s="27">
        <v>1</v>
      </c>
      <c r="E161" s="27" t="s">
        <v>1438</v>
      </c>
      <c r="F161" s="27" t="s">
        <v>1439</v>
      </c>
      <c r="G161" s="39">
        <v>1896.85</v>
      </c>
      <c r="H161" s="39"/>
      <c r="I161" s="27" t="s">
        <v>71</v>
      </c>
      <c r="J161" s="27">
        <v>1175</v>
      </c>
      <c r="K161" s="39">
        <v>1252.75</v>
      </c>
      <c r="L161" s="27">
        <v>510</v>
      </c>
      <c r="M161" s="64">
        <v>644.1</v>
      </c>
      <c r="N161" s="72">
        <v>0.33956295964361999</v>
      </c>
      <c r="O161" s="72">
        <v>5.5E-2</v>
      </c>
      <c r="P161" s="64">
        <v>35.43</v>
      </c>
    </row>
    <row r="162" spans="2:16" hidden="1" x14ac:dyDescent="0.3">
      <c r="B162" s="27">
        <v>153</v>
      </c>
      <c r="C162" s="130">
        <v>44957</v>
      </c>
      <c r="D162" s="27">
        <v>1</v>
      </c>
      <c r="E162" s="27" t="s">
        <v>1440</v>
      </c>
      <c r="F162" s="27" t="s">
        <v>1441</v>
      </c>
      <c r="G162" s="39">
        <v>451.2</v>
      </c>
      <c r="H162" s="39"/>
      <c r="I162" s="27" t="s">
        <v>630</v>
      </c>
      <c r="J162" s="27"/>
      <c r="K162" s="39">
        <v>245.6</v>
      </c>
      <c r="L162" s="27">
        <v>5245</v>
      </c>
      <c r="M162" s="64">
        <v>205.6</v>
      </c>
      <c r="N162" s="72">
        <v>0.45567375886524802</v>
      </c>
      <c r="O162" s="72">
        <v>7.0000000000000007E-2</v>
      </c>
      <c r="P162" s="64">
        <v>14.39</v>
      </c>
    </row>
    <row r="163" spans="2:16" hidden="1" x14ac:dyDescent="0.3">
      <c r="B163" s="27">
        <v>154</v>
      </c>
      <c r="C163" s="130">
        <v>44977</v>
      </c>
      <c r="D163" s="27">
        <v>1</v>
      </c>
      <c r="E163" s="27" t="s">
        <v>1442</v>
      </c>
      <c r="F163" s="27" t="s">
        <v>1443</v>
      </c>
      <c r="G163" s="39">
        <v>2145.4</v>
      </c>
      <c r="H163" s="39"/>
      <c r="I163" s="27" t="s">
        <v>71</v>
      </c>
      <c r="J163" s="27">
        <v>1711</v>
      </c>
      <c r="K163" s="39">
        <v>1415.09</v>
      </c>
      <c r="L163" s="27">
        <v>642</v>
      </c>
      <c r="M163" s="64">
        <v>730.31</v>
      </c>
      <c r="N163" s="72">
        <v>0.34040738323855702</v>
      </c>
      <c r="O163" s="72">
        <v>5.7500000000000002E-2</v>
      </c>
      <c r="P163" s="64">
        <v>41.99</v>
      </c>
    </row>
    <row r="164" spans="2:16" hidden="1" x14ac:dyDescent="0.3">
      <c r="B164" s="27">
        <v>155</v>
      </c>
      <c r="C164" s="130">
        <v>44973</v>
      </c>
      <c r="D164" s="27">
        <v>1</v>
      </c>
      <c r="E164" s="27" t="s">
        <v>1444</v>
      </c>
      <c r="F164" s="27" t="s">
        <v>1445</v>
      </c>
      <c r="G164" s="39">
        <v>6281</v>
      </c>
      <c r="H164" s="39">
        <v>2193.4</v>
      </c>
      <c r="I164" s="27" t="s">
        <v>69</v>
      </c>
      <c r="J164" s="27"/>
      <c r="K164" s="39">
        <v>2636.23</v>
      </c>
      <c r="L164" s="27">
        <v>731</v>
      </c>
      <c r="M164" s="64">
        <v>1451.37</v>
      </c>
      <c r="N164" s="72">
        <v>0.231073077535424</v>
      </c>
      <c r="O164" s="72">
        <v>3.5000000000000003E-2</v>
      </c>
      <c r="P164" s="64">
        <v>50.8</v>
      </c>
    </row>
    <row r="165" spans="2:16" hidden="1" x14ac:dyDescent="0.3">
      <c r="B165" s="27">
        <v>156</v>
      </c>
      <c r="C165" s="130">
        <v>44987</v>
      </c>
      <c r="D165" s="27">
        <v>1</v>
      </c>
      <c r="E165" s="27" t="s">
        <v>1446</v>
      </c>
      <c r="F165" s="27" t="s">
        <v>1447</v>
      </c>
      <c r="G165" s="39">
        <v>1657.98</v>
      </c>
      <c r="H165" s="39"/>
      <c r="I165" s="27" t="s">
        <v>71</v>
      </c>
      <c r="J165" s="27">
        <v>2195</v>
      </c>
      <c r="K165" s="39">
        <v>885.39</v>
      </c>
      <c r="L165" s="27">
        <v>945</v>
      </c>
      <c r="M165" s="64">
        <v>772.59</v>
      </c>
      <c r="N165" s="72">
        <v>0.46598270184200102</v>
      </c>
      <c r="O165" s="72">
        <v>7.0000000000000007E-2</v>
      </c>
      <c r="P165" s="64">
        <v>54.08</v>
      </c>
    </row>
    <row r="166" spans="2:16" hidden="1" x14ac:dyDescent="0.3">
      <c r="B166" s="27">
        <v>157</v>
      </c>
      <c r="C166" s="130">
        <v>44960</v>
      </c>
      <c r="D166" s="27">
        <v>1</v>
      </c>
      <c r="E166" s="27" t="s">
        <v>1448</v>
      </c>
      <c r="F166" s="27" t="s">
        <v>1449</v>
      </c>
      <c r="G166" s="39">
        <v>2812</v>
      </c>
      <c r="H166" s="39"/>
      <c r="I166" s="27" t="s">
        <v>201</v>
      </c>
      <c r="J166" s="27"/>
      <c r="K166" s="39">
        <v>1705.12</v>
      </c>
      <c r="L166" s="27">
        <v>1262</v>
      </c>
      <c r="M166" s="64">
        <v>1106.8800000000001</v>
      </c>
      <c r="N166" s="72">
        <v>0.393627311522048</v>
      </c>
      <c r="O166" s="72">
        <v>6.25E-2</v>
      </c>
      <c r="P166" s="64">
        <v>69.180000000000007</v>
      </c>
    </row>
    <row r="167" spans="2:16" hidden="1" x14ac:dyDescent="0.3">
      <c r="B167" s="27">
        <v>158</v>
      </c>
      <c r="C167" s="130">
        <v>45002</v>
      </c>
      <c r="D167" s="27">
        <v>1</v>
      </c>
      <c r="E167" s="27" t="s">
        <v>1450</v>
      </c>
      <c r="F167" s="27" t="s">
        <v>1451</v>
      </c>
      <c r="G167" s="39">
        <v>1391.84</v>
      </c>
      <c r="H167" s="39"/>
      <c r="I167" s="27" t="s">
        <v>71</v>
      </c>
      <c r="J167" s="27">
        <v>2794</v>
      </c>
      <c r="K167" s="39">
        <v>922.92</v>
      </c>
      <c r="L167" s="27">
        <v>1089</v>
      </c>
      <c r="M167" s="64">
        <v>468.92</v>
      </c>
      <c r="N167" s="72">
        <v>0.33690654098172201</v>
      </c>
      <c r="O167" s="72">
        <v>5.5E-2</v>
      </c>
      <c r="P167" s="64">
        <v>25.79</v>
      </c>
    </row>
    <row r="168" spans="2:16" hidden="1" x14ac:dyDescent="0.3">
      <c r="B168" s="27">
        <v>159</v>
      </c>
      <c r="C168" s="130">
        <v>45008</v>
      </c>
      <c r="D168" s="27">
        <v>1</v>
      </c>
      <c r="E168" s="27" t="s">
        <v>1452</v>
      </c>
      <c r="F168" s="27" t="s">
        <v>1453</v>
      </c>
      <c r="G168" s="39">
        <v>7629.76</v>
      </c>
      <c r="H168" s="39"/>
      <c r="I168" s="27" t="s">
        <v>71</v>
      </c>
      <c r="J168" s="27">
        <v>2975</v>
      </c>
      <c r="K168" s="39">
        <v>4985.01</v>
      </c>
      <c r="L168" s="27">
        <v>1156</v>
      </c>
      <c r="M168" s="64">
        <v>2644.75</v>
      </c>
      <c r="N168" s="72">
        <v>0.34663606718953099</v>
      </c>
      <c r="O168" s="72">
        <v>5.7500000000000002E-2</v>
      </c>
      <c r="P168" s="64">
        <v>152.07</v>
      </c>
    </row>
    <row r="169" spans="2:16" hidden="1" x14ac:dyDescent="0.3">
      <c r="B169" s="27">
        <v>160</v>
      </c>
      <c r="C169" s="130">
        <v>44988</v>
      </c>
      <c r="D169" s="27">
        <v>1</v>
      </c>
      <c r="E169" s="27" t="s">
        <v>1454</v>
      </c>
      <c r="F169" s="27" t="s">
        <v>1455</v>
      </c>
      <c r="G169" s="39">
        <v>5901</v>
      </c>
      <c r="H169" s="39">
        <v>1475.1</v>
      </c>
      <c r="I169" s="27" t="s">
        <v>388</v>
      </c>
      <c r="J169" s="27"/>
      <c r="K169" s="39">
        <v>2271.39</v>
      </c>
      <c r="L169" s="27" t="s">
        <v>1456</v>
      </c>
      <c r="M169" s="64">
        <v>2154.5100000000002</v>
      </c>
      <c r="N169" s="72">
        <v>0.36510930350788001</v>
      </c>
      <c r="O169" s="72">
        <v>0.06</v>
      </c>
      <c r="P169" s="64">
        <v>129.27000000000001</v>
      </c>
    </row>
    <row r="170" spans="2:16" hidden="1" x14ac:dyDescent="0.3">
      <c r="B170" s="27">
        <v>161</v>
      </c>
      <c r="C170" s="130">
        <v>45000</v>
      </c>
      <c r="D170" s="27">
        <v>1</v>
      </c>
      <c r="E170" s="27" t="s">
        <v>1457</v>
      </c>
      <c r="F170" s="27" t="s">
        <v>1458</v>
      </c>
      <c r="G170" s="39">
        <v>1517.76</v>
      </c>
      <c r="H170" s="39"/>
      <c r="I170" s="27" t="s">
        <v>200</v>
      </c>
      <c r="J170" s="27"/>
      <c r="K170" s="39">
        <v>1043.46</v>
      </c>
      <c r="L170" s="27">
        <v>384240</v>
      </c>
      <c r="M170" s="64">
        <v>474.3</v>
      </c>
      <c r="N170" s="72">
        <v>0.3125</v>
      </c>
      <c r="O170" s="72">
        <v>5.2499999999999998E-2</v>
      </c>
      <c r="P170" s="64">
        <v>24.9</v>
      </c>
    </row>
    <row r="171" spans="2:16" hidden="1" x14ac:dyDescent="0.3">
      <c r="B171" s="27">
        <v>162</v>
      </c>
      <c r="C171" s="130">
        <v>45012</v>
      </c>
      <c r="D171" s="27">
        <v>1</v>
      </c>
      <c r="E171" s="27" t="s">
        <v>1459</v>
      </c>
      <c r="F171" s="27" t="s">
        <v>1460</v>
      </c>
      <c r="G171" s="39">
        <v>3297.4</v>
      </c>
      <c r="H171" s="39"/>
      <c r="I171" s="27" t="s">
        <v>71</v>
      </c>
      <c r="J171" s="27">
        <v>3097</v>
      </c>
      <c r="K171" s="39">
        <v>1755.72</v>
      </c>
      <c r="L171" s="27">
        <v>1189</v>
      </c>
      <c r="M171" s="64">
        <v>1541.68</v>
      </c>
      <c r="N171" s="72">
        <v>0.46754412567477399</v>
      </c>
      <c r="O171" s="72">
        <v>7.0000000000000007E-2</v>
      </c>
      <c r="P171" s="64">
        <v>107.92</v>
      </c>
    </row>
    <row r="172" spans="2:16" hidden="1" x14ac:dyDescent="0.3">
      <c r="B172" s="27">
        <v>164</v>
      </c>
      <c r="C172" s="130">
        <v>44988</v>
      </c>
      <c r="D172" s="27">
        <v>1</v>
      </c>
      <c r="E172" s="27" t="s">
        <v>1461</v>
      </c>
      <c r="F172" s="27" t="s">
        <v>1462</v>
      </c>
      <c r="G172" s="39">
        <v>8000.11</v>
      </c>
      <c r="H172" s="39">
        <v>530</v>
      </c>
      <c r="I172" s="27" t="s">
        <v>201</v>
      </c>
      <c r="J172" s="27"/>
      <c r="K172" s="39">
        <v>4691.3900000000003</v>
      </c>
      <c r="L172" s="27">
        <v>1687</v>
      </c>
      <c r="M172" s="64">
        <v>2778.72</v>
      </c>
      <c r="N172" s="72">
        <v>0.34733522414066798</v>
      </c>
      <c r="O172" s="72">
        <v>5.7500000000000002E-2</v>
      </c>
      <c r="P172" s="64">
        <v>159.78</v>
      </c>
    </row>
    <row r="173" spans="2:16" hidden="1" x14ac:dyDescent="0.3">
      <c r="B173" s="27">
        <v>165</v>
      </c>
      <c r="C173" s="130">
        <v>45028</v>
      </c>
      <c r="D173" s="27">
        <v>2</v>
      </c>
      <c r="E173" s="27" t="s">
        <v>1463</v>
      </c>
      <c r="F173" s="27" t="s">
        <v>1464</v>
      </c>
      <c r="G173" s="39">
        <v>2491.5</v>
      </c>
      <c r="H173" s="39"/>
      <c r="I173" s="27" t="s">
        <v>629</v>
      </c>
      <c r="J173" s="27"/>
      <c r="K173" s="39">
        <v>1808</v>
      </c>
      <c r="L173" s="27" t="s">
        <v>1465</v>
      </c>
      <c r="M173" s="64">
        <v>683.5</v>
      </c>
      <c r="N173" s="72">
        <v>0.27433273128637398</v>
      </c>
      <c r="O173" s="72">
        <v>4.4999999999999998E-2</v>
      </c>
      <c r="P173" s="64">
        <v>30.76</v>
      </c>
    </row>
    <row r="174" spans="2:16" hidden="1" x14ac:dyDescent="0.3">
      <c r="B174" s="27">
        <v>166</v>
      </c>
      <c r="C174" s="130">
        <v>45034</v>
      </c>
      <c r="D174" s="27">
        <v>2</v>
      </c>
      <c r="E174" s="27" t="s">
        <v>1466</v>
      </c>
      <c r="F174" s="27" t="s">
        <v>1467</v>
      </c>
      <c r="G174" s="39">
        <v>6365.14</v>
      </c>
      <c r="H174" s="39"/>
      <c r="I174" s="27" t="s">
        <v>71</v>
      </c>
      <c r="J174" s="27">
        <v>4160</v>
      </c>
      <c r="K174" s="39">
        <v>3712.09</v>
      </c>
      <c r="L174" s="27">
        <v>1642</v>
      </c>
      <c r="M174" s="64">
        <v>2653.05</v>
      </c>
      <c r="N174" s="72">
        <v>0.416809371042899</v>
      </c>
      <c r="O174" s="72">
        <v>6.5000000000000002E-2</v>
      </c>
      <c r="P174" s="64">
        <v>172.45</v>
      </c>
    </row>
    <row r="175" spans="2:16" hidden="1" x14ac:dyDescent="0.3">
      <c r="B175" s="27">
        <v>167</v>
      </c>
      <c r="C175" s="130">
        <v>45027</v>
      </c>
      <c r="D175" s="27">
        <v>2</v>
      </c>
      <c r="E175" s="27" t="s">
        <v>1468</v>
      </c>
      <c r="F175" s="27" t="s">
        <v>1469</v>
      </c>
      <c r="G175" s="39">
        <v>701.06</v>
      </c>
      <c r="H175" s="39"/>
      <c r="I175" s="27" t="s">
        <v>200</v>
      </c>
      <c r="J175" s="27"/>
      <c r="K175" s="39">
        <v>497.6</v>
      </c>
      <c r="L175" s="27">
        <v>384349</v>
      </c>
      <c r="M175" s="64">
        <v>203.46</v>
      </c>
      <c r="N175" s="72">
        <v>0.29021767038484603</v>
      </c>
      <c r="O175" s="72">
        <v>0.05</v>
      </c>
      <c r="P175" s="64">
        <v>10.17</v>
      </c>
    </row>
    <row r="176" spans="2:16" hidden="1" x14ac:dyDescent="0.3">
      <c r="B176" s="27">
        <v>168</v>
      </c>
      <c r="C176" s="130">
        <v>45044</v>
      </c>
      <c r="D176" s="27">
        <v>2</v>
      </c>
      <c r="E176" s="27" t="s">
        <v>1470</v>
      </c>
      <c r="F176" s="27" t="s">
        <v>872</v>
      </c>
      <c r="G176" s="39">
        <v>2112.1</v>
      </c>
      <c r="H176" s="39"/>
      <c r="I176" s="27" t="s">
        <v>629</v>
      </c>
      <c r="J176" s="27"/>
      <c r="K176" s="39">
        <v>1532</v>
      </c>
      <c r="L176" s="27" t="s">
        <v>1471</v>
      </c>
      <c r="M176" s="64">
        <v>580.1</v>
      </c>
      <c r="N176" s="72">
        <v>0.27465555608162501</v>
      </c>
      <c r="O176" s="72">
        <v>4.4999999999999998E-2</v>
      </c>
      <c r="P176" s="64">
        <v>26.1</v>
      </c>
    </row>
    <row r="177" spans="2:16" hidden="1" x14ac:dyDescent="0.3">
      <c r="B177" s="27">
        <v>169</v>
      </c>
      <c r="C177" s="130">
        <v>45022</v>
      </c>
      <c r="D177" s="27">
        <v>2</v>
      </c>
      <c r="E177" s="27" t="s">
        <v>1472</v>
      </c>
      <c r="F177" s="27" t="s">
        <v>1473</v>
      </c>
      <c r="G177" s="39">
        <v>1042</v>
      </c>
      <c r="H177" s="39"/>
      <c r="I177" s="27" t="s">
        <v>72</v>
      </c>
      <c r="J177" s="27"/>
      <c r="K177" s="39">
        <v>718.71</v>
      </c>
      <c r="L177" s="27">
        <v>35784</v>
      </c>
      <c r="M177" s="64">
        <v>323.29000000000002</v>
      </c>
      <c r="N177" s="72">
        <v>0.31025911708253401</v>
      </c>
      <c r="O177" s="72">
        <v>5.2499999999999998E-2</v>
      </c>
      <c r="P177" s="64">
        <v>16.97</v>
      </c>
    </row>
    <row r="178" spans="2:16" hidden="1" x14ac:dyDescent="0.3">
      <c r="B178" s="27">
        <v>170</v>
      </c>
      <c r="C178" s="130">
        <v>45055</v>
      </c>
      <c r="D178" s="27">
        <v>2</v>
      </c>
      <c r="E178" s="27" t="s">
        <v>1474</v>
      </c>
      <c r="F178" s="27" t="s">
        <v>1475</v>
      </c>
      <c r="G178" s="39">
        <v>1414.46</v>
      </c>
      <c r="H178" s="39"/>
      <c r="I178" s="27" t="s">
        <v>71</v>
      </c>
      <c r="J178" s="27">
        <v>4604</v>
      </c>
      <c r="K178" s="39">
        <v>937.7</v>
      </c>
      <c r="L178" s="27">
        <v>1901</v>
      </c>
      <c r="M178" s="64">
        <v>476.76</v>
      </c>
      <c r="N178" s="72">
        <v>0.33706149343212199</v>
      </c>
      <c r="O178" s="72">
        <v>5.5E-2</v>
      </c>
      <c r="P178" s="64">
        <v>26.22</v>
      </c>
    </row>
    <row r="179" spans="2:16" hidden="1" x14ac:dyDescent="0.3">
      <c r="B179" s="27">
        <v>171</v>
      </c>
      <c r="C179" s="130">
        <v>45021</v>
      </c>
      <c r="D179" s="27">
        <v>2</v>
      </c>
      <c r="E179" s="27" t="s">
        <v>1476</v>
      </c>
      <c r="F179" s="27" t="s">
        <v>1477</v>
      </c>
      <c r="G179" s="39">
        <v>4925.2</v>
      </c>
      <c r="H179" s="39"/>
      <c r="I179" s="27" t="s">
        <v>73</v>
      </c>
      <c r="J179" s="27"/>
      <c r="K179" s="39">
        <v>1751.29</v>
      </c>
      <c r="L179" s="27">
        <v>8190</v>
      </c>
      <c r="M179" s="64">
        <v>3173.91</v>
      </c>
      <c r="N179" s="72">
        <v>0.64442256152034405</v>
      </c>
      <c r="O179" s="72">
        <v>7.0000000000000007E-2</v>
      </c>
      <c r="P179" s="64">
        <v>222.17</v>
      </c>
    </row>
    <row r="180" spans="2:16" hidden="1" x14ac:dyDescent="0.3">
      <c r="B180" s="27">
        <v>172</v>
      </c>
      <c r="C180" s="130">
        <v>45041</v>
      </c>
      <c r="D180" s="27">
        <v>2</v>
      </c>
      <c r="E180" s="27" t="s">
        <v>1478</v>
      </c>
      <c r="F180" s="27" t="s">
        <v>1479</v>
      </c>
      <c r="G180" s="39">
        <v>3666</v>
      </c>
      <c r="H180" s="39">
        <v>1409.2</v>
      </c>
      <c r="I180" s="27" t="s">
        <v>73</v>
      </c>
      <c r="J180" s="27"/>
      <c r="K180" s="39">
        <v>1395.99</v>
      </c>
      <c r="L180" s="27">
        <v>7286</v>
      </c>
      <c r="M180" s="64">
        <v>860.81</v>
      </c>
      <c r="N180" s="72">
        <v>0.23480905619203499</v>
      </c>
      <c r="O180" s="72">
        <v>3.5000000000000003E-2</v>
      </c>
      <c r="P180" s="64">
        <v>30.13</v>
      </c>
    </row>
    <row r="181" spans="2:16" hidden="1" x14ac:dyDescent="0.3">
      <c r="B181" s="27">
        <v>173</v>
      </c>
      <c r="C181" s="130">
        <v>45040</v>
      </c>
      <c r="D181" s="27">
        <v>2</v>
      </c>
      <c r="E181" s="27" t="s">
        <v>1480</v>
      </c>
      <c r="F181" s="27" t="s">
        <v>1481</v>
      </c>
      <c r="G181" s="39">
        <v>8469</v>
      </c>
      <c r="H181" s="39">
        <v>970</v>
      </c>
      <c r="I181" s="27" t="s">
        <v>69</v>
      </c>
      <c r="J181" s="27"/>
      <c r="K181" s="39">
        <v>3502.14</v>
      </c>
      <c r="L181" s="27" t="s">
        <v>1482</v>
      </c>
      <c r="M181" s="64">
        <v>3996.86</v>
      </c>
      <c r="N181" s="72">
        <v>0.47194001653087703</v>
      </c>
      <c r="O181" s="72">
        <v>7.0000000000000007E-2</v>
      </c>
      <c r="P181" s="64">
        <v>279.77999999999997</v>
      </c>
    </row>
    <row r="182" spans="2:16" hidden="1" x14ac:dyDescent="0.3">
      <c r="B182" s="27">
        <v>174</v>
      </c>
      <c r="C182" s="130">
        <v>45071</v>
      </c>
      <c r="D182" s="27">
        <v>2</v>
      </c>
      <c r="E182" s="27" t="s">
        <v>1483</v>
      </c>
      <c r="F182" s="27" t="s">
        <v>1484</v>
      </c>
      <c r="G182" s="39">
        <v>1376</v>
      </c>
      <c r="H182" s="39"/>
      <c r="I182" s="27" t="s">
        <v>629</v>
      </c>
      <c r="J182" s="27"/>
      <c r="K182" s="39">
        <v>800</v>
      </c>
      <c r="L182" s="27" t="s">
        <v>1485</v>
      </c>
      <c r="M182" s="64">
        <v>576</v>
      </c>
      <c r="N182" s="72">
        <v>0.418604651162791</v>
      </c>
      <c r="O182" s="72">
        <v>6.5000000000000002E-2</v>
      </c>
      <c r="P182" s="64">
        <v>37.44</v>
      </c>
    </row>
    <row r="183" spans="2:16" hidden="1" x14ac:dyDescent="0.3">
      <c r="B183" s="27">
        <v>175</v>
      </c>
      <c r="C183" s="130">
        <v>45019</v>
      </c>
      <c r="D183" s="27">
        <v>2</v>
      </c>
      <c r="E183" s="27" t="s">
        <v>1486</v>
      </c>
      <c r="F183" s="27" t="s">
        <v>1487</v>
      </c>
      <c r="G183" s="39">
        <v>1041</v>
      </c>
      <c r="H183" s="39"/>
      <c r="I183" s="27">
        <v>53</v>
      </c>
      <c r="J183" s="27"/>
      <c r="K183" s="39">
        <v>546.17999999999995</v>
      </c>
      <c r="L183" s="27">
        <v>10839</v>
      </c>
      <c r="M183" s="64">
        <v>494.82</v>
      </c>
      <c r="N183" s="72">
        <v>0.47533141210374602</v>
      </c>
      <c r="O183" s="72">
        <v>7.0000000000000007E-2</v>
      </c>
      <c r="P183" s="64">
        <v>34.64</v>
      </c>
    </row>
    <row r="184" spans="2:16" hidden="1" x14ac:dyDescent="0.3">
      <c r="B184" s="27">
        <v>176</v>
      </c>
      <c r="C184" s="130">
        <v>45078</v>
      </c>
      <c r="D184" s="27">
        <v>2</v>
      </c>
      <c r="E184" s="27" t="s">
        <v>1488</v>
      </c>
      <c r="F184" s="27" t="s">
        <v>921</v>
      </c>
      <c r="G184" s="39">
        <v>1517.76</v>
      </c>
      <c r="H184" s="39"/>
      <c r="I184" s="27" t="s">
        <v>200</v>
      </c>
      <c r="J184" s="27"/>
      <c r="K184" s="39">
        <v>1043.46</v>
      </c>
      <c r="L184" s="27">
        <v>384601</v>
      </c>
      <c r="M184" s="64">
        <v>474.3</v>
      </c>
      <c r="N184" s="72">
        <v>0.3125</v>
      </c>
      <c r="O184" s="72">
        <v>5.2499999999999998E-2</v>
      </c>
      <c r="P184" s="64">
        <v>24.9</v>
      </c>
    </row>
    <row r="185" spans="2:16" hidden="1" x14ac:dyDescent="0.3">
      <c r="B185" s="27">
        <v>177</v>
      </c>
      <c r="C185" s="130">
        <v>45019</v>
      </c>
      <c r="D185" s="27">
        <v>2</v>
      </c>
      <c r="E185" s="27" t="s">
        <v>1489</v>
      </c>
      <c r="F185" s="27" t="s">
        <v>1490</v>
      </c>
      <c r="G185" s="39">
        <v>5763.1</v>
      </c>
      <c r="H185" s="39"/>
      <c r="I185" s="27" t="s">
        <v>69</v>
      </c>
      <c r="J185" s="27"/>
      <c r="K185" s="39">
        <v>3910.67</v>
      </c>
      <c r="L185" s="27" t="s">
        <v>1491</v>
      </c>
      <c r="M185" s="64">
        <v>1852.43</v>
      </c>
      <c r="N185" s="72">
        <v>0.32142943901719601</v>
      </c>
      <c r="O185" s="72">
        <v>5.5E-2</v>
      </c>
      <c r="P185" s="64">
        <v>101.88</v>
      </c>
    </row>
    <row r="186" spans="2:16" hidden="1" x14ac:dyDescent="0.3">
      <c r="B186" s="27">
        <v>178</v>
      </c>
      <c r="C186" s="130">
        <v>45079</v>
      </c>
      <c r="D186" s="27">
        <v>2</v>
      </c>
      <c r="E186" s="27" t="s">
        <v>1492</v>
      </c>
      <c r="F186" s="27" t="s">
        <v>1493</v>
      </c>
      <c r="G186" s="39">
        <v>6620.6</v>
      </c>
      <c r="H186" s="39">
        <v>1010</v>
      </c>
      <c r="I186" s="27" t="s">
        <v>73</v>
      </c>
      <c r="J186" s="27"/>
      <c r="K186" s="39">
        <v>2991</v>
      </c>
      <c r="L186" s="27">
        <v>12276</v>
      </c>
      <c r="M186" s="64">
        <v>2619.6</v>
      </c>
      <c r="N186" s="72">
        <v>0.39567410808688003</v>
      </c>
      <c r="O186" s="72">
        <v>6.25E-2</v>
      </c>
      <c r="P186" s="64">
        <v>163.72999999999999</v>
      </c>
    </row>
    <row r="187" spans="2:16" hidden="1" x14ac:dyDescent="0.3">
      <c r="B187" s="27">
        <v>179</v>
      </c>
      <c r="C187" s="130">
        <v>45103</v>
      </c>
      <c r="D187" s="27">
        <v>2</v>
      </c>
      <c r="E187" s="27" t="s">
        <v>1773</v>
      </c>
      <c r="F187" s="27" t="s">
        <v>1774</v>
      </c>
      <c r="G187" s="39">
        <v>10036.879999999999</v>
      </c>
      <c r="H187" s="39"/>
      <c r="I187" s="27" t="s">
        <v>71</v>
      </c>
      <c r="J187" s="27"/>
      <c r="K187" s="39">
        <v>6535.25</v>
      </c>
      <c r="L187" s="27">
        <v>2764</v>
      </c>
      <c r="M187" s="64">
        <v>3501.63</v>
      </c>
      <c r="N187" s="72">
        <v>0.34887634404316897</v>
      </c>
      <c r="O187" s="72">
        <v>5.7500000000000002E-2</v>
      </c>
      <c r="P187" s="64">
        <v>201.34</v>
      </c>
    </row>
    <row r="188" spans="2:16" hidden="1" x14ac:dyDescent="0.3">
      <c r="B188" s="27">
        <v>180</v>
      </c>
      <c r="C188" s="130">
        <v>45135</v>
      </c>
      <c r="D188" s="27">
        <v>3</v>
      </c>
      <c r="E188" s="27" t="s">
        <v>1775</v>
      </c>
      <c r="F188" s="27" t="s">
        <v>1776</v>
      </c>
      <c r="G188" s="39">
        <v>3714</v>
      </c>
      <c r="H188" s="39"/>
      <c r="I188" s="27" t="s">
        <v>201</v>
      </c>
      <c r="J188" s="27"/>
      <c r="K188" s="39">
        <v>2678.17</v>
      </c>
      <c r="L188" s="27">
        <v>5132</v>
      </c>
      <c r="M188" s="64">
        <v>1035.83</v>
      </c>
      <c r="N188" s="72">
        <v>0.27889876144318798</v>
      </c>
      <c r="O188" s="72">
        <v>4.4999999999999998E-2</v>
      </c>
      <c r="P188" s="64">
        <v>46.61</v>
      </c>
    </row>
    <row r="189" spans="2:16" hidden="1" x14ac:dyDescent="0.3">
      <c r="B189" s="27">
        <v>181</v>
      </c>
      <c r="C189" s="130">
        <v>45126</v>
      </c>
      <c r="D189" s="27">
        <v>3</v>
      </c>
      <c r="E189" s="27" t="s">
        <v>1777</v>
      </c>
      <c r="F189" s="27" t="s">
        <v>1778</v>
      </c>
      <c r="G189" s="39">
        <v>2312.4</v>
      </c>
      <c r="H189" s="39"/>
      <c r="I189" s="27" t="s">
        <v>69</v>
      </c>
      <c r="J189" s="27"/>
      <c r="K189" s="39">
        <v>1785.8</v>
      </c>
      <c r="L189" s="27">
        <v>12928</v>
      </c>
      <c r="M189" s="64">
        <v>526.6</v>
      </c>
      <c r="N189" s="72">
        <v>0.227728766649369</v>
      </c>
      <c r="O189" s="72">
        <v>3.5000000000000003E-2</v>
      </c>
      <c r="P189" s="64">
        <v>18.43</v>
      </c>
    </row>
    <row r="190" spans="2:16" hidden="1" x14ac:dyDescent="0.3">
      <c r="B190" s="27">
        <v>182</v>
      </c>
      <c r="C190" s="130">
        <v>45196</v>
      </c>
      <c r="D190" s="27">
        <v>3</v>
      </c>
      <c r="E190" s="27" t="s">
        <v>1768</v>
      </c>
      <c r="F190" s="27" t="s">
        <v>1779</v>
      </c>
      <c r="G190" s="39">
        <v>1922.4</v>
      </c>
      <c r="H190" s="39"/>
      <c r="I190" s="27">
        <v>53</v>
      </c>
      <c r="J190" s="27"/>
      <c r="K190" s="39">
        <v>1521.88</v>
      </c>
      <c r="L190" s="27">
        <v>20916</v>
      </c>
      <c r="M190" s="64">
        <v>400.52</v>
      </c>
      <c r="N190" s="72">
        <v>0.208343736995422</v>
      </c>
      <c r="O190" s="72">
        <v>0.03</v>
      </c>
      <c r="P190" s="64">
        <v>12.02</v>
      </c>
    </row>
    <row r="191" spans="2:16" hidden="1" x14ac:dyDescent="0.3">
      <c r="B191" s="27">
        <v>183</v>
      </c>
      <c r="C191" s="130">
        <v>45110</v>
      </c>
      <c r="D191" s="27">
        <v>3</v>
      </c>
      <c r="E191" s="27" t="s">
        <v>1780</v>
      </c>
      <c r="F191" s="27" t="s">
        <v>1781</v>
      </c>
      <c r="G191" s="39">
        <v>2760</v>
      </c>
      <c r="H191" s="39">
        <v>717</v>
      </c>
      <c r="I191" s="27" t="s">
        <v>73</v>
      </c>
      <c r="J191" s="27"/>
      <c r="K191" s="39">
        <v>1080.5999999999999</v>
      </c>
      <c r="L191" s="27">
        <v>12116</v>
      </c>
      <c r="M191" s="64">
        <v>962.4</v>
      </c>
      <c r="N191" s="72">
        <v>0.34869565217391302</v>
      </c>
      <c r="O191" s="72">
        <v>5.7500000000000002E-2</v>
      </c>
      <c r="P191" s="64">
        <v>55.34</v>
      </c>
    </row>
    <row r="192" spans="2:16" hidden="1" x14ac:dyDescent="0.3">
      <c r="B192" s="27">
        <v>184</v>
      </c>
      <c r="C192" s="130">
        <v>45208</v>
      </c>
      <c r="D192" s="27">
        <v>4</v>
      </c>
      <c r="E192" s="27" t="s">
        <v>1782</v>
      </c>
      <c r="F192" s="27" t="s">
        <v>1783</v>
      </c>
      <c r="G192" s="39">
        <v>4818</v>
      </c>
      <c r="H192" s="39"/>
      <c r="I192" s="27" t="s">
        <v>70</v>
      </c>
      <c r="J192" s="27"/>
      <c r="K192" s="39">
        <v>2764.44</v>
      </c>
      <c r="L192" s="27" t="s">
        <v>1784</v>
      </c>
      <c r="M192" s="64">
        <v>2053.56</v>
      </c>
      <c r="N192" s="72">
        <v>0.42622665006226701</v>
      </c>
      <c r="O192" s="72">
        <v>6.7500000000000004E-2</v>
      </c>
      <c r="P192" s="64">
        <v>138.62</v>
      </c>
    </row>
    <row r="193" spans="2:16" hidden="1" x14ac:dyDescent="0.3">
      <c r="B193" s="27">
        <v>185</v>
      </c>
      <c r="C193" s="130">
        <v>45191</v>
      </c>
      <c r="D193" s="27">
        <v>3</v>
      </c>
      <c r="E193" s="27" t="s">
        <v>1785</v>
      </c>
      <c r="F193" s="27" t="s">
        <v>1786</v>
      </c>
      <c r="G193" s="39">
        <v>1453</v>
      </c>
      <c r="H193" s="39">
        <v>290</v>
      </c>
      <c r="I193" s="27" t="s">
        <v>73</v>
      </c>
      <c r="J193" s="27"/>
      <c r="K193" s="39">
        <v>552.41</v>
      </c>
      <c r="L193" s="27">
        <v>20498</v>
      </c>
      <c r="M193" s="64">
        <v>610.59</v>
      </c>
      <c r="N193" s="72">
        <v>0.42022711631108101</v>
      </c>
      <c r="O193" s="72">
        <v>6.7500000000000004E-2</v>
      </c>
      <c r="P193" s="64">
        <v>41.21</v>
      </c>
    </row>
    <row r="194" spans="2:16" hidden="1" x14ac:dyDescent="0.3">
      <c r="B194" s="27">
        <v>186</v>
      </c>
      <c r="C194" s="130">
        <v>45224</v>
      </c>
      <c r="D194" s="27">
        <v>4</v>
      </c>
      <c r="E194" s="27" t="s">
        <v>1810</v>
      </c>
      <c r="F194" s="27" t="s">
        <v>1811</v>
      </c>
      <c r="G194" s="39">
        <v>44429.760000000002</v>
      </c>
      <c r="H194" s="39"/>
      <c r="I194" s="27" t="s">
        <v>72</v>
      </c>
      <c r="J194" s="27">
        <v>48724</v>
      </c>
      <c r="K194" s="39">
        <v>32242.48</v>
      </c>
      <c r="L194" s="27" t="s">
        <v>1812</v>
      </c>
      <c r="M194" s="64">
        <v>12187.28</v>
      </c>
      <c r="N194" s="72">
        <v>0.27430443018373302</v>
      </c>
      <c r="O194" s="72">
        <v>4.4999999999999998E-2</v>
      </c>
      <c r="P194" s="64">
        <v>548.42999999999995</v>
      </c>
    </row>
    <row r="195" spans="2:16" x14ac:dyDescent="0.3">
      <c r="B195" s="27">
        <v>187</v>
      </c>
      <c r="C195" s="130">
        <v>45211</v>
      </c>
      <c r="D195" s="27">
        <v>4</v>
      </c>
      <c r="E195" s="27" t="s">
        <v>1813</v>
      </c>
      <c r="F195" s="27" t="s">
        <v>1814</v>
      </c>
      <c r="G195" s="39">
        <v>73800.820000000007</v>
      </c>
      <c r="H195" s="39"/>
      <c r="I195" s="27" t="s">
        <v>72</v>
      </c>
      <c r="J195" s="27"/>
      <c r="K195" s="39">
        <v>53551.59</v>
      </c>
      <c r="L195" s="27" t="s">
        <v>1815</v>
      </c>
      <c r="M195" s="64">
        <v>20249.23</v>
      </c>
      <c r="N195" s="72">
        <v>0.27437676166741798</v>
      </c>
      <c r="O195" s="72">
        <v>4.4999999999999998E-2</v>
      </c>
      <c r="P195" s="64">
        <v>911.22</v>
      </c>
    </row>
    <row r="196" spans="2:16" x14ac:dyDescent="0.3">
      <c r="B196" s="27">
        <v>188</v>
      </c>
      <c r="C196" s="130">
        <v>45211</v>
      </c>
      <c r="D196" s="27">
        <v>4</v>
      </c>
      <c r="E196" s="27" t="s">
        <v>1816</v>
      </c>
      <c r="F196" s="27" t="s">
        <v>1817</v>
      </c>
      <c r="G196" s="39">
        <v>29196.32</v>
      </c>
      <c r="H196" s="39"/>
      <c r="I196" s="27" t="s">
        <v>72</v>
      </c>
      <c r="J196" s="27"/>
      <c r="K196" s="39">
        <v>21185.54</v>
      </c>
      <c r="L196" s="27"/>
      <c r="M196" s="64">
        <v>8010.78</v>
      </c>
      <c r="N196" s="72">
        <v>0.27437635976040797</v>
      </c>
      <c r="O196" s="72">
        <v>4.4999999999999998E-2</v>
      </c>
      <c r="P196" s="64">
        <v>360.49</v>
      </c>
    </row>
  </sheetData>
  <sheetProtection algorithmName="SHA-512" hashValue="lQUBb+PxnCXjO+rbuGmbnEifMkdml1mxfpeaj+wjqhrsRZNaYJ6A/4JymJSuv6xrctVcA5Ay1qHDO66mvqmAWw==" saltValue="ORyhr2/y2tCQCPa7Qob2+w==" spinCount="100000" sheet="1" objects="1" scenarios="1" autoFilter="0"/>
  <autoFilter ref="B9:P196" xr:uid="{DAE072DA-13C2-440B-A43E-86A8C90FE748}">
    <filterColumn colId="4">
      <filters>
        <filter val="ACM - GARE MARITIME"/>
        <filter val="ACM - LIEGE BARCHON"/>
      </filters>
    </filterColumn>
  </autoFilter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4294-994E-4A46-9B9D-A04923B8891C}">
  <sheetPr codeName="F_TDB_Negoce">
    <tabColor theme="7" tint="-0.249977111117893"/>
  </sheetPr>
  <dimension ref="B1:L41"/>
  <sheetViews>
    <sheetView showGridLines="0" topLeftCell="A3" zoomScaleNormal="100" workbookViewId="0">
      <selection activeCell="I25" sqref="I25:L28"/>
    </sheetView>
  </sheetViews>
  <sheetFormatPr baseColWidth="10" defaultRowHeight="14.4" x14ac:dyDescent="0.3"/>
  <cols>
    <col min="1" max="1" width="2.6640625" customWidth="1"/>
    <col min="2" max="2" width="20.6640625" customWidth="1"/>
    <col min="3" max="3" width="18" customWidth="1"/>
    <col min="4" max="4" width="15.109375" customWidth="1"/>
    <col min="5" max="5" width="18.21875" customWidth="1"/>
    <col min="6" max="6" width="12.77734375" customWidth="1"/>
    <col min="7" max="7" width="15.33203125" customWidth="1"/>
    <col min="8" max="12" width="12.77734375" customWidth="1"/>
  </cols>
  <sheetData>
    <row r="1" spans="2:12" hidden="1" x14ac:dyDescent="0.3"/>
    <row r="2" spans="2:12" hidden="1" x14ac:dyDescent="0.3"/>
    <row r="4" spans="2:12" ht="15.6" x14ac:dyDescent="0.3">
      <c r="B4" s="172" t="s">
        <v>170</v>
      </c>
      <c r="C4" s="173"/>
    </row>
    <row r="5" spans="2:12" ht="4.05" customHeight="1" x14ac:dyDescent="0.3"/>
    <row r="6" spans="2:12" ht="16.05" customHeight="1" x14ac:dyDescent="0.3">
      <c r="B6" s="89" t="s">
        <v>174</v>
      </c>
      <c r="C6" s="90">
        <v>2023</v>
      </c>
    </row>
    <row r="7" spans="2:12" ht="4.05" customHeight="1" x14ac:dyDescent="0.3"/>
    <row r="8" spans="2:12" ht="4.05" customHeight="1" x14ac:dyDescent="0.3"/>
    <row r="9" spans="2:12" ht="4.05" customHeight="1" x14ac:dyDescent="0.3"/>
    <row r="10" spans="2:12" ht="4.05" customHeight="1" x14ac:dyDescent="0.3"/>
    <row r="11" spans="2:12" x14ac:dyDescent="0.3">
      <c r="B11" s="59" t="s">
        <v>175</v>
      </c>
    </row>
    <row r="12" spans="2:12" ht="4.05" customHeight="1" thickBot="1" x14ac:dyDescent="0.35"/>
    <row r="13" spans="2:12" ht="15.6" hidden="1" customHeight="1" thickBot="1" x14ac:dyDescent="0.35">
      <c r="I13" s="65" t="str">
        <f>IF(H13="","",H13*0.25)</f>
        <v/>
      </c>
      <c r="J13" s="65" t="str">
        <f>IF(E13="","",IF(E13&gt;F13,300,0))</f>
        <v/>
      </c>
      <c r="K13" s="65" t="str">
        <f>IF(H13="","",H13*0.75)</f>
        <v/>
      </c>
      <c r="L13" s="67" t="str">
        <f>IF(E13="","",IF(E13&gt;F13,600,0))</f>
        <v/>
      </c>
    </row>
    <row r="14" spans="2:12" s="48" customFormat="1" ht="29.4" thickBot="1" x14ac:dyDescent="0.35">
      <c r="B14" s="73" t="s">
        <v>172</v>
      </c>
      <c r="C14" s="55" t="s">
        <v>173</v>
      </c>
      <c r="D14" s="56" t="s">
        <v>161</v>
      </c>
      <c r="E14" s="56" t="s">
        <v>162</v>
      </c>
      <c r="F14" s="56" t="s">
        <v>163</v>
      </c>
      <c r="G14" s="56" t="s">
        <v>164</v>
      </c>
      <c r="H14" s="56" t="s">
        <v>165</v>
      </c>
      <c r="I14" s="57" t="s">
        <v>166</v>
      </c>
      <c r="J14" s="57" t="s">
        <v>167</v>
      </c>
      <c r="K14" s="57" t="s">
        <v>168</v>
      </c>
      <c r="L14" s="58" t="s">
        <v>169</v>
      </c>
    </row>
    <row r="15" spans="2:12" s="49" customFormat="1" ht="16.05" customHeight="1" x14ac:dyDescent="0.3">
      <c r="B15" s="52">
        <v>1</v>
      </c>
      <c r="C15" s="64">
        <v>57208.920000000006</v>
      </c>
      <c r="D15" s="64">
        <v>19532.400000000001</v>
      </c>
      <c r="E15" s="64">
        <v>19532.400000000001</v>
      </c>
      <c r="F15" s="64">
        <v>27000</v>
      </c>
      <c r="G15" s="72">
        <v>0.7234222222222223</v>
      </c>
      <c r="H15" s="64">
        <v>1109.8</v>
      </c>
      <c r="I15" s="64">
        <f t="shared" ref="I15:I18" si="0">IF(H15="","",H15*0.25)</f>
        <v>277.45</v>
      </c>
      <c r="J15" s="64">
        <f t="shared" ref="J15:J18" si="1">IF(E15="","",IF(E15&gt;F15,300,0))</f>
        <v>0</v>
      </c>
      <c r="K15" s="64">
        <f t="shared" ref="K15:K18" si="2">IF(H15="","",H15*0.75)</f>
        <v>832.34999999999991</v>
      </c>
      <c r="L15" s="79">
        <f t="shared" ref="L15:L18" si="3">IF(E15="","",IF(E15&gt;F15,600,0))</f>
        <v>0</v>
      </c>
    </row>
    <row r="16" spans="2:12" s="49" customFormat="1" ht="16.05" customHeight="1" x14ac:dyDescent="0.3">
      <c r="B16" s="53">
        <v>2</v>
      </c>
      <c r="C16" s="64">
        <v>114750.72000000003</v>
      </c>
      <c r="D16" s="64">
        <v>22470.52</v>
      </c>
      <c r="E16" s="64">
        <v>42002.92</v>
      </c>
      <c r="F16" s="64">
        <v>60000</v>
      </c>
      <c r="G16" s="72">
        <v>0.70004866666666665</v>
      </c>
      <c r="H16" s="64">
        <v>2488.4800000000005</v>
      </c>
      <c r="I16" s="64">
        <f t="shared" si="0"/>
        <v>622.12000000000012</v>
      </c>
      <c r="J16" s="64">
        <f t="shared" si="1"/>
        <v>0</v>
      </c>
      <c r="K16" s="64">
        <f t="shared" si="2"/>
        <v>1866.3600000000004</v>
      </c>
      <c r="L16" s="79">
        <f t="shared" si="3"/>
        <v>0</v>
      </c>
    </row>
    <row r="17" spans="2:12" s="49" customFormat="1" ht="16.05" customHeight="1" x14ac:dyDescent="0.3">
      <c r="B17" s="53">
        <v>3</v>
      </c>
      <c r="C17" s="64">
        <v>125459.52000000002</v>
      </c>
      <c r="D17" s="64">
        <v>2925.35</v>
      </c>
      <c r="E17" s="64">
        <v>44928.27</v>
      </c>
      <c r="F17" s="64">
        <v>104000</v>
      </c>
      <c r="G17" s="72">
        <v>0.43200259615384612</v>
      </c>
      <c r="H17" s="64">
        <v>2620.8800000000006</v>
      </c>
      <c r="I17" s="64">
        <f t="shared" si="0"/>
        <v>655.22000000000014</v>
      </c>
      <c r="J17" s="64">
        <f t="shared" si="1"/>
        <v>0</v>
      </c>
      <c r="K17" s="64">
        <f t="shared" si="2"/>
        <v>1965.6600000000003</v>
      </c>
      <c r="L17" s="79">
        <f t="shared" si="3"/>
        <v>0</v>
      </c>
    </row>
    <row r="18" spans="2:12" s="49" customFormat="1" ht="16.05" customHeight="1" thickBot="1" x14ac:dyDescent="0.35">
      <c r="B18" s="54">
        <v>4</v>
      </c>
      <c r="C18" s="66">
        <v>125459.52000000002</v>
      </c>
      <c r="D18" s="66">
        <v>0</v>
      </c>
      <c r="E18" s="66">
        <v>44928.27</v>
      </c>
      <c r="F18" s="66">
        <v>152000</v>
      </c>
      <c r="G18" s="75">
        <v>0.29558072368421051</v>
      </c>
      <c r="H18" s="66">
        <v>2620.8800000000006</v>
      </c>
      <c r="I18" s="66">
        <f t="shared" si="0"/>
        <v>655.22000000000014</v>
      </c>
      <c r="J18" s="66">
        <f t="shared" si="1"/>
        <v>0</v>
      </c>
      <c r="K18" s="66">
        <f t="shared" si="2"/>
        <v>1965.6600000000003</v>
      </c>
      <c r="L18" s="80">
        <f t="shared" si="3"/>
        <v>0</v>
      </c>
    </row>
    <row r="19" spans="2:12" s="49" customFormat="1" ht="4.05" customHeight="1" x14ac:dyDescent="0.3">
      <c r="C19" s="50"/>
      <c r="D19" s="50"/>
      <c r="E19" s="50"/>
      <c r="F19" s="50"/>
      <c r="G19" s="51"/>
      <c r="H19" s="50"/>
      <c r="I19" s="50"/>
      <c r="J19" s="50"/>
      <c r="K19" s="50"/>
      <c r="L19" s="50"/>
    </row>
    <row r="20" spans="2:12" s="49" customFormat="1" ht="16.05" customHeight="1" x14ac:dyDescent="0.3">
      <c r="B20" s="89" t="s">
        <v>174</v>
      </c>
      <c r="C20" s="91">
        <v>2022</v>
      </c>
      <c r="D20" s="50"/>
      <c r="E20" s="50"/>
      <c r="F20" s="50"/>
      <c r="G20" s="51"/>
      <c r="H20" s="50"/>
      <c r="I20" s="50"/>
      <c r="J20" s="50"/>
      <c r="K20" s="50"/>
      <c r="L20" s="50"/>
    </row>
    <row r="21" spans="2:12" s="49" customFormat="1" ht="4.05" customHeight="1" x14ac:dyDescent="0.3">
      <c r="C21" s="50"/>
      <c r="D21" s="50"/>
      <c r="E21" s="50"/>
      <c r="F21" s="50"/>
      <c r="G21" s="51"/>
      <c r="H21" s="50"/>
      <c r="I21" s="50"/>
      <c r="J21" s="50"/>
      <c r="K21" s="50"/>
      <c r="L21" s="50"/>
    </row>
    <row r="22" spans="2:12" s="49" customFormat="1" ht="16.05" customHeight="1" x14ac:dyDescent="0.3">
      <c r="B22" s="59" t="s">
        <v>175</v>
      </c>
      <c r="C22" s="50"/>
      <c r="D22" s="50"/>
      <c r="E22" s="50"/>
      <c r="F22" s="50"/>
      <c r="G22" s="51"/>
      <c r="H22" s="50"/>
      <c r="I22" s="50"/>
      <c r="J22" s="50"/>
      <c r="K22" s="50"/>
      <c r="L22" s="50"/>
    </row>
    <row r="23" spans="2:12" s="49" customFormat="1" ht="4.05" customHeight="1" thickBot="1" x14ac:dyDescent="0.35">
      <c r="C23" s="50"/>
      <c r="D23" s="50"/>
      <c r="E23" s="50"/>
      <c r="F23" s="50"/>
      <c r="G23" s="51"/>
      <c r="H23" s="50"/>
      <c r="I23" s="50"/>
      <c r="J23" s="50"/>
      <c r="K23" s="50"/>
      <c r="L23" s="50"/>
    </row>
    <row r="24" spans="2:12" ht="29.4" thickBot="1" x14ac:dyDescent="0.35">
      <c r="B24" s="73" t="s">
        <v>172</v>
      </c>
      <c r="C24" s="55" t="s">
        <v>173</v>
      </c>
      <c r="D24" s="56" t="s">
        <v>161</v>
      </c>
      <c r="E24" s="56" t="s">
        <v>162</v>
      </c>
      <c r="F24" s="56" t="s">
        <v>163</v>
      </c>
      <c r="G24" s="56" t="s">
        <v>164</v>
      </c>
      <c r="H24" s="56" t="s">
        <v>165</v>
      </c>
      <c r="I24" s="57" t="s">
        <v>166</v>
      </c>
      <c r="J24" s="57" t="s">
        <v>167</v>
      </c>
      <c r="K24" s="57" t="s">
        <v>168</v>
      </c>
      <c r="L24" s="58" t="s">
        <v>169</v>
      </c>
    </row>
    <row r="25" spans="2:12" x14ac:dyDescent="0.3">
      <c r="B25" s="52">
        <v>1</v>
      </c>
      <c r="C25" s="64">
        <v>51960.450000000004</v>
      </c>
      <c r="D25" s="64">
        <v>16166.25</v>
      </c>
      <c r="E25" s="64">
        <v>16166.25</v>
      </c>
      <c r="F25" s="64">
        <v>25000</v>
      </c>
      <c r="G25" s="72">
        <v>0.64664999999999995</v>
      </c>
      <c r="H25" s="64">
        <v>854.53000000000009</v>
      </c>
      <c r="I25" s="64">
        <f t="shared" ref="I25:I28" si="4">IF(H25="","",H25*0.25)</f>
        <v>213.63250000000002</v>
      </c>
      <c r="J25" s="64">
        <f t="shared" ref="J25:J28" si="5">IF(E25="","",IF(E25&gt;F25,300,0))</f>
        <v>0</v>
      </c>
      <c r="K25" s="64">
        <f t="shared" ref="K25:K28" si="6">IF(H25="","",H25*0.75)</f>
        <v>640.89750000000004</v>
      </c>
      <c r="L25" s="79">
        <f t="shared" ref="L25:L28" si="7">IF(E25="","",IF(E25&gt;F25,600,0))</f>
        <v>0</v>
      </c>
    </row>
    <row r="26" spans="2:12" x14ac:dyDescent="0.3">
      <c r="B26" s="53">
        <v>2</v>
      </c>
      <c r="C26" s="64">
        <v>118721.47999999998</v>
      </c>
      <c r="D26" s="64">
        <v>24995</v>
      </c>
      <c r="E26" s="64">
        <v>41161.25</v>
      </c>
      <c r="F26" s="64">
        <v>55000</v>
      </c>
      <c r="G26" s="72">
        <v>0.74838636363636368</v>
      </c>
      <c r="H26" s="64">
        <v>2350.9299999999994</v>
      </c>
      <c r="I26" s="64">
        <f t="shared" si="4"/>
        <v>587.73249999999985</v>
      </c>
      <c r="J26" s="64">
        <f t="shared" si="5"/>
        <v>0</v>
      </c>
      <c r="K26" s="64">
        <f t="shared" si="6"/>
        <v>1763.1974999999995</v>
      </c>
      <c r="L26" s="79">
        <f t="shared" si="7"/>
        <v>0</v>
      </c>
    </row>
    <row r="27" spans="2:12" x14ac:dyDescent="0.3">
      <c r="B27" s="53">
        <v>3</v>
      </c>
      <c r="C27" s="64">
        <v>350410.45</v>
      </c>
      <c r="D27" s="64">
        <v>78497.429999999993</v>
      </c>
      <c r="E27" s="64">
        <v>119658.68</v>
      </c>
      <c r="F27" s="64">
        <v>90000</v>
      </c>
      <c r="G27" s="72">
        <v>1.3295408888888889</v>
      </c>
      <c r="H27" s="64">
        <v>6789.3300000000008</v>
      </c>
      <c r="I27" s="64">
        <f t="shared" si="4"/>
        <v>1697.3325000000002</v>
      </c>
      <c r="J27" s="64">
        <f t="shared" si="5"/>
        <v>300</v>
      </c>
      <c r="K27" s="64">
        <f t="shared" si="6"/>
        <v>5091.9975000000004</v>
      </c>
      <c r="L27" s="79">
        <f t="shared" si="7"/>
        <v>600</v>
      </c>
    </row>
    <row r="28" spans="2:12" ht="15" thickBot="1" x14ac:dyDescent="0.35">
      <c r="B28" s="54">
        <v>4</v>
      </c>
      <c r="C28" s="66">
        <v>458406.60000000003</v>
      </c>
      <c r="D28" s="66">
        <v>40171.120000000003</v>
      </c>
      <c r="E28" s="66">
        <v>159829.79999999999</v>
      </c>
      <c r="F28" s="66">
        <v>125000</v>
      </c>
      <c r="G28" s="75">
        <v>1.2786384</v>
      </c>
      <c r="H28" s="66">
        <v>9212.5799999999981</v>
      </c>
      <c r="I28" s="66">
        <f t="shared" si="4"/>
        <v>2303.1449999999995</v>
      </c>
      <c r="J28" s="66">
        <f t="shared" si="5"/>
        <v>300</v>
      </c>
      <c r="K28" s="66">
        <f t="shared" si="6"/>
        <v>6909.4349999999986</v>
      </c>
      <c r="L28" s="80">
        <f t="shared" si="7"/>
        <v>600</v>
      </c>
    </row>
    <row r="29" spans="2:12" ht="4.05" customHeight="1" x14ac:dyDescent="0.3"/>
    <row r="30" spans="2:12" ht="4.05" customHeight="1" x14ac:dyDescent="0.3"/>
    <row r="31" spans="2:12" ht="15.6" x14ac:dyDescent="0.3">
      <c r="B31" s="172" t="s">
        <v>171</v>
      </c>
      <c r="C31" s="173"/>
    </row>
    <row r="32" spans="2:12" ht="4.05" customHeight="1" x14ac:dyDescent="0.3"/>
    <row r="33" spans="2:12" ht="4.05" customHeight="1" x14ac:dyDescent="0.3"/>
    <row r="34" spans="2:12" ht="18" hidden="1" customHeight="1" x14ac:dyDescent="0.3">
      <c r="E34">
        <f>0.25*(C34*0.018)</f>
        <v>0</v>
      </c>
      <c r="F34">
        <f>0.25*(D34*0.018)</f>
        <v>0</v>
      </c>
      <c r="G34">
        <f>0.75*(C34*0.018)</f>
        <v>0</v>
      </c>
      <c r="H34">
        <f>0.75*(D34*0.018)</f>
        <v>0</v>
      </c>
    </row>
    <row r="35" spans="2:12" ht="19.05" customHeight="1" thickBot="1" x14ac:dyDescent="0.35">
      <c r="B35" s="63"/>
      <c r="C35" s="70" t="s">
        <v>176</v>
      </c>
      <c r="D35" s="70"/>
      <c r="E35" s="76" t="s">
        <v>166</v>
      </c>
      <c r="F35" s="70"/>
      <c r="G35" s="76" t="s">
        <v>168</v>
      </c>
      <c r="H35" s="71"/>
    </row>
    <row r="36" spans="2:12" s="48" customFormat="1" ht="16.2" thickBot="1" x14ac:dyDescent="0.35">
      <c r="B36" s="74" t="s">
        <v>172</v>
      </c>
      <c r="C36" s="60">
        <f>IF(RngAnne1="","n.d",RngAnne1)</f>
        <v>2023</v>
      </c>
      <c r="D36" s="61">
        <f>IF(RngAnne2="","n.d",RngAnne2)</f>
        <v>2022</v>
      </c>
      <c r="E36" s="60">
        <f>C36</f>
        <v>2023</v>
      </c>
      <c r="F36" s="61">
        <f>D36</f>
        <v>2022</v>
      </c>
      <c r="G36" s="60">
        <f>C36</f>
        <v>2023</v>
      </c>
      <c r="H36" s="62">
        <f>D36</f>
        <v>2022</v>
      </c>
    </row>
    <row r="37" spans="2:12" s="49" customFormat="1" ht="16.05" customHeight="1" x14ac:dyDescent="0.3">
      <c r="B37" s="52">
        <v>1</v>
      </c>
      <c r="C37" s="64">
        <v>57208.920000000006</v>
      </c>
      <c r="D37" s="64">
        <v>51960.450000000004</v>
      </c>
      <c r="E37" s="64">
        <f t="shared" ref="E37:E40" si="8">0.25*(C37*0.018)</f>
        <v>257.44013999999999</v>
      </c>
      <c r="F37" s="64">
        <f t="shared" ref="F37:F40" si="9">0.25*(D37*0.018)</f>
        <v>233.822025</v>
      </c>
      <c r="G37" s="64">
        <f t="shared" ref="G37:G40" si="10">0.75*(C37*0.018)</f>
        <v>772.32042000000001</v>
      </c>
      <c r="H37" s="77">
        <f t="shared" ref="H37:H40" si="11">0.75*(D37*0.018)</f>
        <v>701.46607500000005</v>
      </c>
    </row>
    <row r="38" spans="2:12" s="49" customFormat="1" ht="16.05" customHeight="1" x14ac:dyDescent="0.3">
      <c r="B38" s="53">
        <v>2</v>
      </c>
      <c r="C38" s="64">
        <v>114750.72000000003</v>
      </c>
      <c r="D38" s="64">
        <v>118721.47999999998</v>
      </c>
      <c r="E38" s="64">
        <f t="shared" si="8"/>
        <v>516.37824000000012</v>
      </c>
      <c r="F38" s="64">
        <f t="shared" si="9"/>
        <v>534.24665999999991</v>
      </c>
      <c r="G38" s="64">
        <f t="shared" si="10"/>
        <v>1549.1347200000005</v>
      </c>
      <c r="H38" s="77">
        <f t="shared" si="11"/>
        <v>1602.7399799999998</v>
      </c>
    </row>
    <row r="39" spans="2:12" s="49" customFormat="1" ht="16.05" customHeight="1" x14ac:dyDescent="0.3">
      <c r="B39" s="53">
        <v>3</v>
      </c>
      <c r="C39" s="64">
        <v>125459.52000000002</v>
      </c>
      <c r="D39" s="64">
        <v>350410.45</v>
      </c>
      <c r="E39" s="64">
        <f t="shared" si="8"/>
        <v>564.56784000000005</v>
      </c>
      <c r="F39" s="64">
        <f t="shared" si="9"/>
        <v>1576.847025</v>
      </c>
      <c r="G39" s="64">
        <f t="shared" si="10"/>
        <v>1693.70352</v>
      </c>
      <c r="H39" s="77">
        <f t="shared" si="11"/>
        <v>4730.5410750000001</v>
      </c>
    </row>
    <row r="40" spans="2:12" s="49" customFormat="1" ht="16.05" customHeight="1" thickBot="1" x14ac:dyDescent="0.35">
      <c r="B40" s="54">
        <v>4</v>
      </c>
      <c r="C40" s="66">
        <v>125459.52000000002</v>
      </c>
      <c r="D40" s="66">
        <v>458406.60000000003</v>
      </c>
      <c r="E40" s="66">
        <f t="shared" si="8"/>
        <v>564.56784000000005</v>
      </c>
      <c r="F40" s="66">
        <f t="shared" si="9"/>
        <v>2062.8296999999998</v>
      </c>
      <c r="G40" s="66">
        <f t="shared" si="10"/>
        <v>1693.70352</v>
      </c>
      <c r="H40" s="78">
        <f t="shared" si="11"/>
        <v>6188.4890999999989</v>
      </c>
    </row>
    <row r="41" spans="2:12" s="49" customFormat="1" ht="16.05" customHeight="1" x14ac:dyDescent="0.3">
      <c r="C41" s="50"/>
      <c r="D41" s="50"/>
      <c r="E41" s="50"/>
      <c r="F41" s="50"/>
      <c r="G41" s="51"/>
      <c r="H41" s="50"/>
      <c r="I41" s="50"/>
      <c r="J41" s="50"/>
      <c r="K41" s="50"/>
      <c r="L41" s="50"/>
    </row>
  </sheetData>
  <sheetProtection algorithmName="SHA-512" hashValue="xRQfPi9SDvPpOleQSrjHCFnlTKt8xBWDoDcLpkyI+3p+zmCXm7g58di/6UeWTQxKvR354/lqcNMhe2UQkd+Jgg==" saltValue="vaAOHVUq98Y048bSg1Wo6g==" spinCount="100000" sheet="1" objects="1" scenarios="1"/>
  <mergeCells count="2">
    <mergeCell ref="B4:C4"/>
    <mergeCell ref="B31:C31"/>
  </mergeCells>
  <pageMargins left="0.19685039370078741" right="0.19685039370078741" top="0.39370078740157483" bottom="0.39370078740157483" header="0.31496062992125984" footer="0.31496062992125984"/>
  <pageSetup paperSize="9" scale="94" fitToWidth="0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95D6-DB9E-4DD8-B118-62D32F870238}">
  <sheetPr codeName="F_TDB_Agence">
    <tabColor theme="7" tint="-0.249977111117893"/>
    <pageSetUpPr fitToPage="1"/>
  </sheetPr>
  <dimension ref="B1:L35"/>
  <sheetViews>
    <sheetView showGridLines="0" zoomScale="80" zoomScaleNormal="80" workbookViewId="0">
      <selection activeCell="D43" sqref="D43"/>
    </sheetView>
  </sheetViews>
  <sheetFormatPr baseColWidth="10" defaultRowHeight="14.4" x14ac:dyDescent="0.3"/>
  <cols>
    <col min="1" max="1" width="2.6640625" customWidth="1"/>
    <col min="2" max="2" width="20.6640625" customWidth="1"/>
    <col min="3" max="4" width="14.77734375" customWidth="1"/>
    <col min="5" max="5" width="20.77734375" customWidth="1"/>
    <col min="6" max="6" width="15.109375" customWidth="1"/>
    <col min="7" max="7" width="18.77734375" customWidth="1"/>
    <col min="8" max="8" width="15.6640625" customWidth="1"/>
    <col min="9" max="10" width="12.77734375" customWidth="1"/>
    <col min="12" max="12" width="10.77734375" customWidth="1"/>
  </cols>
  <sheetData>
    <row r="1" spans="2:12" ht="9.6" customHeight="1" x14ac:dyDescent="0.3"/>
    <row r="2" spans="2:12" ht="9" customHeight="1" x14ac:dyDescent="0.3"/>
    <row r="3" spans="2:12" s="49" customFormat="1" ht="22.05" customHeight="1" x14ac:dyDescent="0.3">
      <c r="B3" s="88" t="s">
        <v>83</v>
      </c>
      <c r="C3" s="174" t="s">
        <v>196</v>
      </c>
      <c r="D3" s="174"/>
      <c r="E3" s="174"/>
    </row>
    <row r="4" spans="2:12" ht="3" customHeight="1" x14ac:dyDescent="0.3"/>
    <row r="5" spans="2:12" s="49" customFormat="1" ht="25.05" customHeight="1" x14ac:dyDescent="0.3">
      <c r="B5" s="88" t="s">
        <v>98</v>
      </c>
      <c r="C5" s="174" t="s">
        <v>72</v>
      </c>
      <c r="D5" s="174"/>
      <c r="E5" s="174"/>
    </row>
    <row r="6" spans="2:12" ht="10.050000000000001" customHeight="1" x14ac:dyDescent="0.3"/>
    <row r="7" spans="2:12" x14ac:dyDescent="0.3">
      <c r="B7" s="97"/>
      <c r="C7" s="97"/>
      <c r="D7" s="97"/>
      <c r="E7" s="97"/>
    </row>
    <row r="9" spans="2:12" ht="15.6" x14ac:dyDescent="0.3">
      <c r="B9" s="172" t="s">
        <v>199</v>
      </c>
      <c r="C9" s="173"/>
      <c r="D9" s="85"/>
    </row>
    <row r="10" spans="2:12" ht="4.05" customHeight="1" x14ac:dyDescent="0.3"/>
    <row r="11" spans="2:12" ht="4.05" customHeight="1" x14ac:dyDescent="0.3"/>
    <row r="12" spans="2:12" ht="3" customHeight="1" x14ac:dyDescent="0.3">
      <c r="B12" s="59"/>
    </row>
    <row r="13" spans="2:12" ht="4.05" customHeight="1" x14ac:dyDescent="0.3"/>
    <row r="14" spans="2:12" ht="15.6" customHeight="1" thickBot="1" x14ac:dyDescent="0.35"/>
    <row r="15" spans="2:12" ht="15.6" hidden="1" customHeight="1" thickBot="1" x14ac:dyDescent="0.35">
      <c r="C15" s="8">
        <v>2023</v>
      </c>
      <c r="D15" s="8">
        <v>2022</v>
      </c>
      <c r="E15" s="8"/>
      <c r="F15" s="8"/>
      <c r="G15" s="8"/>
      <c r="H15" s="8"/>
      <c r="I15" s="8"/>
      <c r="J15" s="8"/>
      <c r="K15" s="8"/>
      <c r="L15" s="8"/>
    </row>
    <row r="16" spans="2:12" s="48" customFormat="1" ht="15.6" customHeight="1" x14ac:dyDescent="0.3">
      <c r="B16" s="84"/>
      <c r="C16" s="177" t="s">
        <v>185</v>
      </c>
      <c r="D16" s="175"/>
      <c r="E16" s="175" t="s">
        <v>186</v>
      </c>
      <c r="F16" s="175"/>
      <c r="G16" s="175" t="s">
        <v>189</v>
      </c>
      <c r="H16" s="175"/>
      <c r="I16" s="175" t="s">
        <v>190</v>
      </c>
      <c r="J16" s="175"/>
      <c r="K16" s="175" t="s">
        <v>191</v>
      </c>
      <c r="L16" s="176"/>
    </row>
    <row r="17" spans="2:12" s="48" customFormat="1" ht="16.5" customHeight="1" thickBot="1" x14ac:dyDescent="0.35">
      <c r="B17" s="73" t="s">
        <v>172</v>
      </c>
      <c r="C17" s="60">
        <f>IF(RngAnne1="","nd",RngAnne1)</f>
        <v>2023</v>
      </c>
      <c r="D17" s="60">
        <f>IF(RngAnne2="","n.d",RngAnne2)</f>
        <v>2022</v>
      </c>
      <c r="E17" s="60">
        <f>C17</f>
        <v>2023</v>
      </c>
      <c r="F17" s="60">
        <f>D17</f>
        <v>2022</v>
      </c>
      <c r="G17" s="60">
        <f>C17</f>
        <v>2023</v>
      </c>
      <c r="H17" s="60">
        <f>D17</f>
        <v>2022</v>
      </c>
      <c r="I17" s="60">
        <f>C17</f>
        <v>2023</v>
      </c>
      <c r="J17" s="60">
        <f>D17</f>
        <v>2022</v>
      </c>
      <c r="K17" s="60">
        <f>C17</f>
        <v>2023</v>
      </c>
      <c r="L17" s="86">
        <f>D17</f>
        <v>2022</v>
      </c>
    </row>
    <row r="18" spans="2:12" s="49" customFormat="1" ht="16.05" customHeight="1" x14ac:dyDescent="0.3">
      <c r="B18" s="52">
        <v>1</v>
      </c>
      <c r="C18" s="64">
        <v>191835.18000000002</v>
      </c>
      <c r="D18" s="64">
        <v>125043.50000000001</v>
      </c>
      <c r="E18" s="64">
        <v>191835.18</v>
      </c>
      <c r="F18" s="64">
        <v>125043.5</v>
      </c>
      <c r="G18" s="64">
        <v>150000</v>
      </c>
      <c r="H18" s="64">
        <v>150000</v>
      </c>
      <c r="I18" s="72">
        <v>1.2789012</v>
      </c>
      <c r="J18" s="72">
        <v>0.83362333333333338</v>
      </c>
      <c r="K18" s="64">
        <f>IF(E18="","",IF(AND(E18=0,G18=0),0,IF(E18&lt;G18,0,100)))</f>
        <v>100</v>
      </c>
      <c r="L18" s="79">
        <f>IF(F18="","",IF(AND(F18=0,H18=0),0,IF(F18&lt;H18,0,100)))</f>
        <v>0</v>
      </c>
    </row>
    <row r="19" spans="2:12" s="49" customFormat="1" ht="16.05" customHeight="1" x14ac:dyDescent="0.3">
      <c r="B19" s="53">
        <v>2</v>
      </c>
      <c r="C19" s="64">
        <v>114019.05999999998</v>
      </c>
      <c r="D19" s="64">
        <v>254046.02000000002</v>
      </c>
      <c r="E19" s="64">
        <v>305854.24</v>
      </c>
      <c r="F19" s="64">
        <v>379089.52</v>
      </c>
      <c r="G19" s="64">
        <v>400000</v>
      </c>
      <c r="H19" s="64">
        <v>400000</v>
      </c>
      <c r="I19" s="72">
        <v>0.76463559999999997</v>
      </c>
      <c r="J19" s="72">
        <v>0.94772380000000001</v>
      </c>
      <c r="K19" s="64">
        <f t="shared" ref="K19:L21" si="0">IF(E19="","",IF(AND(E19=0,G19=0),0,IF(E19&lt;G19,0,100)))</f>
        <v>0</v>
      </c>
      <c r="L19" s="79">
        <f t="shared" si="0"/>
        <v>0</v>
      </c>
    </row>
    <row r="20" spans="2:12" s="49" customFormat="1" ht="16.05" customHeight="1" x14ac:dyDescent="0.3">
      <c r="B20" s="53">
        <v>3</v>
      </c>
      <c r="C20" s="64">
        <v>296483.7</v>
      </c>
      <c r="D20" s="64">
        <v>245750.30000000002</v>
      </c>
      <c r="E20" s="64">
        <v>602337.93999999994</v>
      </c>
      <c r="F20" s="64">
        <v>624839.81999999995</v>
      </c>
      <c r="G20" s="64">
        <v>650000</v>
      </c>
      <c r="H20" s="64">
        <v>650000</v>
      </c>
      <c r="I20" s="72">
        <v>0.9266737538461538</v>
      </c>
      <c r="J20" s="72">
        <v>0.96129203076923064</v>
      </c>
      <c r="K20" s="64">
        <f t="shared" si="0"/>
        <v>0</v>
      </c>
      <c r="L20" s="79">
        <f t="shared" si="0"/>
        <v>0</v>
      </c>
    </row>
    <row r="21" spans="2:12" s="49" customFormat="1" ht="16.05" customHeight="1" thickBot="1" x14ac:dyDescent="0.35">
      <c r="B21" s="54">
        <v>4</v>
      </c>
      <c r="C21" s="66">
        <v>29953.17</v>
      </c>
      <c r="D21" s="66">
        <v>299736.44999999984</v>
      </c>
      <c r="E21" s="66">
        <v>632291.11</v>
      </c>
      <c r="F21" s="66">
        <v>924576.27</v>
      </c>
      <c r="G21" s="66">
        <v>900000</v>
      </c>
      <c r="H21" s="66">
        <v>900000</v>
      </c>
      <c r="I21" s="75">
        <v>0.70254567777777777</v>
      </c>
      <c r="J21" s="75">
        <v>1.0273069666666668</v>
      </c>
      <c r="K21" s="66">
        <f t="shared" si="0"/>
        <v>0</v>
      </c>
      <c r="L21" s="80">
        <f t="shared" si="0"/>
        <v>100</v>
      </c>
    </row>
    <row r="22" spans="2:12" s="49" customFormat="1" ht="3" customHeight="1" x14ac:dyDescent="0.3">
      <c r="B22" s="81"/>
      <c r="C22" s="82"/>
      <c r="D22" s="82"/>
      <c r="E22" s="82"/>
      <c r="F22" s="82"/>
      <c r="G22" s="83"/>
      <c r="H22" s="83"/>
      <c r="I22" s="82"/>
      <c r="J22" s="82"/>
    </row>
    <row r="23" spans="2:12" s="49" customFormat="1" ht="4.05" customHeight="1" x14ac:dyDescent="0.3">
      <c r="C23" s="50"/>
      <c r="D23" s="50"/>
      <c r="E23" s="50"/>
      <c r="F23" s="50"/>
      <c r="G23" s="50"/>
      <c r="H23" s="50"/>
      <c r="I23" s="50"/>
      <c r="J23" s="50"/>
    </row>
    <row r="24" spans="2:12" s="49" customFormat="1" ht="4.05" customHeight="1" x14ac:dyDescent="0.3">
      <c r="C24" s="50"/>
      <c r="D24" s="50"/>
      <c r="E24" s="50"/>
      <c r="F24" s="50"/>
      <c r="G24" s="50"/>
      <c r="H24" s="50"/>
      <c r="I24" s="50"/>
      <c r="J24" s="50"/>
    </row>
    <row r="25" spans="2:12" ht="3" customHeight="1" x14ac:dyDescent="0.3"/>
    <row r="26" spans="2:12" ht="15.6" hidden="1" x14ac:dyDescent="0.3">
      <c r="B26" s="172" t="s">
        <v>192</v>
      </c>
      <c r="C26" s="173"/>
    </row>
    <row r="27" spans="2:12" ht="15" hidden="1" thickBot="1" x14ac:dyDescent="0.35"/>
    <row r="28" spans="2:12" ht="15.6" hidden="1" x14ac:dyDescent="0.3">
      <c r="B28" s="84"/>
      <c r="C28" s="177" t="s">
        <v>185</v>
      </c>
      <c r="D28" s="175"/>
      <c r="E28" s="175" t="s">
        <v>186</v>
      </c>
      <c r="F28" s="175"/>
      <c r="G28" s="175" t="s">
        <v>187</v>
      </c>
      <c r="H28" s="175"/>
      <c r="I28" s="175" t="s">
        <v>188</v>
      </c>
      <c r="J28" s="176"/>
    </row>
    <row r="29" spans="2:12" ht="16.2" hidden="1" thickBot="1" x14ac:dyDescent="0.35">
      <c r="B29" s="73" t="s">
        <v>172</v>
      </c>
      <c r="C29" s="60">
        <f>IF(RngAnne1="","nd",RngAnne1)</f>
        <v>2023</v>
      </c>
      <c r="D29" s="60">
        <f>IF(RngAnne2="","n.d",RngAnne2)</f>
        <v>2022</v>
      </c>
      <c r="E29" s="60">
        <f>C29</f>
        <v>2023</v>
      </c>
      <c r="F29" s="60">
        <f>D29</f>
        <v>2022</v>
      </c>
      <c r="G29" s="60">
        <f>C29</f>
        <v>2023</v>
      </c>
      <c r="H29" s="60">
        <f>D29</f>
        <v>2022</v>
      </c>
      <c r="I29" s="60">
        <f>C29</f>
        <v>2023</v>
      </c>
      <c r="J29" s="87">
        <f>D29</f>
        <v>2022</v>
      </c>
    </row>
    <row r="30" spans="2:12" hidden="1" x14ac:dyDescent="0.3">
      <c r="B30" s="52">
        <v>1</v>
      </c>
      <c r="C30" s="64">
        <v>191835.18000000002</v>
      </c>
      <c r="D30" s="64">
        <v>125043.50000000001</v>
      </c>
      <c r="E30" s="64">
        <v>191835.18</v>
      </c>
      <c r="F30" s="64">
        <v>125043.5</v>
      </c>
      <c r="G30" s="92">
        <v>2E-3</v>
      </c>
      <c r="H30" s="92">
        <v>2E-3</v>
      </c>
      <c r="I30" s="64">
        <f>IF(E30="","",E30*G30)</f>
        <v>383.67036000000002</v>
      </c>
      <c r="J30" s="79">
        <f>IF(F30="","",H30*F30)</f>
        <v>250.08700000000002</v>
      </c>
    </row>
    <row r="31" spans="2:12" hidden="1" x14ac:dyDescent="0.3">
      <c r="B31" s="53">
        <v>2</v>
      </c>
      <c r="C31" s="64">
        <v>114019.05999999998</v>
      </c>
      <c r="D31" s="64">
        <v>254046.02000000002</v>
      </c>
      <c r="E31" s="64">
        <v>305854.24</v>
      </c>
      <c r="F31" s="64">
        <v>379089.52</v>
      </c>
      <c r="G31" s="92">
        <v>2E-3</v>
      </c>
      <c r="H31" s="92">
        <v>2E-3</v>
      </c>
      <c r="I31" s="64">
        <f t="shared" ref="I31:I33" si="1">IF(E31="","",E31*G31)</f>
        <v>611.70848000000001</v>
      </c>
      <c r="J31" s="79">
        <f t="shared" ref="J31:J33" si="2">IF(F31="","",H31*F31)</f>
        <v>758.1790400000001</v>
      </c>
    </row>
    <row r="32" spans="2:12" hidden="1" x14ac:dyDescent="0.3">
      <c r="B32" s="53">
        <v>3</v>
      </c>
      <c r="C32" s="64">
        <v>296483.7</v>
      </c>
      <c r="D32" s="64">
        <v>245750.30000000002</v>
      </c>
      <c r="E32" s="64">
        <v>602337.93999999994</v>
      </c>
      <c r="F32" s="64">
        <v>624839.81999999995</v>
      </c>
      <c r="G32" s="92">
        <v>2E-3</v>
      </c>
      <c r="H32" s="92">
        <v>2E-3</v>
      </c>
      <c r="I32" s="64">
        <f t="shared" si="1"/>
        <v>1204.67588</v>
      </c>
      <c r="J32" s="79">
        <f t="shared" si="2"/>
        <v>1249.6796399999998</v>
      </c>
    </row>
    <row r="33" spans="2:12" ht="15" hidden="1" thickBot="1" x14ac:dyDescent="0.35">
      <c r="B33" s="54">
        <v>4</v>
      </c>
      <c r="C33" s="66">
        <v>29953.17</v>
      </c>
      <c r="D33" s="66">
        <v>299736.44999999984</v>
      </c>
      <c r="E33" s="66">
        <v>632291.11</v>
      </c>
      <c r="F33" s="66">
        <v>924576.27</v>
      </c>
      <c r="G33" s="93">
        <v>2E-3</v>
      </c>
      <c r="H33" s="93">
        <v>2E-3</v>
      </c>
      <c r="I33" s="66">
        <f t="shared" si="1"/>
        <v>1264.58222</v>
      </c>
      <c r="J33" s="80">
        <f t="shared" si="2"/>
        <v>1849.15254</v>
      </c>
    </row>
    <row r="34" spans="2:12" ht="3" hidden="1" customHeight="1" x14ac:dyDescent="0.3">
      <c r="B34" s="81"/>
      <c r="C34" s="82"/>
      <c r="D34" s="82"/>
      <c r="E34" s="82"/>
      <c r="F34" s="82"/>
      <c r="G34" s="83"/>
      <c r="H34" s="83"/>
      <c r="I34" s="82"/>
      <c r="J34" s="82"/>
      <c r="K34" s="49"/>
      <c r="L34" s="49"/>
    </row>
    <row r="35" spans="2:12" hidden="1" x14ac:dyDescent="0.3"/>
  </sheetData>
  <sheetProtection algorithmName="SHA-512" hashValue="s7OQwuKauXTKzzOGC75YnuiQmGlP+gSRVxUzaRHhnU2EHBGbDQKCZX2w4h+X2hNl8V8DOs87Sr8ibwyIws8J2Q==" saltValue="U1rrBFIU1PUkrER3G8kWSQ==" spinCount="100000" sheet="1" objects="1" scenarios="1"/>
  <mergeCells count="13">
    <mergeCell ref="C28:D28"/>
    <mergeCell ref="E28:F28"/>
    <mergeCell ref="G28:H28"/>
    <mergeCell ref="I28:J28"/>
    <mergeCell ref="C16:D16"/>
    <mergeCell ref="E16:F16"/>
    <mergeCell ref="G16:H16"/>
    <mergeCell ref="I16:J16"/>
    <mergeCell ref="C3:E3"/>
    <mergeCell ref="C5:E5"/>
    <mergeCell ref="K16:L16"/>
    <mergeCell ref="B26:C26"/>
    <mergeCell ref="B9:C9"/>
  </mergeCells>
  <pageMargins left="0.19685039370078741" right="0.19685039370078741" top="0.39370078740157483" bottom="0.39370078740157483" header="0.31496062992125984" footer="0.31496062992125984"/>
  <pageSetup paperSize="9" scale="92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24FBC-B142-4EC5-8F5F-5D94A8FC6A23}">
  <sheetPr codeName="F_Calcul_Variable">
    <tabColor rgb="FFFF0000"/>
    <pageSetUpPr fitToPage="1"/>
  </sheetPr>
  <dimension ref="B2:I50"/>
  <sheetViews>
    <sheetView showGridLines="0" showRowColHeaders="0" tabSelected="1" zoomScale="90" zoomScaleNormal="90" workbookViewId="0">
      <pane ySplit="4" topLeftCell="A5" activePane="bottomLeft" state="frozen"/>
      <selection pane="bottomLeft" activeCell="E10" sqref="E10"/>
    </sheetView>
  </sheetViews>
  <sheetFormatPr baseColWidth="10" defaultRowHeight="14.4" x14ac:dyDescent="0.3"/>
  <cols>
    <col min="1" max="1" width="4.77734375" customWidth="1"/>
    <col min="2" max="2" width="15.77734375" style="94" customWidth="1"/>
    <col min="3" max="9" width="18.6640625" customWidth="1"/>
  </cols>
  <sheetData>
    <row r="2" spans="2:9" x14ac:dyDescent="0.3">
      <c r="H2" s="124" t="s">
        <v>224</v>
      </c>
      <c r="I2" s="131">
        <v>2023</v>
      </c>
    </row>
    <row r="4" spans="2:9" ht="3" customHeight="1" x14ac:dyDescent="0.3">
      <c r="B4" s="106"/>
      <c r="C4" s="1"/>
      <c r="D4" s="1"/>
      <c r="E4" s="1"/>
      <c r="F4" s="1"/>
      <c r="G4" s="1"/>
      <c r="H4" s="1"/>
      <c r="I4" s="1"/>
    </row>
    <row r="6" spans="2:9" x14ac:dyDescent="0.3">
      <c r="B6" s="105" t="s">
        <v>122</v>
      </c>
    </row>
    <row r="7" spans="2:9" ht="3" customHeight="1" x14ac:dyDescent="0.3">
      <c r="B7" s="105"/>
    </row>
    <row r="8" spans="2:9" s="108" customFormat="1" ht="17.55" customHeight="1" x14ac:dyDescent="0.3">
      <c r="B8" s="107"/>
      <c r="C8" s="180" t="s">
        <v>216</v>
      </c>
      <c r="D8" s="180"/>
      <c r="E8" s="181"/>
      <c r="F8" s="182" t="s">
        <v>217</v>
      </c>
      <c r="G8" s="182"/>
      <c r="H8" s="182"/>
      <c r="I8" s="178" t="s">
        <v>202</v>
      </c>
    </row>
    <row r="9" spans="2:9" s="113" customFormat="1" ht="42.6" customHeight="1" x14ac:dyDescent="0.3">
      <c r="B9" s="109" t="s">
        <v>80</v>
      </c>
      <c r="C9" s="110" t="s">
        <v>228</v>
      </c>
      <c r="D9" s="110" t="s">
        <v>212</v>
      </c>
      <c r="E9" s="111" t="s">
        <v>213</v>
      </c>
      <c r="F9" s="112" t="s">
        <v>214</v>
      </c>
      <c r="G9" s="110" t="s">
        <v>215</v>
      </c>
      <c r="H9" s="110" t="s">
        <v>218</v>
      </c>
      <c r="I9" s="178"/>
    </row>
    <row r="10" spans="2:9" s="108" customFormat="1" ht="13.8" x14ac:dyDescent="0.3">
      <c r="B10" s="114">
        <v>1</v>
      </c>
      <c r="C10" s="115">
        <f>0.004*SUMIFS('Détail Calcul'!C:C,'Détail Calcul'!A:A,'Calcul Variable'!B10,'Détail Calcul'!B:B,"&lt;&gt;IDF" )</f>
        <v>1841.5090399999997</v>
      </c>
      <c r="D10" s="115">
        <f>0.014*0.75*SUMIFS('Détail Calcul'!C:C,'Détail Calcul'!A:A,'Calcul Variable'!B10,'Détail Calcul'!B:B,"IDF" )</f>
        <v>6324.2870249999987</v>
      </c>
      <c r="E10" s="115">
        <f>SUMPRODUCT(('Détail Calcul'!I:I="IDF")*('Détail Calcul'!G:G&gt;0)*('Détail Calcul'!G:G&lt;='Détail Calcul'!H:H)*('Détail Calcul'!E:E='Calcul Variable'!B10)*1)*100</f>
        <v>600</v>
      </c>
      <c r="F10" s="116">
        <f>0.02*0.25*SUMIF('Détail Calcul'!R:R,'Calcul Variable'!B10,'Détail Calcul'!S:S)</f>
        <v>286.04460000000006</v>
      </c>
      <c r="G10" s="117">
        <v>0</v>
      </c>
      <c r="H10" s="115">
        <f>0.25*SUMIF('Détail Calcul'!K:K,'Calcul Variable'!B10,'Détail Calcul'!L:L)</f>
        <v>277.45</v>
      </c>
      <c r="I10" s="117">
        <f>SUM(C10:H10)</f>
        <v>9329.2906649999986</v>
      </c>
    </row>
    <row r="11" spans="2:9" s="108" customFormat="1" ht="13.8" x14ac:dyDescent="0.3">
      <c r="B11" s="114">
        <v>2</v>
      </c>
      <c r="C11" s="117">
        <f>0.004*SUMIFS('Détail Calcul'!C:C,'Détail Calcul'!A:A,'Calcul Variable'!B11,'Détail Calcul'!B:B,"&lt;&gt;IDF" )</f>
        <v>2068.2804399999995</v>
      </c>
      <c r="D11" s="117">
        <f>0.014*0.75*SUMIFS('Détail Calcul'!C:C,'Détail Calcul'!A:A,'Calcul Variable'!B11,'Détail Calcul'!B:B,"IDF" )</f>
        <v>4142.6155050000007</v>
      </c>
      <c r="E11" s="117">
        <f>SUMPRODUCT(('Détail Calcul'!I:I="IDF")*('Détail Calcul'!G:G&gt;0)*('Détail Calcul'!G:G&lt;='Détail Calcul'!H:H)*('Détail Calcul'!E:E='Calcul Variable'!B11)*1)*100</f>
        <v>400</v>
      </c>
      <c r="F11" s="116">
        <f>0.02*0.25*SUMIF('Détail Calcul'!R:R,'Calcul Variable'!B11,'Détail Calcul'!S:S)</f>
        <v>287.709</v>
      </c>
      <c r="G11" s="117">
        <f>IF('Détail Calcul'!P3&gt;='Détail Calcul'!O3,300,0)*IF('Détail Calcul'!O3=0,0,1)</f>
        <v>0</v>
      </c>
      <c r="H11" s="115">
        <f>0.25*SUMIF('Détail Calcul'!K:K,'Calcul Variable'!B11,'Détail Calcul'!L:L)</f>
        <v>344.6699999999999</v>
      </c>
      <c r="I11" s="117">
        <f t="shared" ref="I11:I13" si="0">SUM(C11:H11)</f>
        <v>7243.2749450000001</v>
      </c>
    </row>
    <row r="12" spans="2:9" s="108" customFormat="1" ht="13.8" x14ac:dyDescent="0.3">
      <c r="B12" s="114">
        <v>3</v>
      </c>
      <c r="C12" s="117">
        <f>0.004*SUMIFS('Détail Calcul'!C:C,'Détail Calcul'!A:A,'Calcul Variable'!B12,'Détail Calcul'!B:B,"&lt;&gt;IDF" )</f>
        <v>1636.6978799999997</v>
      </c>
      <c r="D12" s="117">
        <f>0.014*0.75*SUMIFS('Détail Calcul'!C:C,'Détail Calcul'!A:A,'Calcul Variable'!B12,'Détail Calcul'!B:B,"IDF" )</f>
        <v>5786.6576250000016</v>
      </c>
      <c r="E12" s="117">
        <f>SUMPRODUCT(('Détail Calcul'!I:I="IDF")*('Détail Calcul'!G:G&gt;0)*('Détail Calcul'!G:G&lt;='Détail Calcul'!H:H)*('Détail Calcul'!E:E='Calcul Variable'!B12)*1)*100</f>
        <v>300</v>
      </c>
      <c r="F12" s="116">
        <f>0.02*0.25*SUMIF('Détail Calcul'!R:R,'Calcul Variable'!B12,'Détail Calcul'!S:S)</f>
        <v>60.808999999999997</v>
      </c>
      <c r="G12" s="117">
        <v>0</v>
      </c>
      <c r="H12" s="115">
        <f>0.25*SUMIF('Détail Calcul'!K:K,'Calcul Variable'!B12,'Détail Calcul'!L:L)</f>
        <v>43.402499999999996</v>
      </c>
      <c r="I12" s="117">
        <f t="shared" si="0"/>
        <v>7827.5670050000017</v>
      </c>
    </row>
    <row r="13" spans="2:9" s="108" customFormat="1" ht="13.8" x14ac:dyDescent="0.3">
      <c r="B13" s="114">
        <v>4</v>
      </c>
      <c r="C13" s="117">
        <f>0.004*SUMIFS('Détail Calcul'!C:C,'Détail Calcul'!A:A,'Calcul Variable'!B13,'Détail Calcul'!B:B,"&lt;&gt;IDF" )</f>
        <v>867.27444000000003</v>
      </c>
      <c r="D13" s="117">
        <f>0.014*0.75*SUMIFS('Détail Calcul'!C:C,'Détail Calcul'!A:A,'Calcul Variable'!B13,'Détail Calcul'!B:B,"IDF" )</f>
        <v>1333.6879499999998</v>
      </c>
      <c r="E13" s="117">
        <f>SUMPRODUCT(('Détail Calcul'!I:I="IDF")*('Détail Calcul'!G:G&gt;0)*('Détail Calcul'!G:G&lt;='Détail Calcul'!H:H)*('Détail Calcul'!E:E='Calcul Variable'!B13)*1)*200</f>
        <v>400</v>
      </c>
      <c r="F13" s="116">
        <f>0.02*0.25*SUMIF('Détail Calcul'!R:R,'Calcul Variable'!B13,'Détail Calcul'!S:S)</f>
        <v>763.42700000000013</v>
      </c>
      <c r="G13" s="117">
        <f>IF('Détail Calcul'!P4&gt;='Détail Calcul'!O4,300,0)*IF('Détail Calcul'!O3=0,0,1)</f>
        <v>0</v>
      </c>
      <c r="H13" s="115">
        <f>0.25*SUMIF('Détail Calcul'!K:K,'Calcul Variable'!B13,'Détail Calcul'!L:L)</f>
        <v>490.77499999999998</v>
      </c>
      <c r="I13" s="117">
        <f t="shared" si="0"/>
        <v>3855.1643899999999</v>
      </c>
    </row>
    <row r="14" spans="2:9" s="108" customFormat="1" ht="3" customHeight="1" x14ac:dyDescent="0.3">
      <c r="B14" s="107"/>
    </row>
    <row r="15" spans="2:9" s="108" customFormat="1" ht="13.8" x14ac:dyDescent="0.3">
      <c r="B15" s="118" t="s">
        <v>202</v>
      </c>
      <c r="C15" s="119">
        <f>SUM(C10:C13)</f>
        <v>6413.7617999999993</v>
      </c>
      <c r="D15" s="119">
        <f t="shared" ref="D15:I15" si="1">SUM(D10:D13)</f>
        <v>17587.248105000002</v>
      </c>
      <c r="E15" s="119">
        <f t="shared" si="1"/>
        <v>1700</v>
      </c>
      <c r="F15" s="119">
        <f t="shared" si="1"/>
        <v>1397.9896000000001</v>
      </c>
      <c r="G15" s="119">
        <f t="shared" si="1"/>
        <v>0</v>
      </c>
      <c r="H15" s="119">
        <f>SUM(H10:H13)</f>
        <v>1156.2974999999999</v>
      </c>
      <c r="I15" s="119">
        <f t="shared" si="1"/>
        <v>28255.297005</v>
      </c>
    </row>
    <row r="16" spans="2:9" s="108" customFormat="1" ht="13.8" x14ac:dyDescent="0.3">
      <c r="B16" s="107"/>
    </row>
    <row r="17" spans="2:8" s="108" customFormat="1" ht="13.8" x14ac:dyDescent="0.3">
      <c r="B17" s="107"/>
    </row>
    <row r="18" spans="2:8" s="108" customFormat="1" ht="13.8" x14ac:dyDescent="0.3">
      <c r="B18" s="120" t="s">
        <v>123</v>
      </c>
    </row>
    <row r="19" spans="2:8" s="108" customFormat="1" ht="3" customHeight="1" x14ac:dyDescent="0.3">
      <c r="B19" s="120"/>
    </row>
    <row r="20" spans="2:8" s="108" customFormat="1" ht="13.8" x14ac:dyDescent="0.3">
      <c r="B20" s="107"/>
      <c r="C20" s="126" t="s">
        <v>216</v>
      </c>
      <c r="D20" s="126"/>
      <c r="E20" s="127"/>
      <c r="F20" s="125" t="s">
        <v>217</v>
      </c>
      <c r="G20" s="125"/>
      <c r="H20" s="178" t="s">
        <v>202</v>
      </c>
    </row>
    <row r="21" spans="2:8" s="108" customFormat="1" ht="27.6" x14ac:dyDescent="0.3">
      <c r="B21" s="109" t="s">
        <v>80</v>
      </c>
      <c r="C21" s="110" t="s">
        <v>212</v>
      </c>
      <c r="D21" s="111" t="s">
        <v>213</v>
      </c>
      <c r="E21" s="112" t="s">
        <v>214</v>
      </c>
      <c r="F21" s="110" t="s">
        <v>215</v>
      </c>
      <c r="G21" s="110" t="s">
        <v>218</v>
      </c>
      <c r="H21" s="179"/>
    </row>
    <row r="22" spans="2:8" s="108" customFormat="1" ht="13.8" x14ac:dyDescent="0.3">
      <c r="B22" s="114">
        <v>1</v>
      </c>
      <c r="C22" s="115">
        <f>0.014*0.25*SUMIFS('Détail Calcul'!C:C,'Détail Calcul'!A:A,'Calcul Variable'!B22,'Détail Calcul'!B:B,"IDF" )</f>
        <v>2108.0956749999996</v>
      </c>
      <c r="D22" s="115">
        <f>SUMPRODUCT(('Détail Calcul'!I:I="IDF")*('Détail Calcul'!G:G&gt;0)*('Détail Calcul'!G:G&lt;='Détail Calcul'!H:H)*('Détail Calcul'!E:E='Calcul Variable'!B22)*1)*50</f>
        <v>300</v>
      </c>
      <c r="E22" s="116">
        <f>0.02*0.75*SUMIF('Détail Calcul'!R:R,'Calcul Variable'!B22,'Détail Calcul'!S:S)</f>
        <v>858.13380000000006</v>
      </c>
      <c r="F22" s="115">
        <v>0</v>
      </c>
      <c r="G22" s="115">
        <f>0.75*SUMIF('Détail Calcul'!K:K,'Calcul Variable'!B22,'Détail Calcul'!L:L)</f>
        <v>832.34999999999991</v>
      </c>
      <c r="H22" s="117">
        <f>SUM(C22:G22)</f>
        <v>4098.5794749999995</v>
      </c>
    </row>
    <row r="23" spans="2:8" s="108" customFormat="1" ht="13.8" x14ac:dyDescent="0.3">
      <c r="B23" s="114">
        <v>2</v>
      </c>
      <c r="C23" s="115">
        <f>0.014*0.25*SUMIFS('Détail Calcul'!C:C,'Détail Calcul'!A:A,'Calcul Variable'!B23,'Détail Calcul'!B:B,"IDF" )</f>
        <v>1380.8718350000001</v>
      </c>
      <c r="D23" s="117">
        <f>SUMPRODUCT(('Détail Calcul'!I:I="IDF")*('Détail Calcul'!G:G&gt;0)*('Détail Calcul'!G:G&lt;='Détail Calcul'!H:H)*('Détail Calcul'!E:E='Calcul Variable'!B23)*1)*50</f>
        <v>200</v>
      </c>
      <c r="E23" s="116">
        <f>0.02*0.75*SUMIF('Détail Calcul'!R:R,'Calcul Variable'!B23,'Détail Calcul'!S:S)</f>
        <v>863.12699999999995</v>
      </c>
      <c r="F23" s="117">
        <f>IF(AND('Détail Calcul'!P3&gt;='Détail Calcul'!O3,'Détail Calcul'!P3&gt;0),600,0)</f>
        <v>0</v>
      </c>
      <c r="G23" s="115">
        <f>0.75*SUMIF('Détail Calcul'!K:K,'Calcul Variable'!B23,'Détail Calcul'!L:L)</f>
        <v>1034.0099999999998</v>
      </c>
      <c r="H23" s="117">
        <f>SUM(C23:G23)</f>
        <v>3478.0088350000001</v>
      </c>
    </row>
    <row r="24" spans="2:8" s="108" customFormat="1" ht="13.8" x14ac:dyDescent="0.3">
      <c r="B24" s="114">
        <v>3</v>
      </c>
      <c r="C24" s="115">
        <f>0.014*0.25*SUMIFS('Détail Calcul'!C:C,'Détail Calcul'!A:A,'Calcul Variable'!B24,'Détail Calcul'!B:B,"IDF" )</f>
        <v>1928.8858750000004</v>
      </c>
      <c r="D24" s="117">
        <f>SUMPRODUCT(('Détail Calcul'!I:I="IDF")*('Détail Calcul'!G:G&gt;0)*('Détail Calcul'!G:G&lt;='Détail Calcul'!H:H)*('Détail Calcul'!E:E='Calcul Variable'!B24)*1)*50</f>
        <v>150</v>
      </c>
      <c r="E24" s="116">
        <f>0.02*0.75*SUMIF('Détail Calcul'!R:R,'Calcul Variable'!B24,'Détail Calcul'!S:S)</f>
        <v>182.42699999999999</v>
      </c>
      <c r="F24" s="117">
        <v>0</v>
      </c>
      <c r="G24" s="115">
        <f>0.75*SUMIF('Détail Calcul'!K:K,'Calcul Variable'!B24,'Détail Calcul'!L:L)</f>
        <v>130.20749999999998</v>
      </c>
      <c r="H24" s="117">
        <f>SUM(C24:G24)</f>
        <v>2391.5203750000005</v>
      </c>
    </row>
    <row r="25" spans="2:8" s="108" customFormat="1" ht="13.8" x14ac:dyDescent="0.3">
      <c r="B25" s="114">
        <v>4</v>
      </c>
      <c r="C25" s="115">
        <f>0.014*0.25*SUMIFS('Détail Calcul'!C:C,'Détail Calcul'!A:A,'Calcul Variable'!B25,'Détail Calcul'!B:B,"IDF" )</f>
        <v>444.56264999999996</v>
      </c>
      <c r="D25" s="117">
        <f>SUMPRODUCT(('Détail Calcul'!I:I="IDF")*('Détail Calcul'!G:G&gt;0)*('Détail Calcul'!G:G&lt;='Détail Calcul'!H:H)*('Détail Calcul'!E:E='Calcul Variable'!B25)*1)*100</f>
        <v>200</v>
      </c>
      <c r="E25" s="116">
        <f>0.02*0.75*SUMIF('Détail Calcul'!R:R,'Calcul Variable'!B25,'Détail Calcul'!S:S)</f>
        <v>2290.2810000000004</v>
      </c>
      <c r="F25" s="117">
        <f>IF(AND('Détail Calcul'!P4&gt;='Détail Calcul'!O4,'Détail Calcul'!P4&gt;0),600,0)</f>
        <v>0</v>
      </c>
      <c r="G25" s="115">
        <f>0.75*SUMIF('Détail Calcul'!K:K,'Calcul Variable'!B25,'Détail Calcul'!L:L)</f>
        <v>1472.3249999999998</v>
      </c>
      <c r="H25" s="117">
        <f>SUM(C25:G25)</f>
        <v>4407.1686499999996</v>
      </c>
    </row>
    <row r="26" spans="2:8" s="108" customFormat="1" ht="3" customHeight="1" x14ac:dyDescent="0.3">
      <c r="B26" s="107"/>
    </row>
    <row r="27" spans="2:8" s="108" customFormat="1" ht="13.8" x14ac:dyDescent="0.3">
      <c r="B27" s="118" t="s">
        <v>202</v>
      </c>
      <c r="C27" s="119">
        <f t="shared" ref="C27:H27" si="2">SUM(C22:C25)</f>
        <v>5862.4160350000002</v>
      </c>
      <c r="D27" s="119">
        <f t="shared" si="2"/>
        <v>850</v>
      </c>
      <c r="E27" s="119">
        <f t="shared" si="2"/>
        <v>4193.9688000000006</v>
      </c>
      <c r="F27" s="119">
        <f t="shared" si="2"/>
        <v>0</v>
      </c>
      <c r="G27" s="119">
        <f t="shared" si="2"/>
        <v>3468.8924999999995</v>
      </c>
      <c r="H27" s="119">
        <f t="shared" si="2"/>
        <v>14375.277334999999</v>
      </c>
    </row>
    <row r="28" spans="2:8" s="108" customFormat="1" ht="13.8" x14ac:dyDescent="0.3">
      <c r="B28" s="107"/>
    </row>
    <row r="29" spans="2:8" s="108" customFormat="1" ht="13.8" x14ac:dyDescent="0.3">
      <c r="B29" s="107"/>
    </row>
    <row r="30" spans="2:8" s="108" customFormat="1" ht="13.8" x14ac:dyDescent="0.3">
      <c r="B30" s="120" t="s">
        <v>124</v>
      </c>
    </row>
    <row r="31" spans="2:8" s="108" customFormat="1" ht="3" customHeight="1" x14ac:dyDescent="0.3">
      <c r="B31" s="120"/>
    </row>
    <row r="32" spans="2:8" s="108" customFormat="1" ht="13.8" x14ac:dyDescent="0.3">
      <c r="B32" s="107"/>
      <c r="C32" s="121"/>
      <c r="D32" s="122"/>
      <c r="E32" s="178" t="s">
        <v>202</v>
      </c>
    </row>
    <row r="33" spans="2:9" s="108" customFormat="1" ht="27.6" x14ac:dyDescent="0.3">
      <c r="B33" s="109" t="s">
        <v>80</v>
      </c>
      <c r="C33" s="110" t="s">
        <v>219</v>
      </c>
      <c r="D33" s="111" t="s">
        <v>213</v>
      </c>
      <c r="E33" s="178"/>
    </row>
    <row r="34" spans="2:9" s="108" customFormat="1" ht="13.8" x14ac:dyDescent="0.3">
      <c r="B34" s="114">
        <v>1</v>
      </c>
      <c r="C34" s="115">
        <f>0.01*SUMIFS('Détail Calcul'!C:C,'Détail Calcul'!A:A,'Calcul Variable'!B34,'Détail Calcul'!B:B,"R-A - PACA" )</f>
        <v>1896.5922999999993</v>
      </c>
      <c r="D34" s="115">
        <f>SUMPRODUCT(('Détail Calcul'!I:I="R-A - PACA")*('Détail Calcul'!G:G&gt;0)*('Détail Calcul'!G:G&lt;='Détail Calcul'!H:H)*('Détail Calcul'!E:E='Calcul Variable'!B34)*1)*100</f>
        <v>200</v>
      </c>
      <c r="E34" s="117">
        <f>SUM(C34:D34)</f>
        <v>2096.5922999999993</v>
      </c>
    </row>
    <row r="35" spans="2:9" s="108" customFormat="1" ht="13.8" x14ac:dyDescent="0.3">
      <c r="B35" s="114">
        <v>2</v>
      </c>
      <c r="C35" s="115">
        <f>0.01*SUMIFS('Détail Calcul'!C:C,'Détail Calcul'!A:A,'Calcul Variable'!B35,'Détail Calcul'!B:B,"R-A - PACA" )</f>
        <v>2841.4629999999993</v>
      </c>
      <c r="D35" s="117">
        <f>SUMPRODUCT(('Détail Calcul'!I:I="R-A - PACA")*('Détail Calcul'!G:G&gt;0)*('Détail Calcul'!G:G&lt;='Détail Calcul'!H:H)*('Détail Calcul'!E:E='Calcul Variable'!B35)*1)*100</f>
        <v>200</v>
      </c>
      <c r="E35" s="117">
        <f>SUM(C35:D35)</f>
        <v>3041.4629999999993</v>
      </c>
    </row>
    <row r="36" spans="2:9" s="108" customFormat="1" ht="13.8" x14ac:dyDescent="0.3">
      <c r="B36" s="114">
        <v>3</v>
      </c>
      <c r="C36" s="115">
        <f>0.01*SUMIFS('Détail Calcul'!C:C,'Détail Calcul'!A:A,'Calcul Variable'!B36,'Détail Calcul'!B:B,"R-A - PACA" )</f>
        <v>1987.3654999999994</v>
      </c>
      <c r="D36" s="117">
        <f>SUMPRODUCT(('Détail Calcul'!I:I="R-A - PACA")*('Détail Calcul'!G:G&gt;0)*('Détail Calcul'!G:G&lt;='Détail Calcul'!H:H)*('Détail Calcul'!E:E='Calcul Variable'!B36)*1)*100</f>
        <v>300</v>
      </c>
      <c r="E36" s="117">
        <f>SUM(C36:D36)</f>
        <v>2287.3654999999994</v>
      </c>
    </row>
    <row r="37" spans="2:9" s="108" customFormat="1" ht="13.8" x14ac:dyDescent="0.3">
      <c r="B37" s="114">
        <v>4</v>
      </c>
      <c r="C37" s="115">
        <f>0.01*SUMIFS('Détail Calcul'!C:C,'Détail Calcul'!A:A,'Calcul Variable'!B37,'Détail Calcul'!B:B,"R-A - PACA" )</f>
        <v>279.35860000000002</v>
      </c>
      <c r="D37" s="117">
        <f>SUMPRODUCT(('Détail Calcul'!I:I="R-A - PACA")*('Détail Calcul'!G:G&gt;0)*('Détail Calcul'!G:G&lt;='Détail Calcul'!H:H)*('Détail Calcul'!E:E='Calcul Variable'!B37)*1)*200</f>
        <v>400</v>
      </c>
      <c r="E37" s="117">
        <f>SUM(C37:D37)</f>
        <v>679.35860000000002</v>
      </c>
    </row>
    <row r="38" spans="2:9" s="108" customFormat="1" ht="3" customHeight="1" x14ac:dyDescent="0.3">
      <c r="B38" s="107"/>
    </row>
    <row r="39" spans="2:9" s="108" customFormat="1" ht="13.8" x14ac:dyDescent="0.3">
      <c r="B39" s="118" t="s">
        <v>202</v>
      </c>
      <c r="C39" s="119">
        <f>SUM(C34:C37)</f>
        <v>7004.7793999999976</v>
      </c>
      <c r="D39" s="119">
        <f t="shared" ref="D39:E39" si="3">SUM(D34:D37)</f>
        <v>1100</v>
      </c>
      <c r="E39" s="119">
        <f t="shared" si="3"/>
        <v>8104.7793999999976</v>
      </c>
      <c r="F39" s="119"/>
      <c r="G39" s="119"/>
      <c r="H39" s="119"/>
      <c r="I39" s="119"/>
    </row>
    <row r="41" spans="2:9" s="108" customFormat="1" ht="13.8" x14ac:dyDescent="0.3">
      <c r="B41" s="120" t="s">
        <v>628</v>
      </c>
    </row>
    <row r="42" spans="2:9" s="108" customFormat="1" ht="3" customHeight="1" x14ac:dyDescent="0.3">
      <c r="B42" s="120"/>
    </row>
    <row r="43" spans="2:9" s="108" customFormat="1" ht="13.8" x14ac:dyDescent="0.3">
      <c r="B43" s="107"/>
      <c r="C43" s="121"/>
      <c r="D43" s="122"/>
      <c r="E43" s="178" t="s">
        <v>202</v>
      </c>
    </row>
    <row r="44" spans="2:9" s="108" customFormat="1" ht="27.6" x14ac:dyDescent="0.3">
      <c r="B44" s="109" t="s">
        <v>80</v>
      </c>
      <c r="C44" s="110" t="s">
        <v>755</v>
      </c>
      <c r="D44" s="111" t="s">
        <v>213</v>
      </c>
      <c r="E44" s="178"/>
    </row>
    <row r="45" spans="2:9" s="108" customFormat="1" ht="13.8" x14ac:dyDescent="0.3">
      <c r="B45" s="114">
        <v>1</v>
      </c>
      <c r="C45" s="115">
        <f>0.01*SUMIFS('Détail Calcul'!C:C,'Détail Calcul'!A:A,'Calcul Variable'!B45,'Détail Calcul'!B:B,"OUEST" )</f>
        <v>583.43740000000003</v>
      </c>
      <c r="D45" s="115">
        <f>SUMPRODUCT(('Détail Calcul'!I:I="OUEST")*('Détail Calcul'!G:G&gt;0)*('Détail Calcul'!G:G&lt;='Détail Calcul'!H:H)*('Détail Calcul'!E:E='Calcul Variable'!B45)*('Détail Calcul'!F:F&lt;&gt;"53")*('Détail Calcul'!F:F&lt;&gt;"NIDI")*('Détail Calcul'!F:F&lt;&gt;"NOVAMOBLI")*1)*100</f>
        <v>100</v>
      </c>
      <c r="E45" s="117">
        <f>SUM(C45:D45)</f>
        <v>683.43740000000003</v>
      </c>
    </row>
    <row r="46" spans="2:9" s="108" customFormat="1" ht="13.8" x14ac:dyDescent="0.3">
      <c r="B46" s="114">
        <v>2</v>
      </c>
      <c r="C46" s="115">
        <f>0.01*SUMIFS('Détail Calcul'!C:C,'Détail Calcul'!A:A,'Calcul Variable'!B46,'Détail Calcul'!B:B,"OUEST" )</f>
        <v>1013.2335</v>
      </c>
      <c r="D46" s="117">
        <f>SUMPRODUCT(('Détail Calcul'!I:I="OUEST")*('Détail Calcul'!G:G&gt;0)*('Détail Calcul'!G:G&lt;='Détail Calcul'!H:H)*('Détail Calcul'!E:E='Calcul Variable'!B46)*('Détail Calcul'!F:F&lt;&gt;"53")*('Détail Calcul'!F:F&lt;&gt;"NIDI")*('Détail Calcul'!F:F&lt;&gt;"NOVAMOBLI")*1)*100</f>
        <v>200</v>
      </c>
      <c r="E46" s="117">
        <f>SUM(C46:D46)</f>
        <v>1213.2335</v>
      </c>
    </row>
    <row r="47" spans="2:9" s="108" customFormat="1" ht="13.8" x14ac:dyDescent="0.3">
      <c r="B47" s="114">
        <v>3</v>
      </c>
      <c r="C47" s="115">
        <f>0.01*SUMIFS('Détail Calcul'!C:C,'Détail Calcul'!A:A,'Calcul Variable'!B47,'Détail Calcul'!B:B,"OUEST" )</f>
        <v>225.0162</v>
      </c>
      <c r="D47" s="117">
        <f>SUMPRODUCT(('Détail Calcul'!I:I="OUEST")*('Détail Calcul'!G:G&gt;0)*('Détail Calcul'!G:G&lt;='Détail Calcul'!H:H)*('Détail Calcul'!E:E='Calcul Variable'!B47)*('Détail Calcul'!F:F&lt;&gt;"53")*('Détail Calcul'!F:F&lt;&gt;"NIDI")*('Détail Calcul'!F:F&lt;&gt;"NOVAMOBLI")*1)*100</f>
        <v>100</v>
      </c>
      <c r="E47" s="117">
        <f>SUM(C47:D47)</f>
        <v>325.01620000000003</v>
      </c>
    </row>
    <row r="48" spans="2:9" s="108" customFormat="1" ht="13.8" x14ac:dyDescent="0.3">
      <c r="B48" s="114">
        <v>4</v>
      </c>
      <c r="C48" s="115">
        <f>0.01*SUMIFS('Détail Calcul'!C:C,'Détail Calcul'!A:A,'Calcul Variable'!B48,'Détail Calcul'!B:B,"OUEST" )</f>
        <v>46.153999999999996</v>
      </c>
      <c r="D48" s="117">
        <f>SUMPRODUCT(('Détail Calcul'!I:I="OUEST")*('Détail Calcul'!G:G&gt;0)*('Détail Calcul'!G:G&lt;='Détail Calcul'!H:H)*('Détail Calcul'!E:E='Calcul Variable'!B48)*('Détail Calcul'!F:F&lt;&gt;"53")*('Détail Calcul'!F:F&lt;&gt;"NIDI")*('Détail Calcul'!F:F&lt;&gt;"NOVAMOBLI")*1)*100</f>
        <v>0</v>
      </c>
      <c r="E48" s="117">
        <f>SUM(C48:D48)</f>
        <v>46.153999999999996</v>
      </c>
    </row>
    <row r="49" spans="2:9" s="108" customFormat="1" ht="3" customHeight="1" x14ac:dyDescent="0.3">
      <c r="B49" s="107"/>
    </row>
    <row r="50" spans="2:9" s="108" customFormat="1" ht="13.8" x14ac:dyDescent="0.3">
      <c r="B50" s="118" t="s">
        <v>202</v>
      </c>
      <c r="C50" s="119">
        <f>SUM(C45:C48)</f>
        <v>1867.8411000000001</v>
      </c>
      <c r="D50" s="119">
        <f t="shared" ref="D50:E50" si="4">SUM(D45:D48)</f>
        <v>400</v>
      </c>
      <c r="E50" s="119">
        <f t="shared" si="4"/>
        <v>2267.8411000000001</v>
      </c>
      <c r="F50" s="119"/>
      <c r="G50" s="119"/>
      <c r="H50" s="119"/>
      <c r="I50" s="119"/>
    </row>
  </sheetData>
  <sheetProtection algorithmName="SHA-512" hashValue="kG0t423yd7726dgjZzTJrJGThJtrVC4S18/8fQbTkZG+kmeeGS2NEIniA12Hq6XQjzPulZNyvUh3MHPuvkcStA==" saltValue="bSrfV5lsnqbCGAn7IhuK8Q==" spinCount="100000" sheet="1" objects="1" scenarios="1"/>
  <mergeCells count="6">
    <mergeCell ref="I8:I9"/>
    <mergeCell ref="E43:E44"/>
    <mergeCell ref="E32:E33"/>
    <mergeCell ref="H20:H21"/>
    <mergeCell ref="C8:E8"/>
    <mergeCell ref="F8:H8"/>
  </mergeCells>
  <dataValidations count="1">
    <dataValidation type="list" showInputMessage="1" showErrorMessage="1" errorTitle="Calcul variable" error="Merci de sélectionner une année parmi la liste. Valeur vide interdit." sqref="I2" xr:uid="{0AAC3DEB-E19F-4E0F-979A-C85194FFD5A9}">
      <formula1>"2020,2021,2022,2023,2024,2025,2026,2027,2028,2029,2030"</formula1>
    </dataValidation>
  </dataValidations>
  <pageMargins left="0.25" right="0.25" top="0.75" bottom="0.75" header="0.3" footer="0.3"/>
  <pageSetup paperSize="9" scale="65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4C39-192B-4E17-A8DE-733E3F42413D}">
  <sheetPr codeName="F_Detail_Calcul"/>
  <dimension ref="A1:S181"/>
  <sheetViews>
    <sheetView showGridLines="0" workbookViewId="0">
      <selection activeCell="N11" sqref="N11"/>
    </sheetView>
  </sheetViews>
  <sheetFormatPr baseColWidth="10" defaultRowHeight="14.4" x14ac:dyDescent="0.3"/>
  <cols>
    <col min="4" max="4" width="2.77734375" customWidth="1"/>
    <col min="5" max="5" width="15.77734375" customWidth="1"/>
    <col min="7" max="7" width="17.77734375" customWidth="1"/>
    <col min="10" max="10" width="3.21875" customWidth="1"/>
    <col min="12" max="12" width="15.33203125" bestFit="1" customWidth="1"/>
    <col min="13" max="13" width="2.77734375" customWidth="1"/>
    <col min="15" max="15" width="16.109375" customWidth="1"/>
    <col min="17" max="17" width="2.6640625" customWidth="1"/>
  </cols>
  <sheetData>
    <row r="1" spans="1:19" x14ac:dyDescent="0.3">
      <c r="A1" s="100" t="s">
        <v>204</v>
      </c>
      <c r="B1" s="100"/>
      <c r="C1" s="100"/>
      <c r="D1" s="100"/>
      <c r="E1" s="100"/>
      <c r="F1" s="100"/>
      <c r="G1" s="100"/>
      <c r="H1" s="100"/>
      <c r="I1" s="134"/>
      <c r="K1" s="101" t="s">
        <v>209</v>
      </c>
      <c r="L1" s="102"/>
      <c r="M1" s="102"/>
      <c r="N1" s="102"/>
      <c r="O1" s="102"/>
      <c r="P1" s="102"/>
      <c r="Q1" s="102"/>
      <c r="R1" s="102"/>
      <c r="S1" s="103"/>
    </row>
    <row r="2" spans="1:19" s="99" customFormat="1" ht="26.1" customHeight="1" x14ac:dyDescent="0.3">
      <c r="A2" s="104" t="s">
        <v>80</v>
      </c>
      <c r="B2" s="104" t="s">
        <v>83</v>
      </c>
      <c r="C2" s="104" t="s">
        <v>203</v>
      </c>
      <c r="E2" s="98" t="s">
        <v>80</v>
      </c>
      <c r="F2" s="98" t="s">
        <v>82</v>
      </c>
      <c r="G2" s="98" t="s">
        <v>205</v>
      </c>
      <c r="H2" s="98" t="s">
        <v>211</v>
      </c>
      <c r="I2" s="98" t="s">
        <v>389</v>
      </c>
      <c r="K2" s="98" t="s">
        <v>80</v>
      </c>
      <c r="L2" s="98" t="s">
        <v>143</v>
      </c>
      <c r="N2" s="98" t="s">
        <v>207</v>
      </c>
      <c r="O2" s="98" t="s">
        <v>210</v>
      </c>
      <c r="P2" s="98" t="s">
        <v>208</v>
      </c>
      <c r="R2" s="98" t="s">
        <v>80</v>
      </c>
      <c r="S2" s="98" t="s">
        <v>206</v>
      </c>
    </row>
    <row r="3" spans="1:19" x14ac:dyDescent="0.3">
      <c r="A3" s="94">
        <v>1</v>
      </c>
      <c r="B3" s="94" t="s">
        <v>196</v>
      </c>
      <c r="C3" s="94">
        <v>602313.04999999981</v>
      </c>
      <c r="E3" s="97">
        <v>1</v>
      </c>
      <c r="F3" s="97" t="s">
        <v>69</v>
      </c>
      <c r="G3" s="97">
        <v>80000</v>
      </c>
      <c r="H3" s="97">
        <v>81831.49000000002</v>
      </c>
      <c r="I3" s="97" t="s">
        <v>196</v>
      </c>
      <c r="K3" s="94">
        <v>1</v>
      </c>
      <c r="L3" s="94">
        <v>1109.8</v>
      </c>
      <c r="N3" s="94">
        <v>1</v>
      </c>
      <c r="O3" s="94">
        <v>60000</v>
      </c>
      <c r="P3" s="94">
        <v>42002.92</v>
      </c>
      <c r="R3" s="94">
        <v>1</v>
      </c>
      <c r="S3" s="94">
        <v>57208.920000000006</v>
      </c>
    </row>
    <row r="4" spans="1:19" x14ac:dyDescent="0.3">
      <c r="A4" s="94">
        <v>1</v>
      </c>
      <c r="B4" s="94" t="s">
        <v>198</v>
      </c>
      <c r="C4" s="94">
        <v>212374.28999999998</v>
      </c>
      <c r="E4" s="97">
        <v>2</v>
      </c>
      <c r="F4" s="97" t="s">
        <v>69</v>
      </c>
      <c r="G4" s="97">
        <v>170000</v>
      </c>
      <c r="H4" s="97">
        <v>204876.08000000002</v>
      </c>
      <c r="I4" s="97" t="s">
        <v>196</v>
      </c>
      <c r="K4" s="94">
        <v>2</v>
      </c>
      <c r="L4" s="94">
        <v>1378.6799999999996</v>
      </c>
      <c r="N4" s="94">
        <v>2</v>
      </c>
      <c r="O4" s="94">
        <v>152000</v>
      </c>
      <c r="P4" s="94">
        <v>88148.209999999992</v>
      </c>
      <c r="R4" s="94">
        <v>2</v>
      </c>
      <c r="S4" s="94">
        <v>57541.799999999996</v>
      </c>
    </row>
    <row r="5" spans="1:19" x14ac:dyDescent="0.3">
      <c r="A5" s="94">
        <v>1</v>
      </c>
      <c r="B5" s="94" t="s">
        <v>75</v>
      </c>
      <c r="C5" s="94">
        <v>58343.740000000005</v>
      </c>
      <c r="E5" s="97">
        <v>3</v>
      </c>
      <c r="F5" s="97" t="s">
        <v>69</v>
      </c>
      <c r="G5" s="97">
        <v>260000</v>
      </c>
      <c r="H5" s="97">
        <v>259761.26</v>
      </c>
      <c r="I5" s="97" t="s">
        <v>196</v>
      </c>
      <c r="K5" s="94">
        <v>3</v>
      </c>
      <c r="L5" s="94">
        <v>173.60999999999999</v>
      </c>
      <c r="N5" s="94"/>
      <c r="O5" s="94"/>
      <c r="P5" s="94"/>
      <c r="R5" s="94">
        <v>3</v>
      </c>
      <c r="S5" s="94">
        <v>12161.8</v>
      </c>
    </row>
    <row r="6" spans="1:19" x14ac:dyDescent="0.3">
      <c r="A6" s="94">
        <v>1</v>
      </c>
      <c r="B6" s="94" t="s">
        <v>197</v>
      </c>
      <c r="C6" s="94">
        <v>189659.22999999992</v>
      </c>
      <c r="E6" s="97">
        <v>4</v>
      </c>
      <c r="F6" s="97" t="s">
        <v>69</v>
      </c>
      <c r="G6" s="97">
        <v>350000</v>
      </c>
      <c r="H6" s="97">
        <v>266314.76</v>
      </c>
      <c r="I6" s="97" t="s">
        <v>196</v>
      </c>
      <c r="K6" s="94">
        <v>4</v>
      </c>
      <c r="L6" s="94">
        <v>1963.1</v>
      </c>
      <c r="N6" s="94"/>
      <c r="O6" s="94"/>
      <c r="P6" s="94"/>
      <c r="R6" s="94">
        <v>4</v>
      </c>
      <c r="S6" s="94">
        <v>152685.40000000002</v>
      </c>
    </row>
    <row r="7" spans="1:19" x14ac:dyDescent="0.3">
      <c r="A7" s="94">
        <v>2</v>
      </c>
      <c r="B7" s="94" t="s">
        <v>198</v>
      </c>
      <c r="C7" s="94">
        <v>131600.46</v>
      </c>
      <c r="E7" s="97">
        <v>1</v>
      </c>
      <c r="F7" s="97" t="s">
        <v>69</v>
      </c>
      <c r="G7" s="97">
        <v>45000</v>
      </c>
      <c r="H7" s="97">
        <v>37984.29</v>
      </c>
      <c r="I7" s="97" t="s">
        <v>197</v>
      </c>
      <c r="K7" s="94"/>
      <c r="L7" s="94"/>
      <c r="N7" s="94"/>
      <c r="O7" s="94"/>
      <c r="P7" s="94"/>
      <c r="R7" s="94"/>
      <c r="S7" s="94"/>
    </row>
    <row r="8" spans="1:19" x14ac:dyDescent="0.3">
      <c r="A8" s="94">
        <v>2</v>
      </c>
      <c r="B8" s="94" t="s">
        <v>196</v>
      </c>
      <c r="C8" s="94">
        <v>394534.81000000006</v>
      </c>
      <c r="E8" s="97">
        <v>2</v>
      </c>
      <c r="F8" s="97" t="s">
        <v>69</v>
      </c>
      <c r="G8" s="97">
        <v>100000</v>
      </c>
      <c r="H8" s="97">
        <v>96153.06</v>
      </c>
      <c r="I8" s="97" t="s">
        <v>197</v>
      </c>
      <c r="K8" s="94"/>
      <c r="L8" s="94"/>
      <c r="N8" s="94"/>
      <c r="O8" s="94"/>
      <c r="P8" s="94"/>
      <c r="R8" s="94"/>
      <c r="S8" s="94"/>
    </row>
    <row r="9" spans="1:19" x14ac:dyDescent="0.3">
      <c r="A9" s="94">
        <v>2</v>
      </c>
      <c r="B9" s="94" t="s">
        <v>75</v>
      </c>
      <c r="C9" s="94">
        <v>101323.35</v>
      </c>
      <c r="E9" s="97">
        <v>3</v>
      </c>
      <c r="F9" s="97" t="s">
        <v>69</v>
      </c>
      <c r="G9" s="97">
        <v>180000</v>
      </c>
      <c r="H9" s="97">
        <v>135808.46000000002</v>
      </c>
      <c r="I9" s="97" t="s">
        <v>197</v>
      </c>
      <c r="K9" s="94"/>
      <c r="L9" s="94"/>
      <c r="N9" s="94"/>
      <c r="O9" s="94"/>
      <c r="P9" s="94"/>
      <c r="R9" s="94"/>
      <c r="S9" s="94"/>
    </row>
    <row r="10" spans="1:19" x14ac:dyDescent="0.3">
      <c r="A10" s="94">
        <v>2</v>
      </c>
      <c r="B10" s="94" t="s">
        <v>197</v>
      </c>
      <c r="C10" s="94">
        <v>284146.29999999993</v>
      </c>
      <c r="E10" s="97">
        <v>4</v>
      </c>
      <c r="F10" s="97" t="s">
        <v>69</v>
      </c>
      <c r="G10" s="97">
        <v>250000</v>
      </c>
      <c r="H10" s="97">
        <v>135947.46000000002</v>
      </c>
      <c r="I10" s="97" t="s">
        <v>197</v>
      </c>
      <c r="K10" s="94"/>
      <c r="L10" s="94"/>
      <c r="N10" s="94"/>
      <c r="O10" s="94"/>
      <c r="P10" s="94"/>
      <c r="R10" s="94"/>
      <c r="S10" s="94"/>
    </row>
    <row r="11" spans="1:19" x14ac:dyDescent="0.3">
      <c r="A11" s="94">
        <v>3</v>
      </c>
      <c r="B11" s="94" t="s">
        <v>196</v>
      </c>
      <c r="C11" s="94">
        <v>551110.25000000012</v>
      </c>
      <c r="E11" s="97">
        <v>1</v>
      </c>
      <c r="F11" s="97" t="s">
        <v>69</v>
      </c>
      <c r="G11" s="97">
        <v>0</v>
      </c>
      <c r="H11" s="97">
        <v>0</v>
      </c>
      <c r="I11" s="97" t="s">
        <v>75</v>
      </c>
      <c r="K11" s="94"/>
      <c r="L11" s="94"/>
      <c r="R11" s="94"/>
      <c r="S11" s="94"/>
    </row>
    <row r="12" spans="1:19" x14ac:dyDescent="0.3">
      <c r="A12" s="94">
        <v>3</v>
      </c>
      <c r="B12" s="94" t="s">
        <v>75</v>
      </c>
      <c r="C12" s="94">
        <v>22501.62</v>
      </c>
      <c r="E12" s="97">
        <v>2</v>
      </c>
      <c r="F12" s="97" t="s">
        <v>69</v>
      </c>
      <c r="G12" s="97">
        <v>0</v>
      </c>
      <c r="H12" s="97">
        <v>0</v>
      </c>
      <c r="I12" s="97" t="s">
        <v>75</v>
      </c>
      <c r="K12" s="94"/>
      <c r="L12" s="94"/>
      <c r="R12" s="94"/>
      <c r="S12" s="94"/>
    </row>
    <row r="13" spans="1:19" x14ac:dyDescent="0.3">
      <c r="A13" s="94">
        <v>3</v>
      </c>
      <c r="B13" s="94" t="s">
        <v>197</v>
      </c>
      <c r="C13" s="94">
        <v>198736.54999999993</v>
      </c>
      <c r="E13" s="97">
        <v>3</v>
      </c>
      <c r="F13" s="97" t="s">
        <v>69</v>
      </c>
      <c r="G13" s="97">
        <v>0</v>
      </c>
      <c r="H13" s="97">
        <v>0</v>
      </c>
      <c r="I13" s="97" t="s">
        <v>75</v>
      </c>
      <c r="K13" s="94"/>
      <c r="L13" s="94"/>
      <c r="R13" s="94"/>
      <c r="S13" s="94"/>
    </row>
    <row r="14" spans="1:19" x14ac:dyDescent="0.3">
      <c r="A14" s="94">
        <v>3</v>
      </c>
      <c r="B14" s="94" t="s">
        <v>198</v>
      </c>
      <c r="C14" s="94">
        <v>187936.3</v>
      </c>
      <c r="E14" s="97">
        <v>4</v>
      </c>
      <c r="F14" s="97" t="s">
        <v>69</v>
      </c>
      <c r="G14" s="97">
        <v>0</v>
      </c>
      <c r="H14" s="97">
        <v>0</v>
      </c>
      <c r="I14" s="97" t="s">
        <v>75</v>
      </c>
      <c r="K14" s="94"/>
      <c r="L14" s="94"/>
    </row>
    <row r="15" spans="1:19" x14ac:dyDescent="0.3">
      <c r="A15" s="94">
        <v>4</v>
      </c>
      <c r="B15" s="94" t="s">
        <v>198</v>
      </c>
      <c r="C15" s="94">
        <v>184267.35</v>
      </c>
      <c r="E15" s="97">
        <v>1</v>
      </c>
      <c r="F15" s="97" t="s">
        <v>69</v>
      </c>
      <c r="G15" s="97">
        <v>80000</v>
      </c>
      <c r="H15" s="97">
        <v>113353.83999999998</v>
      </c>
      <c r="I15" s="97" t="s">
        <v>198</v>
      </c>
      <c r="K15" s="94"/>
      <c r="L15" s="94"/>
    </row>
    <row r="16" spans="1:19" x14ac:dyDescent="0.3">
      <c r="A16" s="94">
        <v>4</v>
      </c>
      <c r="B16" s="94" t="s">
        <v>196</v>
      </c>
      <c r="C16" s="94">
        <v>127017.89999999998</v>
      </c>
      <c r="E16" s="97">
        <v>2</v>
      </c>
      <c r="F16" s="97" t="s">
        <v>69</v>
      </c>
      <c r="G16" s="97">
        <v>160000</v>
      </c>
      <c r="H16" s="97">
        <v>169748.25999999998</v>
      </c>
      <c r="I16" s="97" t="s">
        <v>198</v>
      </c>
      <c r="K16" s="94"/>
      <c r="L16" s="94"/>
    </row>
    <row r="17" spans="1:12" x14ac:dyDescent="0.3">
      <c r="A17" s="94">
        <v>4</v>
      </c>
      <c r="B17" s="94" t="s">
        <v>197</v>
      </c>
      <c r="C17" s="94">
        <v>27935.860000000004</v>
      </c>
      <c r="E17" s="97">
        <v>3</v>
      </c>
      <c r="F17" s="97" t="s">
        <v>69</v>
      </c>
      <c r="G17" s="97">
        <v>240000</v>
      </c>
      <c r="H17" s="97">
        <v>258986.60000000003</v>
      </c>
      <c r="I17" s="97" t="s">
        <v>198</v>
      </c>
      <c r="K17" s="94"/>
      <c r="L17" s="94"/>
    </row>
    <row r="18" spans="1:12" x14ac:dyDescent="0.3">
      <c r="A18" s="94">
        <v>4</v>
      </c>
      <c r="B18" s="94" t="s">
        <v>75</v>
      </c>
      <c r="C18" s="94">
        <v>4615.3999999999996</v>
      </c>
      <c r="E18" s="97">
        <v>4</v>
      </c>
      <c r="F18" s="97" t="s">
        <v>69</v>
      </c>
      <c r="G18" s="97">
        <v>320000</v>
      </c>
      <c r="H18" s="97">
        <v>288388.76</v>
      </c>
      <c r="I18" s="97" t="s">
        <v>198</v>
      </c>
      <c r="K18" s="94"/>
      <c r="L18" s="94"/>
    </row>
    <row r="19" spans="1:12" x14ac:dyDescent="0.3">
      <c r="A19" s="94"/>
      <c r="B19" s="94"/>
      <c r="C19" s="94"/>
      <c r="E19" s="97">
        <v>1</v>
      </c>
      <c r="F19" s="97" t="s">
        <v>70</v>
      </c>
      <c r="G19" s="97">
        <v>8000</v>
      </c>
      <c r="H19" s="97">
        <v>89314.11</v>
      </c>
      <c r="I19" s="97" t="s">
        <v>196</v>
      </c>
      <c r="K19" s="94"/>
      <c r="L19" s="94"/>
    </row>
    <row r="20" spans="1:12" x14ac:dyDescent="0.3">
      <c r="A20" s="94"/>
      <c r="B20" s="94"/>
      <c r="C20" s="94"/>
      <c r="E20" s="97">
        <v>2</v>
      </c>
      <c r="F20" s="97" t="s">
        <v>70</v>
      </c>
      <c r="G20" s="97">
        <v>17000</v>
      </c>
      <c r="H20" s="97">
        <v>91771.83</v>
      </c>
      <c r="I20" s="97" t="s">
        <v>196</v>
      </c>
      <c r="K20" s="94"/>
      <c r="L20" s="94"/>
    </row>
    <row r="21" spans="1:12" x14ac:dyDescent="0.3">
      <c r="A21" s="94"/>
      <c r="B21" s="94"/>
      <c r="C21" s="94"/>
      <c r="E21" s="97">
        <v>3</v>
      </c>
      <c r="F21" s="97" t="s">
        <v>70</v>
      </c>
      <c r="G21" s="97">
        <v>27000</v>
      </c>
      <c r="H21" s="97">
        <v>96697.83</v>
      </c>
      <c r="I21" s="97" t="s">
        <v>196</v>
      </c>
      <c r="K21" s="94"/>
      <c r="L21" s="94"/>
    </row>
    <row r="22" spans="1:12" x14ac:dyDescent="0.3">
      <c r="A22" s="94"/>
      <c r="B22" s="94"/>
      <c r="C22" s="94"/>
      <c r="E22" s="97">
        <v>4</v>
      </c>
      <c r="F22" s="97" t="s">
        <v>70</v>
      </c>
      <c r="G22" s="97">
        <v>35000</v>
      </c>
      <c r="H22" s="97">
        <v>99462.27</v>
      </c>
      <c r="I22" s="97" t="s">
        <v>196</v>
      </c>
      <c r="K22" s="94"/>
      <c r="L22" s="94"/>
    </row>
    <row r="23" spans="1:12" x14ac:dyDescent="0.3">
      <c r="A23" s="94"/>
      <c r="B23" s="94"/>
      <c r="C23" s="94"/>
      <c r="E23" s="97">
        <v>1</v>
      </c>
      <c r="F23" s="97" t="s">
        <v>70</v>
      </c>
      <c r="G23" s="97">
        <v>5000</v>
      </c>
      <c r="H23" s="97">
        <v>2258.12</v>
      </c>
      <c r="I23" s="97" t="s">
        <v>197</v>
      </c>
      <c r="K23" s="94"/>
      <c r="L23" s="94"/>
    </row>
    <row r="24" spans="1:12" x14ac:dyDescent="0.3">
      <c r="A24" s="94"/>
      <c r="B24" s="94"/>
      <c r="C24" s="94"/>
      <c r="E24" s="97">
        <v>2</v>
      </c>
      <c r="F24" s="97" t="s">
        <v>70</v>
      </c>
      <c r="G24" s="97">
        <v>15000</v>
      </c>
      <c r="H24" s="97">
        <v>3561.3599999999997</v>
      </c>
      <c r="I24" s="97" t="s">
        <v>197</v>
      </c>
      <c r="K24" s="94"/>
      <c r="L24" s="94"/>
    </row>
    <row r="25" spans="1:12" x14ac:dyDescent="0.3">
      <c r="A25" s="94"/>
      <c r="B25" s="94"/>
      <c r="C25" s="94"/>
      <c r="E25" s="97">
        <v>3</v>
      </c>
      <c r="F25" s="97" t="s">
        <v>70</v>
      </c>
      <c r="G25" s="97">
        <v>25000</v>
      </c>
      <c r="H25" s="97">
        <v>3561.3599999999997</v>
      </c>
      <c r="I25" s="97" t="s">
        <v>197</v>
      </c>
      <c r="K25" s="94"/>
      <c r="L25" s="94"/>
    </row>
    <row r="26" spans="1:12" x14ac:dyDescent="0.3">
      <c r="A26" s="94"/>
      <c r="B26" s="94"/>
      <c r="C26" s="94"/>
      <c r="E26" s="97">
        <v>4</v>
      </c>
      <c r="F26" s="97" t="s">
        <v>70</v>
      </c>
      <c r="G26" s="97">
        <v>35000</v>
      </c>
      <c r="H26" s="97">
        <v>3561.3599999999997</v>
      </c>
      <c r="I26" s="97" t="s">
        <v>197</v>
      </c>
      <c r="K26" s="94"/>
      <c r="L26" s="94"/>
    </row>
    <row r="27" spans="1:12" x14ac:dyDescent="0.3">
      <c r="A27" s="94"/>
      <c r="B27" s="94"/>
      <c r="C27" s="94"/>
      <c r="E27" s="97">
        <v>1</v>
      </c>
      <c r="F27" s="97" t="s">
        <v>70</v>
      </c>
      <c r="G27" s="97">
        <v>8000</v>
      </c>
      <c r="H27" s="97">
        <v>3435.84</v>
      </c>
      <c r="I27" s="97" t="s">
        <v>75</v>
      </c>
      <c r="K27" s="94"/>
      <c r="L27" s="94"/>
    </row>
    <row r="28" spans="1:12" x14ac:dyDescent="0.3">
      <c r="A28" s="94"/>
      <c r="B28" s="94"/>
      <c r="C28" s="94"/>
      <c r="E28" s="97">
        <v>2</v>
      </c>
      <c r="F28" s="97" t="s">
        <v>70</v>
      </c>
      <c r="G28" s="97">
        <v>26000</v>
      </c>
      <c r="H28" s="97">
        <v>19625.189999999999</v>
      </c>
      <c r="I28" s="97" t="s">
        <v>75</v>
      </c>
      <c r="K28" s="94"/>
      <c r="L28" s="94"/>
    </row>
    <row r="29" spans="1:12" x14ac:dyDescent="0.3">
      <c r="A29" s="94"/>
      <c r="B29" s="94"/>
      <c r="C29" s="94"/>
      <c r="E29" s="97">
        <v>3</v>
      </c>
      <c r="F29" s="97" t="s">
        <v>70</v>
      </c>
      <c r="G29" s="97">
        <v>54000</v>
      </c>
      <c r="H29" s="97">
        <v>19858.189999999999</v>
      </c>
      <c r="I29" s="97" t="s">
        <v>75</v>
      </c>
      <c r="K29" s="94"/>
      <c r="L29" s="94"/>
    </row>
    <row r="30" spans="1:12" x14ac:dyDescent="0.3">
      <c r="A30" s="94"/>
      <c r="B30" s="94"/>
      <c r="C30" s="94"/>
      <c r="E30" s="97">
        <v>4</v>
      </c>
      <c r="F30" s="97" t="s">
        <v>70</v>
      </c>
      <c r="G30" s="97">
        <v>74000</v>
      </c>
      <c r="H30" s="97">
        <v>19858.189999999999</v>
      </c>
      <c r="I30" s="97" t="s">
        <v>75</v>
      </c>
      <c r="K30" s="94"/>
      <c r="L30" s="94"/>
    </row>
    <row r="31" spans="1:12" x14ac:dyDescent="0.3">
      <c r="A31" s="94"/>
      <c r="B31" s="94"/>
      <c r="C31" s="94"/>
      <c r="E31" s="97">
        <v>1</v>
      </c>
      <c r="F31" s="97" t="s">
        <v>70</v>
      </c>
      <c r="G31" s="97">
        <v>500</v>
      </c>
      <c r="H31" s="97">
        <v>0</v>
      </c>
      <c r="I31" s="97" t="s">
        <v>198</v>
      </c>
      <c r="K31" s="94"/>
      <c r="L31" s="94"/>
    </row>
    <row r="32" spans="1:12" x14ac:dyDescent="0.3">
      <c r="A32" s="94"/>
      <c r="B32" s="94"/>
      <c r="C32" s="94"/>
      <c r="E32" s="97">
        <v>2</v>
      </c>
      <c r="F32" s="97" t="s">
        <v>70</v>
      </c>
      <c r="G32" s="97">
        <v>1000</v>
      </c>
      <c r="H32" s="97">
        <v>0</v>
      </c>
      <c r="I32" s="97" t="s">
        <v>198</v>
      </c>
    </row>
    <row r="33" spans="1:9" x14ac:dyDescent="0.3">
      <c r="A33" s="94"/>
      <c r="B33" s="94"/>
      <c r="C33" s="94"/>
      <c r="E33" s="97">
        <v>3</v>
      </c>
      <c r="F33" s="97" t="s">
        <v>70</v>
      </c>
      <c r="G33" s="97">
        <v>1500</v>
      </c>
      <c r="H33" s="97">
        <v>0</v>
      </c>
      <c r="I33" s="97" t="s">
        <v>198</v>
      </c>
    </row>
    <row r="34" spans="1:9" x14ac:dyDescent="0.3">
      <c r="A34" s="94"/>
      <c r="B34" s="94"/>
      <c r="C34" s="94"/>
      <c r="E34" s="97">
        <v>4</v>
      </c>
      <c r="F34" s="97" t="s">
        <v>70</v>
      </c>
      <c r="G34" s="97">
        <v>2000</v>
      </c>
      <c r="H34" s="97">
        <v>0</v>
      </c>
      <c r="I34" s="97" t="s">
        <v>198</v>
      </c>
    </row>
    <row r="35" spans="1:9" x14ac:dyDescent="0.3">
      <c r="A35" s="94"/>
      <c r="B35" s="94"/>
      <c r="C35" s="94"/>
      <c r="E35" s="97">
        <v>1</v>
      </c>
      <c r="F35" s="97" t="s">
        <v>71</v>
      </c>
      <c r="G35" s="97">
        <v>30000</v>
      </c>
      <c r="H35" s="97">
        <v>18773.41</v>
      </c>
      <c r="I35" s="97" t="s">
        <v>196</v>
      </c>
    </row>
    <row r="36" spans="1:9" x14ac:dyDescent="0.3">
      <c r="A36" s="94"/>
      <c r="B36" s="94"/>
      <c r="C36" s="94"/>
      <c r="E36" s="97">
        <v>2</v>
      </c>
      <c r="F36" s="97" t="s">
        <v>71</v>
      </c>
      <c r="G36" s="97">
        <v>64000</v>
      </c>
      <c r="H36" s="97">
        <v>31480.720000000001</v>
      </c>
      <c r="I36" s="97" t="s">
        <v>196</v>
      </c>
    </row>
    <row r="37" spans="1:9" x14ac:dyDescent="0.3">
      <c r="E37" s="97">
        <v>3</v>
      </c>
      <c r="F37" s="97" t="s">
        <v>71</v>
      </c>
      <c r="G37" s="97">
        <v>100000</v>
      </c>
      <c r="H37" s="97">
        <v>33196.18</v>
      </c>
      <c r="I37" s="97" t="s">
        <v>196</v>
      </c>
    </row>
    <row r="38" spans="1:9" x14ac:dyDescent="0.3">
      <c r="E38" s="97">
        <v>4</v>
      </c>
      <c r="F38" s="97" t="s">
        <v>71</v>
      </c>
      <c r="G38" s="97">
        <v>140000</v>
      </c>
      <c r="H38" s="97">
        <v>33196.18</v>
      </c>
      <c r="I38" s="97" t="s">
        <v>196</v>
      </c>
    </row>
    <row r="39" spans="1:9" x14ac:dyDescent="0.3">
      <c r="E39" s="97">
        <v>1</v>
      </c>
      <c r="F39" s="97" t="s">
        <v>71</v>
      </c>
      <c r="G39" s="97">
        <v>32000</v>
      </c>
      <c r="H39" s="97">
        <v>31042.400000000009</v>
      </c>
      <c r="I39" s="97" t="s">
        <v>197</v>
      </c>
    </row>
    <row r="40" spans="1:9" x14ac:dyDescent="0.3">
      <c r="E40" s="97">
        <v>2</v>
      </c>
      <c r="F40" s="97" t="s">
        <v>71</v>
      </c>
      <c r="G40" s="97">
        <v>64000</v>
      </c>
      <c r="H40" s="97">
        <v>63550.86</v>
      </c>
      <c r="I40" s="97" t="s">
        <v>197</v>
      </c>
    </row>
    <row r="41" spans="1:9" x14ac:dyDescent="0.3">
      <c r="E41" s="97">
        <v>3</v>
      </c>
      <c r="F41" s="97" t="s">
        <v>71</v>
      </c>
      <c r="G41" s="97">
        <v>100000</v>
      </c>
      <c r="H41" s="97">
        <v>68395.070000000007</v>
      </c>
      <c r="I41" s="97" t="s">
        <v>197</v>
      </c>
    </row>
    <row r="42" spans="1:9" x14ac:dyDescent="0.3">
      <c r="E42" s="97">
        <v>4</v>
      </c>
      <c r="F42" s="97" t="s">
        <v>71</v>
      </c>
      <c r="G42" s="97">
        <v>140000</v>
      </c>
      <c r="H42" s="97">
        <v>68395.070000000007</v>
      </c>
      <c r="I42" s="97" t="s">
        <v>197</v>
      </c>
    </row>
    <row r="43" spans="1:9" x14ac:dyDescent="0.3">
      <c r="E43" s="97">
        <v>1</v>
      </c>
      <c r="F43" s="97" t="s">
        <v>71</v>
      </c>
      <c r="G43" s="97">
        <v>20000</v>
      </c>
      <c r="H43" s="97">
        <v>13934.35</v>
      </c>
      <c r="I43" s="97" t="s">
        <v>75</v>
      </c>
    </row>
    <row r="44" spans="1:9" x14ac:dyDescent="0.3">
      <c r="E44" s="97">
        <v>2</v>
      </c>
      <c r="F44" s="97" t="s">
        <v>71</v>
      </c>
      <c r="G44" s="97">
        <v>45000</v>
      </c>
      <c r="H44" s="97">
        <v>24224.93</v>
      </c>
      <c r="I44" s="97" t="s">
        <v>75</v>
      </c>
    </row>
    <row r="45" spans="1:9" x14ac:dyDescent="0.3">
      <c r="E45" s="97">
        <v>3</v>
      </c>
      <c r="F45" s="97" t="s">
        <v>71</v>
      </c>
      <c r="G45" s="97">
        <v>70000</v>
      </c>
      <c r="H45" s="97">
        <v>24825.45</v>
      </c>
      <c r="I45" s="97" t="s">
        <v>75</v>
      </c>
    </row>
    <row r="46" spans="1:9" x14ac:dyDescent="0.3">
      <c r="E46" s="97">
        <v>4</v>
      </c>
      <c r="F46" s="97" t="s">
        <v>71</v>
      </c>
      <c r="G46" s="97">
        <v>100000</v>
      </c>
      <c r="H46" s="97">
        <v>24825.45</v>
      </c>
      <c r="I46" s="97" t="s">
        <v>75</v>
      </c>
    </row>
    <row r="47" spans="1:9" x14ac:dyDescent="0.3">
      <c r="E47" s="97">
        <v>1</v>
      </c>
      <c r="F47" s="97" t="s">
        <v>71</v>
      </c>
      <c r="G47" s="97">
        <v>10000</v>
      </c>
      <c r="H47" s="97">
        <v>14510.090000000002</v>
      </c>
      <c r="I47" s="97" t="s">
        <v>198</v>
      </c>
    </row>
    <row r="48" spans="1:9" x14ac:dyDescent="0.3">
      <c r="E48" s="97">
        <v>2</v>
      </c>
      <c r="F48" s="97" t="s">
        <v>71</v>
      </c>
      <c r="G48" s="97">
        <v>20000</v>
      </c>
      <c r="H48" s="97">
        <v>21308.870000000003</v>
      </c>
      <c r="I48" s="97" t="s">
        <v>198</v>
      </c>
    </row>
    <row r="49" spans="5:9" x14ac:dyDescent="0.3">
      <c r="E49" s="97">
        <v>3</v>
      </c>
      <c r="F49" s="97" t="s">
        <v>71</v>
      </c>
      <c r="G49" s="97">
        <v>30000</v>
      </c>
      <c r="H49" s="97">
        <v>24153.870000000003</v>
      </c>
      <c r="I49" s="97" t="s">
        <v>198</v>
      </c>
    </row>
    <row r="50" spans="5:9" x14ac:dyDescent="0.3">
      <c r="E50" s="97">
        <v>4</v>
      </c>
      <c r="F50" s="97" t="s">
        <v>71</v>
      </c>
      <c r="G50" s="97">
        <v>40000</v>
      </c>
      <c r="H50" s="97">
        <v>24153.870000000003</v>
      </c>
      <c r="I50" s="97" t="s">
        <v>198</v>
      </c>
    </row>
    <row r="51" spans="5:9" x14ac:dyDescent="0.3">
      <c r="E51" s="97">
        <v>1</v>
      </c>
      <c r="F51" s="97" t="s">
        <v>72</v>
      </c>
      <c r="G51" s="97">
        <v>150000</v>
      </c>
      <c r="H51" s="97">
        <v>191835.18000000002</v>
      </c>
      <c r="I51" s="97" t="s">
        <v>196</v>
      </c>
    </row>
    <row r="52" spans="5:9" x14ac:dyDescent="0.3">
      <c r="E52" s="97">
        <v>2</v>
      </c>
      <c r="F52" s="97" t="s">
        <v>72</v>
      </c>
      <c r="G52" s="97">
        <v>400000</v>
      </c>
      <c r="H52" s="97">
        <v>305854.24</v>
      </c>
      <c r="I52" s="97" t="s">
        <v>196</v>
      </c>
    </row>
    <row r="53" spans="5:9" x14ac:dyDescent="0.3">
      <c r="E53" s="97">
        <v>3</v>
      </c>
      <c r="F53" s="97" t="s">
        <v>72</v>
      </c>
      <c r="G53" s="97">
        <v>650000</v>
      </c>
      <c r="H53" s="97">
        <v>602337.93999999994</v>
      </c>
      <c r="I53" s="97" t="s">
        <v>196</v>
      </c>
    </row>
    <row r="54" spans="5:9" x14ac:dyDescent="0.3">
      <c r="E54" s="97">
        <v>4</v>
      </c>
      <c r="F54" s="97" t="s">
        <v>72</v>
      </c>
      <c r="G54" s="97">
        <v>900000</v>
      </c>
      <c r="H54" s="97">
        <v>695206.2699999999</v>
      </c>
      <c r="I54" s="97" t="s">
        <v>196</v>
      </c>
    </row>
    <row r="55" spans="5:9" x14ac:dyDescent="0.3">
      <c r="E55" s="97">
        <v>1</v>
      </c>
      <c r="F55" s="97" t="s">
        <v>72</v>
      </c>
      <c r="G55" s="97">
        <v>20000</v>
      </c>
      <c r="H55" s="97">
        <v>1780.4</v>
      </c>
      <c r="I55" s="97" t="s">
        <v>197</v>
      </c>
    </row>
    <row r="56" spans="5:9" x14ac:dyDescent="0.3">
      <c r="E56" s="97">
        <v>2</v>
      </c>
      <c r="F56" s="97" t="s">
        <v>72</v>
      </c>
      <c r="G56" s="97">
        <v>40000</v>
      </c>
      <c r="H56" s="97">
        <v>29086.25</v>
      </c>
      <c r="I56" s="97" t="s">
        <v>197</v>
      </c>
    </row>
    <row r="57" spans="5:9" x14ac:dyDescent="0.3">
      <c r="E57" s="97">
        <v>3</v>
      </c>
      <c r="F57" s="97" t="s">
        <v>72</v>
      </c>
      <c r="G57" s="97">
        <v>60000</v>
      </c>
      <c r="H57" s="97">
        <v>71672.579999999987</v>
      </c>
      <c r="I57" s="97" t="s">
        <v>197</v>
      </c>
    </row>
    <row r="58" spans="5:9" x14ac:dyDescent="0.3">
      <c r="E58" s="97">
        <v>4</v>
      </c>
      <c r="F58" s="97" t="s">
        <v>72</v>
      </c>
      <c r="G58" s="97">
        <v>80000</v>
      </c>
      <c r="H58" s="97">
        <v>71672.579999999987</v>
      </c>
      <c r="I58" s="97" t="s">
        <v>197</v>
      </c>
    </row>
    <row r="59" spans="5:9" x14ac:dyDescent="0.3">
      <c r="E59" s="97">
        <v>1</v>
      </c>
      <c r="F59" s="97" t="s">
        <v>72</v>
      </c>
      <c r="G59" s="97">
        <v>20000</v>
      </c>
      <c r="H59" s="97">
        <v>4508.6000000000004</v>
      </c>
      <c r="I59" s="97" t="s">
        <v>75</v>
      </c>
    </row>
    <row r="60" spans="5:9" x14ac:dyDescent="0.3">
      <c r="E60" s="97">
        <v>2</v>
      </c>
      <c r="F60" s="97" t="s">
        <v>72</v>
      </c>
      <c r="G60" s="97">
        <v>45000</v>
      </c>
      <c r="H60" s="97">
        <v>15956.4</v>
      </c>
      <c r="I60" s="97" t="s">
        <v>75</v>
      </c>
    </row>
    <row r="61" spans="5:9" x14ac:dyDescent="0.3">
      <c r="E61" s="97">
        <v>3</v>
      </c>
      <c r="F61" s="97" t="s">
        <v>72</v>
      </c>
      <c r="G61" s="97">
        <v>65000</v>
      </c>
      <c r="H61" s="97">
        <v>24485</v>
      </c>
      <c r="I61" s="97" t="s">
        <v>75</v>
      </c>
    </row>
    <row r="62" spans="5:9" x14ac:dyDescent="0.3">
      <c r="E62" s="97">
        <v>4</v>
      </c>
      <c r="F62" s="97" t="s">
        <v>72</v>
      </c>
      <c r="G62" s="97">
        <v>90000</v>
      </c>
      <c r="H62" s="97">
        <v>24485</v>
      </c>
      <c r="I62" s="97" t="s">
        <v>75</v>
      </c>
    </row>
    <row r="63" spans="5:9" x14ac:dyDescent="0.3">
      <c r="E63" s="97">
        <v>1</v>
      </c>
      <c r="F63" s="97" t="s">
        <v>72</v>
      </c>
      <c r="G63" s="97">
        <v>35000</v>
      </c>
      <c r="H63" s="97">
        <v>12356.599999999999</v>
      </c>
      <c r="I63" s="97" t="s">
        <v>198</v>
      </c>
    </row>
    <row r="64" spans="5:9" x14ac:dyDescent="0.3">
      <c r="E64" s="97">
        <v>2</v>
      </c>
      <c r="F64" s="97" t="s">
        <v>72</v>
      </c>
      <c r="G64" s="97">
        <v>70000</v>
      </c>
      <c r="H64" s="97">
        <v>31321.64</v>
      </c>
      <c r="I64" s="97" t="s">
        <v>198</v>
      </c>
    </row>
    <row r="65" spans="5:9" x14ac:dyDescent="0.3">
      <c r="E65" s="97">
        <v>3</v>
      </c>
      <c r="F65" s="97" t="s">
        <v>72</v>
      </c>
      <c r="G65" s="97">
        <v>105000</v>
      </c>
      <c r="H65" s="97">
        <v>39598.04</v>
      </c>
      <c r="I65" s="97" t="s">
        <v>198</v>
      </c>
    </row>
    <row r="66" spans="5:9" x14ac:dyDescent="0.3">
      <c r="E66" s="97">
        <v>4</v>
      </c>
      <c r="F66" s="97" t="s">
        <v>72</v>
      </c>
      <c r="G66" s="97">
        <v>140000</v>
      </c>
      <c r="H66" s="97">
        <v>190142.7</v>
      </c>
      <c r="I66" s="97" t="s">
        <v>198</v>
      </c>
    </row>
    <row r="67" spans="5:9" x14ac:dyDescent="0.3">
      <c r="E67" s="97">
        <v>1</v>
      </c>
      <c r="F67" s="97" t="s">
        <v>200</v>
      </c>
      <c r="G67" s="97">
        <v>30000</v>
      </c>
      <c r="H67" s="97">
        <v>20705.010000000002</v>
      </c>
      <c r="I67" s="97" t="s">
        <v>196</v>
      </c>
    </row>
    <row r="68" spans="5:9" x14ac:dyDescent="0.3">
      <c r="E68" s="97">
        <v>2</v>
      </c>
      <c r="F68" s="97" t="s">
        <v>200</v>
      </c>
      <c r="G68" s="97">
        <v>60000</v>
      </c>
      <c r="H68" s="97">
        <v>25685.25</v>
      </c>
      <c r="I68" s="97" t="s">
        <v>196</v>
      </c>
    </row>
    <row r="69" spans="5:9" x14ac:dyDescent="0.3">
      <c r="E69" s="97">
        <v>3</v>
      </c>
      <c r="F69" s="97" t="s">
        <v>200</v>
      </c>
      <c r="G69" s="97">
        <v>100000</v>
      </c>
      <c r="H69" s="97">
        <v>33604.68</v>
      </c>
      <c r="I69" s="97" t="s">
        <v>196</v>
      </c>
    </row>
    <row r="70" spans="5:9" x14ac:dyDescent="0.3">
      <c r="E70" s="97">
        <v>4</v>
      </c>
      <c r="F70" s="97" t="s">
        <v>200</v>
      </c>
      <c r="G70" s="97">
        <v>150000</v>
      </c>
      <c r="H70" s="97">
        <v>33604.68</v>
      </c>
      <c r="I70" s="97" t="s">
        <v>196</v>
      </c>
    </row>
    <row r="71" spans="5:9" x14ac:dyDescent="0.3">
      <c r="E71" s="97">
        <v>1</v>
      </c>
      <c r="F71" s="97" t="s">
        <v>200</v>
      </c>
      <c r="G71" s="97">
        <v>6000</v>
      </c>
      <c r="H71" s="97">
        <v>0</v>
      </c>
      <c r="I71" s="97" t="s">
        <v>197</v>
      </c>
    </row>
    <row r="72" spans="5:9" x14ac:dyDescent="0.3">
      <c r="E72" s="97">
        <v>2</v>
      </c>
      <c r="F72" s="97" t="s">
        <v>200</v>
      </c>
      <c r="G72" s="97">
        <v>14000</v>
      </c>
      <c r="H72" s="97">
        <v>4764.82</v>
      </c>
      <c r="I72" s="97" t="s">
        <v>197</v>
      </c>
    </row>
    <row r="73" spans="5:9" x14ac:dyDescent="0.3">
      <c r="E73" s="97">
        <v>3</v>
      </c>
      <c r="F73" s="97" t="s">
        <v>200</v>
      </c>
      <c r="G73" s="97">
        <v>24000</v>
      </c>
      <c r="H73" s="97">
        <v>12955.96</v>
      </c>
      <c r="I73" s="97" t="s">
        <v>197</v>
      </c>
    </row>
    <row r="74" spans="5:9" x14ac:dyDescent="0.3">
      <c r="E74" s="97">
        <v>4</v>
      </c>
      <c r="F74" s="97" t="s">
        <v>200</v>
      </c>
      <c r="G74" s="97">
        <v>34000</v>
      </c>
      <c r="H74" s="97">
        <v>12955.96</v>
      </c>
      <c r="I74" s="97" t="s">
        <v>197</v>
      </c>
    </row>
    <row r="75" spans="5:9" x14ac:dyDescent="0.3">
      <c r="E75" s="97">
        <v>1</v>
      </c>
      <c r="F75" s="97" t="s">
        <v>200</v>
      </c>
      <c r="G75" s="97">
        <v>5000</v>
      </c>
      <c r="H75" s="97">
        <v>0</v>
      </c>
      <c r="I75" s="97" t="s">
        <v>75</v>
      </c>
    </row>
    <row r="76" spans="5:9" x14ac:dyDescent="0.3">
      <c r="E76" s="97">
        <v>2</v>
      </c>
      <c r="F76" s="97" t="s">
        <v>200</v>
      </c>
      <c r="G76" s="97">
        <v>11000</v>
      </c>
      <c r="H76" s="97">
        <v>13287.65</v>
      </c>
      <c r="I76" s="97" t="s">
        <v>75</v>
      </c>
    </row>
    <row r="77" spans="5:9" x14ac:dyDescent="0.3">
      <c r="E77" s="97">
        <v>3</v>
      </c>
      <c r="F77" s="97" t="s">
        <v>200</v>
      </c>
      <c r="G77" s="97">
        <v>18000</v>
      </c>
      <c r="H77" s="97">
        <v>13287.65</v>
      </c>
      <c r="I77" s="97" t="s">
        <v>75</v>
      </c>
    </row>
    <row r="78" spans="5:9" x14ac:dyDescent="0.3">
      <c r="E78" s="97">
        <v>4</v>
      </c>
      <c r="F78" s="97" t="s">
        <v>200</v>
      </c>
      <c r="G78" s="97">
        <v>26000</v>
      </c>
      <c r="H78" s="97">
        <v>13287.65</v>
      </c>
      <c r="I78" s="97" t="s">
        <v>75</v>
      </c>
    </row>
    <row r="79" spans="5:9" x14ac:dyDescent="0.3">
      <c r="E79" s="97">
        <v>1</v>
      </c>
      <c r="F79" s="97" t="s">
        <v>200</v>
      </c>
      <c r="G79" s="97">
        <v>10000</v>
      </c>
      <c r="H79" s="97">
        <v>3514.9</v>
      </c>
      <c r="I79" s="97" t="s">
        <v>198</v>
      </c>
    </row>
    <row r="80" spans="5:9" x14ac:dyDescent="0.3">
      <c r="E80" s="97">
        <v>2</v>
      </c>
      <c r="F80" s="97" t="s">
        <v>200</v>
      </c>
      <c r="G80" s="97">
        <v>20000</v>
      </c>
      <c r="H80" s="97">
        <v>7639.6399999999994</v>
      </c>
      <c r="I80" s="97" t="s">
        <v>198</v>
      </c>
    </row>
    <row r="81" spans="5:9" x14ac:dyDescent="0.3">
      <c r="E81" s="97">
        <v>3</v>
      </c>
      <c r="F81" s="97" t="s">
        <v>200</v>
      </c>
      <c r="G81" s="97">
        <v>30000</v>
      </c>
      <c r="H81" s="97">
        <v>7861.079999999999</v>
      </c>
      <c r="I81" s="97" t="s">
        <v>198</v>
      </c>
    </row>
    <row r="82" spans="5:9" x14ac:dyDescent="0.3">
      <c r="E82" s="97">
        <v>4</v>
      </c>
      <c r="F82" s="97" t="s">
        <v>200</v>
      </c>
      <c r="G82" s="97">
        <v>40000</v>
      </c>
      <c r="H82" s="97">
        <v>7861.079999999999</v>
      </c>
      <c r="I82" s="97" t="s">
        <v>198</v>
      </c>
    </row>
    <row r="83" spans="5:9" x14ac:dyDescent="0.3">
      <c r="E83" s="97">
        <v>1</v>
      </c>
      <c r="F83" s="97" t="s">
        <v>201</v>
      </c>
      <c r="G83" s="97">
        <v>160000</v>
      </c>
      <c r="H83" s="97">
        <v>156430.63999999998</v>
      </c>
      <c r="I83" s="97" t="s">
        <v>196</v>
      </c>
    </row>
    <row r="84" spans="5:9" x14ac:dyDescent="0.3">
      <c r="E84" s="97">
        <v>2</v>
      </c>
      <c r="F84" s="97" t="s">
        <v>201</v>
      </c>
      <c r="G84" s="97">
        <v>320000</v>
      </c>
      <c r="H84" s="97">
        <v>237859.78999999998</v>
      </c>
      <c r="I84" s="97" t="s">
        <v>196</v>
      </c>
    </row>
    <row r="85" spans="5:9" x14ac:dyDescent="0.3">
      <c r="E85" s="97">
        <v>3</v>
      </c>
      <c r="F85" s="97" t="s">
        <v>201</v>
      </c>
      <c r="G85" s="97">
        <v>480000</v>
      </c>
      <c r="H85" s="97">
        <v>338718.7</v>
      </c>
      <c r="I85" s="97" t="s">
        <v>196</v>
      </c>
    </row>
    <row r="86" spans="5:9" x14ac:dyDescent="0.3">
      <c r="E86" s="97">
        <v>4</v>
      </c>
      <c r="F86" s="97" t="s">
        <v>201</v>
      </c>
      <c r="G86" s="97">
        <v>640000</v>
      </c>
      <c r="H86" s="97">
        <v>362353.83</v>
      </c>
      <c r="I86" s="97" t="s">
        <v>196</v>
      </c>
    </row>
    <row r="87" spans="5:9" x14ac:dyDescent="0.3">
      <c r="E87" s="97">
        <v>1</v>
      </c>
      <c r="F87" s="97" t="s">
        <v>201</v>
      </c>
      <c r="G87" s="97">
        <v>90000</v>
      </c>
      <c r="H87" s="97">
        <v>80917.39</v>
      </c>
      <c r="I87" s="97" t="s">
        <v>197</v>
      </c>
    </row>
    <row r="88" spans="5:9" x14ac:dyDescent="0.3">
      <c r="E88" s="97">
        <v>2</v>
      </c>
      <c r="F88" s="97" t="s">
        <v>201</v>
      </c>
      <c r="G88" s="97">
        <v>200000</v>
      </c>
      <c r="H88" s="97">
        <v>190327.68000000002</v>
      </c>
      <c r="I88" s="97" t="s">
        <v>197</v>
      </c>
    </row>
    <row r="89" spans="5:9" x14ac:dyDescent="0.3">
      <c r="E89" s="97">
        <v>3</v>
      </c>
      <c r="F89" s="97" t="s">
        <v>201</v>
      </c>
      <c r="G89" s="97">
        <v>320000</v>
      </c>
      <c r="H89" s="97">
        <v>282099.58000000007</v>
      </c>
      <c r="I89" s="97" t="s">
        <v>197</v>
      </c>
    </row>
    <row r="90" spans="5:9" x14ac:dyDescent="0.3">
      <c r="E90" s="97">
        <v>4</v>
      </c>
      <c r="F90" s="97" t="s">
        <v>201</v>
      </c>
      <c r="G90" s="97">
        <v>430000</v>
      </c>
      <c r="H90" s="97">
        <v>309896.44000000006</v>
      </c>
      <c r="I90" s="97" t="s">
        <v>197</v>
      </c>
    </row>
    <row r="91" spans="5:9" x14ac:dyDescent="0.3">
      <c r="E91" s="97">
        <v>1</v>
      </c>
      <c r="F91" s="97" t="s">
        <v>201</v>
      </c>
      <c r="G91" s="97">
        <v>30000</v>
      </c>
      <c r="H91" s="97">
        <v>28796.67</v>
      </c>
      <c r="I91" s="97" t="s">
        <v>75</v>
      </c>
    </row>
    <row r="92" spans="5:9" x14ac:dyDescent="0.3">
      <c r="E92" s="97">
        <v>2</v>
      </c>
      <c r="F92" s="97" t="s">
        <v>201</v>
      </c>
      <c r="G92" s="97">
        <v>65000</v>
      </c>
      <c r="H92" s="97">
        <v>62570.04</v>
      </c>
      <c r="I92" s="97" t="s">
        <v>75</v>
      </c>
    </row>
    <row r="93" spans="5:9" x14ac:dyDescent="0.3">
      <c r="E93" s="97">
        <v>3</v>
      </c>
      <c r="F93" s="97" t="s">
        <v>201</v>
      </c>
      <c r="G93" s="97">
        <v>105000</v>
      </c>
      <c r="H93" s="97">
        <v>68930.740000000005</v>
      </c>
      <c r="I93" s="97" t="s">
        <v>75</v>
      </c>
    </row>
    <row r="94" spans="5:9" x14ac:dyDescent="0.3">
      <c r="E94" s="97">
        <v>4</v>
      </c>
      <c r="F94" s="97" t="s">
        <v>201</v>
      </c>
      <c r="G94" s="97">
        <v>160000</v>
      </c>
      <c r="H94" s="97">
        <v>73105.64</v>
      </c>
      <c r="I94" s="97" t="s">
        <v>75</v>
      </c>
    </row>
    <row r="95" spans="5:9" x14ac:dyDescent="0.3">
      <c r="E95" s="97">
        <v>1</v>
      </c>
      <c r="F95" s="97" t="s">
        <v>201</v>
      </c>
      <c r="G95" s="97">
        <v>40000</v>
      </c>
      <c r="H95" s="97">
        <v>14623.380000000001</v>
      </c>
      <c r="I95" s="97" t="s">
        <v>198</v>
      </c>
    </row>
    <row r="96" spans="5:9" x14ac:dyDescent="0.3">
      <c r="E96" s="97">
        <v>2</v>
      </c>
      <c r="F96" s="97" t="s">
        <v>201</v>
      </c>
      <c r="G96" s="97">
        <v>80000</v>
      </c>
      <c r="H96" s="97">
        <v>44729.229999999996</v>
      </c>
      <c r="I96" s="97" t="s">
        <v>198</v>
      </c>
    </row>
    <row r="97" spans="5:9" x14ac:dyDescent="0.3">
      <c r="E97" s="97">
        <v>3</v>
      </c>
      <c r="F97" s="97" t="s">
        <v>201</v>
      </c>
      <c r="G97" s="97">
        <v>120000</v>
      </c>
      <c r="H97" s="97">
        <v>89049.39</v>
      </c>
      <c r="I97" s="97" t="s">
        <v>198</v>
      </c>
    </row>
    <row r="98" spans="5:9" x14ac:dyDescent="0.3">
      <c r="E98" s="97">
        <v>4</v>
      </c>
      <c r="F98" s="97" t="s">
        <v>201</v>
      </c>
      <c r="G98" s="97">
        <v>160000</v>
      </c>
      <c r="H98" s="97">
        <v>93369.919999999998</v>
      </c>
      <c r="I98" s="97" t="s">
        <v>198</v>
      </c>
    </row>
    <row r="99" spans="5:9" x14ac:dyDescent="0.3">
      <c r="E99" s="97">
        <v>1</v>
      </c>
      <c r="F99" s="97" t="s">
        <v>73</v>
      </c>
      <c r="G99" s="97">
        <v>0</v>
      </c>
      <c r="H99" s="97">
        <v>0</v>
      </c>
      <c r="I99" s="97" t="s">
        <v>196</v>
      </c>
    </row>
    <row r="100" spans="5:9" x14ac:dyDescent="0.3">
      <c r="E100" s="97">
        <v>2</v>
      </c>
      <c r="F100" s="97" t="s">
        <v>73</v>
      </c>
      <c r="G100" s="97">
        <v>0</v>
      </c>
      <c r="H100" s="97">
        <v>0</v>
      </c>
      <c r="I100" s="97" t="s">
        <v>196</v>
      </c>
    </row>
    <row r="101" spans="5:9" x14ac:dyDescent="0.3">
      <c r="E101" s="97">
        <v>3</v>
      </c>
      <c r="F101" s="97" t="s">
        <v>73</v>
      </c>
      <c r="G101" s="97">
        <v>0</v>
      </c>
      <c r="H101" s="97">
        <v>0</v>
      </c>
      <c r="I101" s="97" t="s">
        <v>196</v>
      </c>
    </row>
    <row r="102" spans="5:9" x14ac:dyDescent="0.3">
      <c r="E102" s="97">
        <v>4</v>
      </c>
      <c r="F102" s="97" t="s">
        <v>73</v>
      </c>
      <c r="G102" s="97">
        <v>0</v>
      </c>
      <c r="H102" s="97">
        <v>0</v>
      </c>
      <c r="I102" s="97" t="s">
        <v>196</v>
      </c>
    </row>
    <row r="103" spans="5:9" x14ac:dyDescent="0.3">
      <c r="E103" s="97">
        <v>1</v>
      </c>
      <c r="F103" s="97" t="s">
        <v>73</v>
      </c>
      <c r="G103" s="97">
        <v>0</v>
      </c>
      <c r="H103" s="97">
        <v>0</v>
      </c>
      <c r="I103" s="97" t="s">
        <v>197</v>
      </c>
    </row>
    <row r="104" spans="5:9" x14ac:dyDescent="0.3">
      <c r="E104" s="97">
        <v>2</v>
      </c>
      <c r="F104" s="97" t="s">
        <v>73</v>
      </c>
      <c r="G104" s="97">
        <v>0</v>
      </c>
      <c r="H104" s="97">
        <v>0</v>
      </c>
      <c r="I104" s="97" t="s">
        <v>197</v>
      </c>
    </row>
    <row r="105" spans="5:9" x14ac:dyDescent="0.3">
      <c r="E105" s="97">
        <v>3</v>
      </c>
      <c r="F105" s="97" t="s">
        <v>73</v>
      </c>
      <c r="G105" s="97">
        <v>0</v>
      </c>
      <c r="H105" s="97">
        <v>0</v>
      </c>
      <c r="I105" s="97" t="s">
        <v>197</v>
      </c>
    </row>
    <row r="106" spans="5:9" x14ac:dyDescent="0.3">
      <c r="E106" s="97">
        <v>4</v>
      </c>
      <c r="F106" s="97" t="s">
        <v>73</v>
      </c>
      <c r="G106" s="97">
        <v>0</v>
      </c>
      <c r="H106" s="97">
        <v>0</v>
      </c>
      <c r="I106" s="97" t="s">
        <v>197</v>
      </c>
    </row>
    <row r="107" spans="5:9" x14ac:dyDescent="0.3">
      <c r="E107" s="97">
        <v>1</v>
      </c>
      <c r="F107" s="97" t="s">
        <v>73</v>
      </c>
      <c r="G107" s="97">
        <v>0</v>
      </c>
      <c r="H107" s="97">
        <v>0</v>
      </c>
      <c r="I107" s="97" t="s">
        <v>75</v>
      </c>
    </row>
    <row r="108" spans="5:9" x14ac:dyDescent="0.3">
      <c r="E108" s="97">
        <v>2</v>
      </c>
      <c r="F108" s="97" t="s">
        <v>73</v>
      </c>
      <c r="G108" s="97">
        <v>0</v>
      </c>
      <c r="H108" s="97">
        <v>0</v>
      </c>
      <c r="I108" s="97" t="s">
        <v>75</v>
      </c>
    </row>
    <row r="109" spans="5:9" x14ac:dyDescent="0.3">
      <c r="E109" s="97">
        <v>3</v>
      </c>
      <c r="F109" s="97" t="s">
        <v>73</v>
      </c>
      <c r="G109" s="97">
        <v>0</v>
      </c>
      <c r="H109" s="97">
        <v>0</v>
      </c>
      <c r="I109" s="97" t="s">
        <v>75</v>
      </c>
    </row>
    <row r="110" spans="5:9" x14ac:dyDescent="0.3">
      <c r="E110" s="97">
        <v>4</v>
      </c>
      <c r="F110" s="97" t="s">
        <v>73</v>
      </c>
      <c r="G110" s="97">
        <v>0</v>
      </c>
      <c r="H110" s="97">
        <v>0</v>
      </c>
      <c r="I110" s="97" t="s">
        <v>75</v>
      </c>
    </row>
    <row r="111" spans="5:9" x14ac:dyDescent="0.3">
      <c r="E111" s="97">
        <v>1</v>
      </c>
      <c r="F111" s="97" t="s">
        <v>73</v>
      </c>
      <c r="G111" s="97">
        <v>0</v>
      </c>
      <c r="H111" s="97">
        <v>0</v>
      </c>
      <c r="I111" s="97" t="s">
        <v>198</v>
      </c>
    </row>
    <row r="112" spans="5:9" x14ac:dyDescent="0.3">
      <c r="E112" s="97">
        <v>2</v>
      </c>
      <c r="F112" s="97" t="s">
        <v>73</v>
      </c>
      <c r="G112" s="97">
        <v>0</v>
      </c>
      <c r="H112" s="97">
        <v>0</v>
      </c>
      <c r="I112" s="97" t="s">
        <v>198</v>
      </c>
    </row>
    <row r="113" spans="5:9" x14ac:dyDescent="0.3">
      <c r="E113" s="97">
        <v>3</v>
      </c>
      <c r="F113" s="97" t="s">
        <v>73</v>
      </c>
      <c r="G113" s="97">
        <v>0</v>
      </c>
      <c r="H113" s="97">
        <v>0</v>
      </c>
      <c r="I113" s="97" t="s">
        <v>198</v>
      </c>
    </row>
    <row r="114" spans="5:9" x14ac:dyDescent="0.3">
      <c r="E114" s="97">
        <v>4</v>
      </c>
      <c r="F114" s="97" t="s">
        <v>73</v>
      </c>
      <c r="G114" s="97">
        <v>0</v>
      </c>
      <c r="H114" s="97">
        <v>0</v>
      </c>
      <c r="I114" s="97" t="s">
        <v>198</v>
      </c>
    </row>
    <row r="115" spans="5:9" x14ac:dyDescent="0.3">
      <c r="E115" s="97">
        <v>1</v>
      </c>
      <c r="F115" s="97">
        <v>53</v>
      </c>
      <c r="G115" s="97">
        <v>0</v>
      </c>
      <c r="H115" s="97">
        <v>0</v>
      </c>
      <c r="I115" s="97" t="s">
        <v>196</v>
      </c>
    </row>
    <row r="116" spans="5:9" x14ac:dyDescent="0.3">
      <c r="E116" s="97">
        <v>2</v>
      </c>
      <c r="F116" s="97">
        <v>53</v>
      </c>
      <c r="G116" s="97">
        <v>0</v>
      </c>
      <c r="H116" s="97">
        <v>0</v>
      </c>
      <c r="I116" s="97" t="s">
        <v>196</v>
      </c>
    </row>
    <row r="117" spans="5:9" x14ac:dyDescent="0.3">
      <c r="E117" s="97">
        <v>3</v>
      </c>
      <c r="F117" s="97">
        <v>53</v>
      </c>
      <c r="G117" s="97">
        <v>0</v>
      </c>
      <c r="H117" s="97">
        <v>0</v>
      </c>
      <c r="I117" s="97" t="s">
        <v>196</v>
      </c>
    </row>
    <row r="118" spans="5:9" x14ac:dyDescent="0.3">
      <c r="E118" s="97">
        <v>4</v>
      </c>
      <c r="F118" s="97">
        <v>53</v>
      </c>
      <c r="G118" s="97">
        <v>0</v>
      </c>
      <c r="H118" s="97">
        <v>0</v>
      </c>
      <c r="I118" s="97" t="s">
        <v>196</v>
      </c>
    </row>
    <row r="119" spans="5:9" x14ac:dyDescent="0.3">
      <c r="E119" s="97">
        <v>1</v>
      </c>
      <c r="F119" s="97">
        <v>53</v>
      </c>
      <c r="G119" s="97">
        <v>0</v>
      </c>
      <c r="H119" s="97">
        <v>0</v>
      </c>
      <c r="I119" s="97" t="s">
        <v>197</v>
      </c>
    </row>
    <row r="120" spans="5:9" x14ac:dyDescent="0.3">
      <c r="E120" s="97">
        <v>2</v>
      </c>
      <c r="F120" s="97">
        <v>53</v>
      </c>
      <c r="G120" s="97">
        <v>0</v>
      </c>
      <c r="H120" s="97">
        <v>0</v>
      </c>
      <c r="I120" s="97" t="s">
        <v>197</v>
      </c>
    </row>
    <row r="121" spans="5:9" x14ac:dyDescent="0.3">
      <c r="E121" s="97">
        <v>3</v>
      </c>
      <c r="F121" s="97">
        <v>53</v>
      </c>
      <c r="G121" s="97">
        <v>0</v>
      </c>
      <c r="H121" s="97">
        <v>0</v>
      </c>
      <c r="I121" s="97" t="s">
        <v>197</v>
      </c>
    </row>
    <row r="122" spans="5:9" x14ac:dyDescent="0.3">
      <c r="E122" s="97">
        <v>4</v>
      </c>
      <c r="F122" s="97">
        <v>53</v>
      </c>
      <c r="G122" s="97">
        <v>0</v>
      </c>
      <c r="H122" s="97">
        <v>0</v>
      </c>
      <c r="I122" s="97" t="s">
        <v>197</v>
      </c>
    </row>
    <row r="123" spans="5:9" x14ac:dyDescent="0.3">
      <c r="E123" s="97">
        <v>1</v>
      </c>
      <c r="F123" s="97">
        <v>53</v>
      </c>
      <c r="G123" s="97">
        <v>0</v>
      </c>
      <c r="H123" s="97">
        <v>0</v>
      </c>
      <c r="I123" s="97" t="s">
        <v>75</v>
      </c>
    </row>
    <row r="124" spans="5:9" x14ac:dyDescent="0.3">
      <c r="E124" s="97">
        <v>2</v>
      </c>
      <c r="F124" s="97">
        <v>53</v>
      </c>
      <c r="G124" s="97">
        <v>0</v>
      </c>
      <c r="H124" s="97">
        <v>0</v>
      </c>
      <c r="I124" s="97" t="s">
        <v>75</v>
      </c>
    </row>
    <row r="125" spans="5:9" x14ac:dyDescent="0.3">
      <c r="E125" s="97">
        <v>3</v>
      </c>
      <c r="F125" s="97">
        <v>53</v>
      </c>
      <c r="G125" s="97">
        <v>0</v>
      </c>
      <c r="H125" s="97">
        <v>0</v>
      </c>
      <c r="I125" s="97" t="s">
        <v>75</v>
      </c>
    </row>
    <row r="126" spans="5:9" x14ac:dyDescent="0.3">
      <c r="E126" s="97">
        <v>4</v>
      </c>
      <c r="F126" s="97">
        <v>53</v>
      </c>
      <c r="G126" s="97">
        <v>0</v>
      </c>
      <c r="H126" s="97">
        <v>0</v>
      </c>
      <c r="I126" s="97" t="s">
        <v>75</v>
      </c>
    </row>
    <row r="127" spans="5:9" x14ac:dyDescent="0.3">
      <c r="E127" s="97">
        <v>1</v>
      </c>
      <c r="F127" s="97">
        <v>53</v>
      </c>
      <c r="G127" s="97">
        <v>0</v>
      </c>
      <c r="H127" s="97">
        <v>0</v>
      </c>
      <c r="I127" s="97" t="s">
        <v>198</v>
      </c>
    </row>
    <row r="128" spans="5:9" x14ac:dyDescent="0.3">
      <c r="E128" s="97">
        <v>2</v>
      </c>
      <c r="F128" s="97">
        <v>53</v>
      </c>
      <c r="G128" s="97">
        <v>0</v>
      </c>
      <c r="H128" s="97">
        <v>0</v>
      </c>
      <c r="I128" s="97" t="s">
        <v>198</v>
      </c>
    </row>
    <row r="129" spans="5:9" x14ac:dyDescent="0.3">
      <c r="E129" s="97">
        <v>3</v>
      </c>
      <c r="F129" s="97">
        <v>53</v>
      </c>
      <c r="G129" s="97">
        <v>0</v>
      </c>
      <c r="H129" s="97">
        <v>0</v>
      </c>
      <c r="I129" s="97" t="s">
        <v>198</v>
      </c>
    </row>
    <row r="130" spans="5:9" x14ac:dyDescent="0.3">
      <c r="E130" s="97">
        <v>4</v>
      </c>
      <c r="F130" s="97">
        <v>53</v>
      </c>
      <c r="G130" s="97">
        <v>0</v>
      </c>
      <c r="H130" s="97">
        <v>0</v>
      </c>
      <c r="I130" s="97" t="s">
        <v>198</v>
      </c>
    </row>
    <row r="131" spans="5:9" x14ac:dyDescent="0.3">
      <c r="E131" s="97">
        <v>1</v>
      </c>
      <c r="F131" s="97" t="s">
        <v>388</v>
      </c>
      <c r="G131" s="97">
        <v>20000</v>
      </c>
      <c r="H131" s="97">
        <v>23371.61</v>
      </c>
      <c r="I131" s="97" t="s">
        <v>196</v>
      </c>
    </row>
    <row r="132" spans="5:9" x14ac:dyDescent="0.3">
      <c r="E132" s="97">
        <v>2</v>
      </c>
      <c r="F132" s="97" t="s">
        <v>388</v>
      </c>
      <c r="G132" s="97">
        <v>60000</v>
      </c>
      <c r="H132" s="97">
        <v>71556.350000000006</v>
      </c>
      <c r="I132" s="97" t="s">
        <v>196</v>
      </c>
    </row>
    <row r="133" spans="5:9" x14ac:dyDescent="0.3">
      <c r="E133" s="97">
        <v>3</v>
      </c>
      <c r="F133" s="97" t="s">
        <v>388</v>
      </c>
      <c r="G133" s="97">
        <v>120000</v>
      </c>
      <c r="H133" s="97">
        <v>146654.92000000001</v>
      </c>
      <c r="I133" s="97" t="s">
        <v>196</v>
      </c>
    </row>
    <row r="134" spans="5:9" x14ac:dyDescent="0.3">
      <c r="E134" s="97">
        <v>4</v>
      </c>
      <c r="F134" s="97" t="s">
        <v>388</v>
      </c>
      <c r="G134" s="97">
        <v>150000</v>
      </c>
      <c r="H134" s="97">
        <v>147851.42000000001</v>
      </c>
      <c r="I134" s="97" t="s">
        <v>196</v>
      </c>
    </row>
    <row r="135" spans="5:9" x14ac:dyDescent="0.3">
      <c r="E135" s="97">
        <v>1</v>
      </c>
      <c r="F135" s="97" t="s">
        <v>388</v>
      </c>
      <c r="G135" s="97">
        <v>7000</v>
      </c>
      <c r="H135" s="97">
        <v>25320.6</v>
      </c>
      <c r="I135" s="97" t="s">
        <v>197</v>
      </c>
    </row>
    <row r="136" spans="5:9" x14ac:dyDescent="0.3">
      <c r="E136" s="97">
        <v>2</v>
      </c>
      <c r="F136" s="97" t="s">
        <v>388</v>
      </c>
      <c r="G136" s="97">
        <v>14000</v>
      </c>
      <c r="H136" s="97">
        <v>41137.47</v>
      </c>
      <c r="I136" s="97" t="s">
        <v>197</v>
      </c>
    </row>
    <row r="137" spans="5:9" x14ac:dyDescent="0.3">
      <c r="E137" s="97">
        <v>3</v>
      </c>
      <c r="F137" s="97" t="s">
        <v>388</v>
      </c>
      <c r="G137" s="97">
        <v>22000</v>
      </c>
      <c r="H137" s="97">
        <v>49511.240000000005</v>
      </c>
      <c r="I137" s="97" t="s">
        <v>197</v>
      </c>
    </row>
    <row r="138" spans="5:9" x14ac:dyDescent="0.3">
      <c r="E138" s="97">
        <v>4</v>
      </c>
      <c r="F138" s="97" t="s">
        <v>388</v>
      </c>
      <c r="G138" s="97">
        <v>30000</v>
      </c>
      <c r="H138" s="97">
        <v>49511.240000000005</v>
      </c>
      <c r="I138" s="97" t="s">
        <v>197</v>
      </c>
    </row>
    <row r="139" spans="5:9" x14ac:dyDescent="0.3">
      <c r="E139" s="97">
        <v>1</v>
      </c>
      <c r="F139" s="97" t="s">
        <v>388</v>
      </c>
      <c r="G139" s="97">
        <v>0</v>
      </c>
      <c r="H139" s="97">
        <v>0</v>
      </c>
      <c r="I139" s="97" t="s">
        <v>75</v>
      </c>
    </row>
    <row r="140" spans="5:9" x14ac:dyDescent="0.3">
      <c r="E140" s="97">
        <v>2</v>
      </c>
      <c r="F140" s="97" t="s">
        <v>388</v>
      </c>
      <c r="G140" s="97">
        <v>0</v>
      </c>
      <c r="H140" s="97">
        <v>0</v>
      </c>
      <c r="I140" s="97" t="s">
        <v>75</v>
      </c>
    </row>
    <row r="141" spans="5:9" x14ac:dyDescent="0.3">
      <c r="E141" s="97">
        <v>3</v>
      </c>
      <c r="F141" s="97" t="s">
        <v>388</v>
      </c>
      <c r="G141" s="97">
        <v>0</v>
      </c>
      <c r="H141" s="97">
        <v>0</v>
      </c>
      <c r="I141" s="97" t="s">
        <v>75</v>
      </c>
    </row>
    <row r="142" spans="5:9" x14ac:dyDescent="0.3">
      <c r="E142" s="97">
        <v>4</v>
      </c>
      <c r="F142" s="97" t="s">
        <v>388</v>
      </c>
      <c r="G142" s="97">
        <v>0</v>
      </c>
      <c r="H142" s="97">
        <v>0</v>
      </c>
      <c r="I142" s="97" t="s">
        <v>75</v>
      </c>
    </row>
    <row r="143" spans="5:9" x14ac:dyDescent="0.3">
      <c r="E143" s="97">
        <v>1</v>
      </c>
      <c r="F143" s="97" t="s">
        <v>388</v>
      </c>
      <c r="G143" s="97">
        <v>27000</v>
      </c>
      <c r="H143" s="97">
        <v>44496.039999999994</v>
      </c>
      <c r="I143" s="97" t="s">
        <v>198</v>
      </c>
    </row>
    <row r="144" spans="5:9" x14ac:dyDescent="0.3">
      <c r="E144" s="97">
        <v>2</v>
      </c>
      <c r="F144" s="97" t="s">
        <v>388</v>
      </c>
      <c r="G144" s="97">
        <v>54000</v>
      </c>
      <c r="H144" s="97">
        <v>58627.669999999991</v>
      </c>
      <c r="I144" s="97" t="s">
        <v>198</v>
      </c>
    </row>
    <row r="145" spans="5:9" x14ac:dyDescent="0.3">
      <c r="E145" s="97">
        <v>3</v>
      </c>
      <c r="F145" s="97" t="s">
        <v>388</v>
      </c>
      <c r="G145" s="97">
        <v>81000</v>
      </c>
      <c r="H145" s="97">
        <v>101662.62999999999</v>
      </c>
      <c r="I145" s="97" t="s">
        <v>198</v>
      </c>
    </row>
    <row r="146" spans="5:9" x14ac:dyDescent="0.3">
      <c r="E146" s="97">
        <v>4</v>
      </c>
      <c r="F146" s="97" t="s">
        <v>388</v>
      </c>
      <c r="G146" s="97">
        <v>108000</v>
      </c>
      <c r="H146" s="97">
        <v>101662.62999999999</v>
      </c>
      <c r="I146" s="97" t="s">
        <v>198</v>
      </c>
    </row>
    <row r="147" spans="5:9" x14ac:dyDescent="0.3">
      <c r="E147" s="97">
        <v>1</v>
      </c>
      <c r="F147" s="97" t="s">
        <v>629</v>
      </c>
      <c r="G147" s="97">
        <v>5000</v>
      </c>
      <c r="H147" s="97">
        <v>13091</v>
      </c>
      <c r="I147" s="97" t="s">
        <v>196</v>
      </c>
    </row>
    <row r="148" spans="5:9" x14ac:dyDescent="0.3">
      <c r="E148" s="97">
        <v>2</v>
      </c>
      <c r="F148" s="97" t="s">
        <v>629</v>
      </c>
      <c r="G148" s="97">
        <v>10000</v>
      </c>
      <c r="H148" s="97">
        <v>20803</v>
      </c>
      <c r="I148" s="97" t="s">
        <v>196</v>
      </c>
    </row>
    <row r="149" spans="5:9" x14ac:dyDescent="0.3">
      <c r="E149" s="97">
        <v>3</v>
      </c>
      <c r="F149" s="97" t="s">
        <v>629</v>
      </c>
      <c r="G149" s="97">
        <v>15000</v>
      </c>
      <c r="H149" s="97">
        <v>30026</v>
      </c>
      <c r="I149" s="97" t="s">
        <v>196</v>
      </c>
    </row>
    <row r="150" spans="5:9" x14ac:dyDescent="0.3">
      <c r="E150" s="97">
        <v>4</v>
      </c>
      <c r="F150" s="97" t="s">
        <v>629</v>
      </c>
      <c r="G150" s="97">
        <v>20000</v>
      </c>
      <c r="H150" s="97">
        <v>30026</v>
      </c>
      <c r="I150" s="97" t="s">
        <v>196</v>
      </c>
    </row>
    <row r="151" spans="5:9" x14ac:dyDescent="0.3">
      <c r="E151" s="97">
        <v>1</v>
      </c>
      <c r="F151" s="97" t="s">
        <v>629</v>
      </c>
      <c r="G151" s="97">
        <v>4000</v>
      </c>
      <c r="H151" s="97">
        <v>5888</v>
      </c>
      <c r="I151" s="97" t="s">
        <v>197</v>
      </c>
    </row>
    <row r="152" spans="5:9" x14ac:dyDescent="0.3">
      <c r="E152" s="97">
        <v>2</v>
      </c>
      <c r="F152" s="97" t="s">
        <v>629</v>
      </c>
      <c r="G152" s="97">
        <v>9000</v>
      </c>
      <c r="H152" s="97">
        <v>40756</v>
      </c>
      <c r="I152" s="97" t="s">
        <v>197</v>
      </c>
    </row>
    <row r="153" spans="5:9" x14ac:dyDescent="0.3">
      <c r="E153" s="97">
        <v>3</v>
      </c>
      <c r="F153" s="97" t="s">
        <v>629</v>
      </c>
      <c r="G153" s="97">
        <v>14000</v>
      </c>
      <c r="H153" s="97">
        <v>40756</v>
      </c>
      <c r="I153" s="97" t="s">
        <v>197</v>
      </c>
    </row>
    <row r="154" spans="5:9" x14ac:dyDescent="0.3">
      <c r="E154" s="97">
        <v>4</v>
      </c>
      <c r="F154" s="97" t="s">
        <v>629</v>
      </c>
      <c r="G154" s="97">
        <v>18000</v>
      </c>
      <c r="H154" s="97">
        <v>40756</v>
      </c>
      <c r="I154" s="97" t="s">
        <v>197</v>
      </c>
    </row>
    <row r="155" spans="5:9" x14ac:dyDescent="0.3">
      <c r="E155" s="97">
        <v>1</v>
      </c>
      <c r="F155" s="97" t="s">
        <v>629</v>
      </c>
      <c r="G155" s="97">
        <v>4000</v>
      </c>
      <c r="H155" s="97">
        <v>6144</v>
      </c>
      <c r="I155" s="97" t="s">
        <v>75</v>
      </c>
    </row>
    <row r="156" spans="5:9" x14ac:dyDescent="0.3">
      <c r="E156" s="97">
        <v>2</v>
      </c>
      <c r="F156" s="97" t="s">
        <v>629</v>
      </c>
      <c r="G156" s="97">
        <v>9000</v>
      </c>
      <c r="H156" s="97">
        <v>19233</v>
      </c>
      <c r="I156" s="97" t="s">
        <v>75</v>
      </c>
    </row>
    <row r="157" spans="5:9" x14ac:dyDescent="0.3">
      <c r="E157" s="97">
        <v>3</v>
      </c>
      <c r="F157" s="97" t="s">
        <v>629</v>
      </c>
      <c r="G157" s="97">
        <v>14000</v>
      </c>
      <c r="H157" s="97">
        <v>19233</v>
      </c>
      <c r="I157" s="97" t="s">
        <v>75</v>
      </c>
    </row>
    <row r="158" spans="5:9" x14ac:dyDescent="0.3">
      <c r="E158" s="97">
        <v>4</v>
      </c>
      <c r="F158" s="97" t="s">
        <v>629</v>
      </c>
      <c r="G158" s="97">
        <v>20000</v>
      </c>
      <c r="H158" s="97">
        <v>19673.5</v>
      </c>
      <c r="I158" s="97" t="s">
        <v>75</v>
      </c>
    </row>
    <row r="159" spans="5:9" x14ac:dyDescent="0.3">
      <c r="E159" s="97">
        <v>1</v>
      </c>
      <c r="F159" s="97" t="s">
        <v>629</v>
      </c>
      <c r="G159" s="97">
        <v>1000</v>
      </c>
      <c r="H159" s="97">
        <v>4747.04</v>
      </c>
      <c r="I159" s="97" t="s">
        <v>198</v>
      </c>
    </row>
    <row r="160" spans="5:9" x14ac:dyDescent="0.3">
      <c r="E160" s="97">
        <v>2</v>
      </c>
      <c r="F160" s="97" t="s">
        <v>629</v>
      </c>
      <c r="G160" s="97">
        <v>2500</v>
      </c>
      <c r="H160" s="97">
        <v>4747.04</v>
      </c>
      <c r="I160" s="97" t="s">
        <v>198</v>
      </c>
    </row>
    <row r="161" spans="5:9" x14ac:dyDescent="0.3">
      <c r="E161" s="97">
        <v>3</v>
      </c>
      <c r="F161" s="97" t="s">
        <v>629</v>
      </c>
      <c r="G161" s="97">
        <v>4000</v>
      </c>
      <c r="H161" s="97">
        <v>4747.04</v>
      </c>
      <c r="I161" s="97" t="s">
        <v>198</v>
      </c>
    </row>
    <row r="162" spans="5:9" x14ac:dyDescent="0.3">
      <c r="E162" s="97">
        <v>4</v>
      </c>
      <c r="F162" s="97" t="s">
        <v>629</v>
      </c>
      <c r="G162" s="97">
        <v>6000</v>
      </c>
      <c r="H162" s="97">
        <v>4747.04</v>
      </c>
      <c r="I162" s="97" t="s">
        <v>198</v>
      </c>
    </row>
    <row r="163" spans="5:9" x14ac:dyDescent="0.3">
      <c r="E163" s="97">
        <v>1</v>
      </c>
      <c r="F163" s="97" t="s">
        <v>630</v>
      </c>
      <c r="G163" s="97">
        <v>6000</v>
      </c>
      <c r="H163" s="97">
        <v>6960.6</v>
      </c>
      <c r="I163" s="97" t="s">
        <v>196</v>
      </c>
    </row>
    <row r="164" spans="5:9" x14ac:dyDescent="0.3">
      <c r="E164" s="97">
        <v>2</v>
      </c>
      <c r="F164" s="97" t="s">
        <v>630</v>
      </c>
      <c r="G164" s="97">
        <v>14000</v>
      </c>
      <c r="H164" s="97">
        <v>6960.6</v>
      </c>
      <c r="I164" s="97" t="s">
        <v>196</v>
      </c>
    </row>
    <row r="165" spans="5:9" x14ac:dyDescent="0.3">
      <c r="E165" s="97">
        <v>3</v>
      </c>
      <c r="F165" s="97" t="s">
        <v>630</v>
      </c>
      <c r="G165" s="97">
        <v>24000</v>
      </c>
      <c r="H165" s="97">
        <v>6960.6</v>
      </c>
      <c r="I165" s="97" t="s">
        <v>196</v>
      </c>
    </row>
    <row r="166" spans="5:9" x14ac:dyDescent="0.3">
      <c r="E166" s="97">
        <v>4</v>
      </c>
      <c r="F166" s="97" t="s">
        <v>630</v>
      </c>
      <c r="G166" s="97">
        <v>36000</v>
      </c>
      <c r="H166" s="97">
        <v>6960.6</v>
      </c>
      <c r="I166" s="97" t="s">
        <v>196</v>
      </c>
    </row>
    <row r="167" spans="5:9" x14ac:dyDescent="0.3">
      <c r="E167" s="97">
        <v>1</v>
      </c>
      <c r="F167" s="97" t="s">
        <v>630</v>
      </c>
      <c r="G167" s="97">
        <v>5000</v>
      </c>
      <c r="H167" s="97">
        <v>4468.0300000000007</v>
      </c>
      <c r="I167" s="97" t="s">
        <v>197</v>
      </c>
    </row>
    <row r="168" spans="5:9" x14ac:dyDescent="0.3">
      <c r="E168" s="97">
        <v>2</v>
      </c>
      <c r="F168" s="97" t="s">
        <v>630</v>
      </c>
      <c r="G168" s="97">
        <v>10000</v>
      </c>
      <c r="H168" s="97">
        <v>4468.0300000000007</v>
      </c>
      <c r="I168" s="97" t="s">
        <v>197</v>
      </c>
    </row>
    <row r="169" spans="5:9" x14ac:dyDescent="0.3">
      <c r="E169" s="97">
        <v>3</v>
      </c>
      <c r="F169" s="97" t="s">
        <v>630</v>
      </c>
      <c r="G169" s="97">
        <v>15000</v>
      </c>
      <c r="H169" s="97">
        <v>7781.8300000000008</v>
      </c>
      <c r="I169" s="97" t="s">
        <v>197</v>
      </c>
    </row>
    <row r="170" spans="5:9" x14ac:dyDescent="0.3">
      <c r="E170" s="97">
        <v>4</v>
      </c>
      <c r="F170" s="97" t="s">
        <v>630</v>
      </c>
      <c r="G170" s="97">
        <v>20000</v>
      </c>
      <c r="H170" s="97">
        <v>7781.8300000000008</v>
      </c>
      <c r="I170" s="97" t="s">
        <v>197</v>
      </c>
    </row>
    <row r="171" spans="5:9" x14ac:dyDescent="0.3">
      <c r="E171" s="97">
        <v>1</v>
      </c>
      <c r="F171" s="97" t="s">
        <v>630</v>
      </c>
      <c r="G171" s="97">
        <v>4000</v>
      </c>
      <c r="H171" s="97">
        <v>1524.2800000000002</v>
      </c>
      <c r="I171" s="97" t="s">
        <v>75</v>
      </c>
    </row>
    <row r="172" spans="5:9" x14ac:dyDescent="0.3">
      <c r="E172" s="97">
        <v>2</v>
      </c>
      <c r="F172" s="97" t="s">
        <v>630</v>
      </c>
      <c r="G172" s="97">
        <v>8000</v>
      </c>
      <c r="H172" s="97">
        <v>4769.880000000001</v>
      </c>
      <c r="I172" s="97" t="s">
        <v>75</v>
      </c>
    </row>
    <row r="173" spans="5:9" x14ac:dyDescent="0.3">
      <c r="E173" s="97">
        <v>3</v>
      </c>
      <c r="F173" s="97" t="s">
        <v>630</v>
      </c>
      <c r="G173" s="97">
        <v>12000</v>
      </c>
      <c r="H173" s="97">
        <v>11548.68</v>
      </c>
      <c r="I173" s="97" t="s">
        <v>75</v>
      </c>
    </row>
    <row r="174" spans="5:9" x14ac:dyDescent="0.3">
      <c r="E174" s="97">
        <v>4</v>
      </c>
      <c r="F174" s="97" t="s">
        <v>630</v>
      </c>
      <c r="G174" s="97">
        <v>16000</v>
      </c>
      <c r="H174" s="97">
        <v>11548.68</v>
      </c>
      <c r="I174" s="97" t="s">
        <v>75</v>
      </c>
    </row>
    <row r="175" spans="5:9" x14ac:dyDescent="0.3">
      <c r="E175" s="97">
        <v>1</v>
      </c>
      <c r="F175" s="97" t="s">
        <v>630</v>
      </c>
      <c r="G175" s="97">
        <v>1500</v>
      </c>
      <c r="H175" s="97">
        <v>4772.4000000000005</v>
      </c>
      <c r="I175" s="97" t="s">
        <v>198</v>
      </c>
    </row>
    <row r="176" spans="5:9" x14ac:dyDescent="0.3">
      <c r="E176" s="97">
        <v>2</v>
      </c>
      <c r="F176" s="97" t="s">
        <v>630</v>
      </c>
      <c r="G176" s="97">
        <v>3000</v>
      </c>
      <c r="H176" s="97">
        <v>5852.4000000000005</v>
      </c>
      <c r="I176" s="97" t="s">
        <v>198</v>
      </c>
    </row>
    <row r="177" spans="5:9" x14ac:dyDescent="0.3">
      <c r="E177" s="97">
        <v>3</v>
      </c>
      <c r="F177" s="97" t="s">
        <v>630</v>
      </c>
      <c r="G177" s="97">
        <v>4000</v>
      </c>
      <c r="H177" s="97">
        <v>5852.4000000000005</v>
      </c>
      <c r="I177" s="97" t="s">
        <v>198</v>
      </c>
    </row>
    <row r="178" spans="5:9" x14ac:dyDescent="0.3">
      <c r="E178" s="97">
        <v>4</v>
      </c>
      <c r="F178" s="97" t="s">
        <v>630</v>
      </c>
      <c r="G178" s="97">
        <v>5500</v>
      </c>
      <c r="H178" s="97">
        <v>5852.4000000000005</v>
      </c>
      <c r="I178" s="97" t="s">
        <v>198</v>
      </c>
    </row>
    <row r="179" spans="5:9" x14ac:dyDescent="0.3">
      <c r="E179" s="97"/>
      <c r="F179" s="97"/>
      <c r="G179" s="97"/>
      <c r="H179" s="97"/>
      <c r="I179" s="97"/>
    </row>
    <row r="180" spans="5:9" x14ac:dyDescent="0.3">
      <c r="E180" s="97"/>
      <c r="F180" s="97"/>
      <c r="G180" s="97"/>
      <c r="H180" s="97"/>
      <c r="I180" s="97"/>
    </row>
    <row r="181" spans="5:9" x14ac:dyDescent="0.3">
      <c r="E181" s="97"/>
      <c r="F181" s="97"/>
      <c r="G181" s="97"/>
      <c r="H181" s="97"/>
      <c r="I181" s="97"/>
    </row>
  </sheetData>
  <autoFilter ref="E2:I178" xr:uid="{9172EFA7-E7E6-4672-B4C4-B356CFD58A98}"/>
  <conditionalFormatting sqref="A3:C3">
    <cfRule type="expression" dxfId="7" priority="10">
      <formula>(A3&lt;&gt;"")</formula>
    </cfRule>
  </conditionalFormatting>
  <conditionalFormatting sqref="A4:C34">
    <cfRule type="expression" dxfId="6" priority="9">
      <formula>(A4&lt;&gt;"")</formula>
    </cfRule>
  </conditionalFormatting>
  <conditionalFormatting sqref="E3:I3">
    <cfRule type="expression" dxfId="5" priority="8">
      <formula>(E3&lt;&gt;"")</formula>
    </cfRule>
  </conditionalFormatting>
  <conditionalFormatting sqref="K3:L31">
    <cfRule type="expression" dxfId="4" priority="6">
      <formula>(K3&lt;&gt;"")</formula>
    </cfRule>
  </conditionalFormatting>
  <conditionalFormatting sqref="N3:P10">
    <cfRule type="expression" dxfId="3" priority="5">
      <formula>(N3&lt;&gt;"")</formula>
    </cfRule>
  </conditionalFormatting>
  <conditionalFormatting sqref="R3:S13">
    <cfRule type="expression" dxfId="2" priority="4">
      <formula>(R3&lt;&gt;"")</formula>
    </cfRule>
  </conditionalFormatting>
  <conditionalFormatting sqref="E4:I162">
    <cfRule type="expression" dxfId="1" priority="2">
      <formula>(E4&lt;&gt;"")</formula>
    </cfRule>
  </conditionalFormatting>
  <conditionalFormatting sqref="E163:I181">
    <cfRule type="expression" dxfId="0" priority="1">
      <formula>(E163&lt;&gt;"")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F8905-0F2B-4F5D-BF61-820A20B72285}">
  <sheetPr codeName="F_Gr_Agence">
    <tabColor theme="1"/>
    <pageSetUpPr fitToPage="1"/>
  </sheetPr>
  <dimension ref="B1:E55"/>
  <sheetViews>
    <sheetView showGridLines="0" showRowColHeaders="0" view="pageBreakPreview" topLeftCell="A8" zoomScale="85" zoomScaleNormal="80" zoomScaleSheetLayoutView="70" workbookViewId="0">
      <selection activeCell="G6" sqref="G6"/>
    </sheetView>
  </sheetViews>
  <sheetFormatPr baseColWidth="10" defaultRowHeight="14.4" x14ac:dyDescent="0.3"/>
  <cols>
    <col min="1" max="1" width="1.44140625" customWidth="1"/>
    <col min="2" max="2" width="8.33203125" style="142" customWidth="1"/>
    <col min="3" max="3" width="52.77734375" style="94" customWidth="1"/>
    <col min="4" max="5" width="37.6640625" style="94" customWidth="1"/>
    <col min="6" max="6" width="2.21875" customWidth="1"/>
  </cols>
  <sheetData>
    <row r="1" spans="2:5" hidden="1" x14ac:dyDescent="0.3"/>
    <row r="2" spans="2:5" ht="21" x14ac:dyDescent="0.4">
      <c r="C2" s="148" t="s">
        <v>1194</v>
      </c>
      <c r="D2" s="148"/>
      <c r="E2" s="148"/>
    </row>
    <row r="4" spans="2:5" s="49" customFormat="1" ht="19.95" customHeight="1" thickBot="1" x14ac:dyDescent="0.35">
      <c r="B4" s="143"/>
      <c r="C4" s="147">
        <f>Anne_N-2</f>
        <v>2021</v>
      </c>
      <c r="D4" s="147">
        <f>Anne_N-1</f>
        <v>2022</v>
      </c>
      <c r="E4" s="147">
        <v>2023</v>
      </c>
    </row>
    <row r="5" spans="2:5" ht="229.95" customHeight="1" thickTop="1" thickBot="1" x14ac:dyDescent="0.35">
      <c r="B5" s="164" t="s">
        <v>1180</v>
      </c>
      <c r="C5" s="165"/>
      <c r="D5" s="165"/>
      <c r="E5" s="165"/>
    </row>
    <row r="6" spans="2:5" ht="229.95" customHeight="1" thickTop="1" thickBot="1" x14ac:dyDescent="0.35">
      <c r="B6" s="164" t="s">
        <v>1181</v>
      </c>
      <c r="C6" s="165"/>
      <c r="D6" s="165"/>
      <c r="E6" s="165"/>
    </row>
    <row r="7" spans="2:5" ht="229.95" customHeight="1" thickTop="1" thickBot="1" x14ac:dyDescent="0.35">
      <c r="B7" s="164" t="s">
        <v>1182</v>
      </c>
      <c r="C7" s="165"/>
      <c r="D7" s="165"/>
      <c r="E7" s="165"/>
    </row>
    <row r="8" spans="2:5" ht="229.95" customHeight="1" thickTop="1" thickBot="1" x14ac:dyDescent="0.35">
      <c r="B8" s="164" t="s">
        <v>1184</v>
      </c>
      <c r="C8" s="165"/>
      <c r="D8" s="165"/>
      <c r="E8" s="165"/>
    </row>
    <row r="9" spans="2:5" ht="15" thickTop="1" x14ac:dyDescent="0.3"/>
    <row r="10" spans="2:5" ht="21" x14ac:dyDescent="0.4">
      <c r="C10" s="148" t="s">
        <v>1195</v>
      </c>
      <c r="D10" s="148"/>
      <c r="E10" s="148"/>
    </row>
    <row r="12" spans="2:5" ht="25.5" customHeight="1" thickBot="1" x14ac:dyDescent="0.35">
      <c r="B12" s="143"/>
      <c r="C12" s="147">
        <f>C4</f>
        <v>2021</v>
      </c>
      <c r="D12" s="147">
        <f>D4</f>
        <v>2022</v>
      </c>
      <c r="E12" s="147">
        <f>Anne_N</f>
        <v>2023</v>
      </c>
    </row>
    <row r="13" spans="2:5" ht="229.95" customHeight="1" thickTop="1" thickBot="1" x14ac:dyDescent="0.35">
      <c r="B13" s="164" t="s">
        <v>1180</v>
      </c>
      <c r="C13" s="165"/>
      <c r="D13" s="165"/>
      <c r="E13" s="165"/>
    </row>
    <row r="14" spans="2:5" ht="229.95" customHeight="1" thickTop="1" thickBot="1" x14ac:dyDescent="0.35">
      <c r="B14" s="164" t="s">
        <v>1181</v>
      </c>
      <c r="C14" s="165"/>
      <c r="D14" s="165"/>
      <c r="E14" s="165"/>
    </row>
    <row r="15" spans="2:5" ht="229.95" customHeight="1" thickTop="1" thickBot="1" x14ac:dyDescent="0.35">
      <c r="B15" s="164" t="s">
        <v>1182</v>
      </c>
      <c r="C15" s="165"/>
      <c r="D15" s="165"/>
      <c r="E15" s="165"/>
    </row>
    <row r="16" spans="2:5" ht="229.95" customHeight="1" thickTop="1" thickBot="1" x14ac:dyDescent="0.35">
      <c r="B16" s="164" t="s">
        <v>1184</v>
      </c>
      <c r="C16" s="165"/>
      <c r="D16" s="165"/>
      <c r="E16" s="165"/>
    </row>
    <row r="17" spans="2:5" ht="15" thickTop="1" x14ac:dyDescent="0.3"/>
    <row r="18" spans="2:5" ht="21" x14ac:dyDescent="0.4">
      <c r="C18" s="148" t="s">
        <v>1193</v>
      </c>
      <c r="D18" s="148"/>
      <c r="E18" s="148"/>
    </row>
    <row r="20" spans="2:5" ht="26.55" customHeight="1" thickBot="1" x14ac:dyDescent="0.35">
      <c r="B20" s="143"/>
      <c r="C20" s="166">
        <f>C4</f>
        <v>2021</v>
      </c>
      <c r="D20" s="166">
        <f>D4</f>
        <v>2022</v>
      </c>
      <c r="E20" s="166">
        <f>Anne_N</f>
        <v>2023</v>
      </c>
    </row>
    <row r="21" spans="2:5" ht="37.950000000000003" customHeight="1" thickTop="1" thickBot="1" x14ac:dyDescent="0.35">
      <c r="B21" s="164" t="s">
        <v>1180</v>
      </c>
      <c r="C21" s="167">
        <f ca="1">IF('Détail Calcul Graphique'!BV4&lt;=0,"",'Détail Calcul Graphique'!BV4)</f>
        <v>463557.28</v>
      </c>
      <c r="D21" s="167">
        <f ca="1">IF('Détail Calcul Graphique'!BW4&lt;=0,"",'Détail Calcul Graphique'!BW4)</f>
        <v>897577.97999999975</v>
      </c>
      <c r="E21" s="167">
        <f ca="1">IF('Détail Calcul Graphique'!BX4&lt;=0,"",'Détail Calcul Graphique'!BX4)</f>
        <v>1063755.3100000003</v>
      </c>
    </row>
    <row r="22" spans="2:5" ht="37.950000000000003" customHeight="1" thickTop="1" thickBot="1" x14ac:dyDescent="0.35">
      <c r="B22" s="164" t="s">
        <v>1181</v>
      </c>
      <c r="C22" s="167">
        <f ca="1">IF('Détail Calcul Graphique'!BZ4&lt;=0,"",'Détail Calcul Graphique'!BZ4)</f>
        <v>719650.44</v>
      </c>
      <c r="D22" s="167">
        <f ca="1">IF('Détail Calcul Graphique'!CA4&lt;=0,"",'Détail Calcul Graphique'!CA4)</f>
        <v>1090753.1800000002</v>
      </c>
      <c r="E22" s="167">
        <f ca="1">IF('Détail Calcul Graphique'!CB4&lt;=0,"",'Détail Calcul Graphique'!CB4)</f>
        <v>912279.91999999993</v>
      </c>
    </row>
    <row r="23" spans="2:5" ht="37.950000000000003" customHeight="1" thickTop="1" thickBot="1" x14ac:dyDescent="0.35">
      <c r="B23" s="164" t="s">
        <v>1182</v>
      </c>
      <c r="C23" s="167">
        <f ca="1">IF('Détail Calcul Graphique'!CD4&lt;=0,"",'Détail Calcul Graphique'!CD4)</f>
        <v>515553.73</v>
      </c>
      <c r="D23" s="167">
        <f ca="1">IF('Détail Calcul Graphique'!CE4&lt;=0,"",'Détail Calcul Graphique'!CE4)</f>
        <v>1056317.8900000001</v>
      </c>
      <c r="E23" s="167">
        <f ca="1">IF('Détail Calcul Graphique'!CF4&lt;=0,"",'Détail Calcul Graphique'!CF4)</f>
        <v>962944.3200000003</v>
      </c>
    </row>
    <row r="24" spans="2:5" ht="37.950000000000003" customHeight="1" thickTop="1" thickBot="1" x14ac:dyDescent="0.35">
      <c r="B24" s="164" t="s">
        <v>1184</v>
      </c>
      <c r="C24" s="167">
        <f ca="1">IF('Détail Calcul Graphique'!CH4&lt;=0,"",'Détail Calcul Graphique'!CH4)</f>
        <v>709114.02</v>
      </c>
      <c r="D24" s="167">
        <f ca="1">IF('Détail Calcul Graphique'!CI4&lt;=0,"",'Détail Calcul Graphique'!CI4)</f>
        <v>1105917.2799999998</v>
      </c>
      <c r="E24" s="167">
        <f ca="1">IF('Détail Calcul Graphique'!CJ4&lt;=0,"",'Détail Calcul Graphique'!CJ4)</f>
        <v>343836.51</v>
      </c>
    </row>
    <row r="25" spans="2:5" ht="15" thickTop="1" x14ac:dyDescent="0.3"/>
    <row r="27" spans="2:5" ht="21" x14ac:dyDescent="0.4">
      <c r="C27" s="148" t="s">
        <v>1196</v>
      </c>
      <c r="D27" s="148"/>
      <c r="E27" s="148"/>
    </row>
    <row r="44" spans="3:5" ht="79.95" customHeight="1" x14ac:dyDescent="0.3"/>
    <row r="45" spans="3:5" ht="21.45" customHeight="1" x14ac:dyDescent="0.4">
      <c r="C45" s="148" t="s">
        <v>1198</v>
      </c>
      <c r="D45" s="148"/>
      <c r="E45" s="148"/>
    </row>
    <row r="46" spans="3:5" ht="21.45" customHeight="1" x14ac:dyDescent="0.4">
      <c r="C46" s="148"/>
      <c r="D46" s="148"/>
      <c r="E46" s="148"/>
    </row>
    <row r="47" spans="3:5" ht="303.45" customHeight="1" x14ac:dyDescent="0.4">
      <c r="C47" s="148"/>
      <c r="D47" s="148"/>
      <c r="E47" s="148"/>
    </row>
    <row r="48" spans="3:5" ht="24" customHeight="1" x14ac:dyDescent="0.3"/>
    <row r="49" spans="2:5" ht="21" x14ac:dyDescent="0.4">
      <c r="C49" s="148" t="s">
        <v>1197</v>
      </c>
      <c r="D49" s="148"/>
      <c r="E49" s="148"/>
    </row>
    <row r="50" spans="2:5" ht="15" thickBot="1" x14ac:dyDescent="0.35"/>
    <row r="51" spans="2:5" ht="229.95" customHeight="1" thickTop="1" thickBot="1" x14ac:dyDescent="0.35">
      <c r="B51" s="146" t="s">
        <v>1180</v>
      </c>
      <c r="C51" s="183"/>
      <c r="D51" s="184"/>
      <c r="E51" s="185"/>
    </row>
    <row r="52" spans="2:5" ht="229.95" customHeight="1" thickTop="1" thickBot="1" x14ac:dyDescent="0.35">
      <c r="B52" s="146" t="s">
        <v>1181</v>
      </c>
      <c r="C52" s="152"/>
      <c r="D52" s="153"/>
      <c r="E52" s="151"/>
    </row>
    <row r="53" spans="2:5" ht="229.95" customHeight="1" thickTop="1" thickBot="1" x14ac:dyDescent="0.35">
      <c r="B53" s="146" t="s">
        <v>1182</v>
      </c>
      <c r="C53" s="152"/>
      <c r="D53" s="153"/>
      <c r="E53" s="151"/>
    </row>
    <row r="54" spans="2:5" ht="229.95" customHeight="1" thickTop="1" thickBot="1" x14ac:dyDescent="0.35">
      <c r="B54" s="146" t="s">
        <v>1184</v>
      </c>
      <c r="C54" s="152"/>
      <c r="D54" s="153"/>
      <c r="E54" s="151"/>
    </row>
    <row r="55" spans="2:5" ht="15" thickTop="1" x14ac:dyDescent="0.3"/>
  </sheetData>
  <sheetProtection algorithmName="SHA-512" hashValue="49I3dqh7sxDmTVgOv/2xMhX9Wa29bGiYYr3c1NtMi4WnpJSGW7i6AkhcKhK3s1OeBwPCUt0lNZ71GYKC6AuPJg==" saltValue="TDKKlmRi00kMiywKiCqfaQ==" spinCount="100000" sheet="1" objects="1" scenarios="1"/>
  <mergeCells count="1">
    <mergeCell ref="C51:E51"/>
  </mergeCells>
  <conditionalFormatting sqref="D21">
    <cfRule type="iconSet" priority="10">
      <iconSet iconSet="3Arrows">
        <cfvo type="percent" val="0"/>
        <cfvo type="num" val="$C$21"/>
        <cfvo type="num" val="$C$21" gte="0"/>
      </iconSet>
    </cfRule>
  </conditionalFormatting>
  <conditionalFormatting sqref="E21">
    <cfRule type="iconSet" priority="9">
      <iconSet iconSet="3Arrows">
        <cfvo type="percent" val="0"/>
        <cfvo type="num" val="$D$21"/>
        <cfvo type="num" val="$D$21" gte="0"/>
      </iconSet>
    </cfRule>
  </conditionalFormatting>
  <conditionalFormatting sqref="E22">
    <cfRule type="iconSet" priority="6">
      <iconSet iconSet="3Arrows">
        <cfvo type="percent" val="0"/>
        <cfvo type="num" val="$D$22"/>
        <cfvo type="num" val="$D$22" gte="0"/>
      </iconSet>
    </cfRule>
  </conditionalFormatting>
  <conditionalFormatting sqref="E23">
    <cfRule type="iconSet" priority="5">
      <iconSet iconSet="3Arrows">
        <cfvo type="percent" val="0"/>
        <cfvo type="num" val="$D$23"/>
        <cfvo type="num" val="$D$23" gte="0"/>
      </iconSet>
    </cfRule>
  </conditionalFormatting>
  <conditionalFormatting sqref="E24">
    <cfRule type="iconSet" priority="4">
      <iconSet iconSet="3Arrows">
        <cfvo type="percent" val="0"/>
        <cfvo type="num" val="$D$24"/>
        <cfvo type="num" val="$D$24" gte="0"/>
      </iconSet>
    </cfRule>
  </conditionalFormatting>
  <conditionalFormatting sqref="D22">
    <cfRule type="iconSet" priority="3">
      <iconSet iconSet="3Arrows">
        <cfvo type="percent" val="0"/>
        <cfvo type="num" val="$C$22"/>
        <cfvo type="num" val="$C$22" gte="0"/>
      </iconSet>
    </cfRule>
  </conditionalFormatting>
  <conditionalFormatting sqref="D23">
    <cfRule type="iconSet" priority="2">
      <iconSet iconSet="3Arrows">
        <cfvo type="percent" val="0"/>
        <cfvo type="num" val="$C$23"/>
        <cfvo type="num" val="$C$23" gte="0"/>
      </iconSet>
    </cfRule>
  </conditionalFormatting>
  <conditionalFormatting sqref="D24">
    <cfRule type="iconSet" priority="1">
      <iconSet iconSet="3Arrows">
        <cfvo type="percent" val="0"/>
        <cfvo type="num" val="$C$24"/>
        <cfvo type="num" val="$C$24" gte="0"/>
      </iconSet>
    </cfRule>
  </conditionalFormatting>
  <pageMargins left="0.11811023622047245" right="0.11811023622047245" top="0.74803149606299213" bottom="0.74803149606299213" header="0.31496062992125984" footer="0.31496062992125984"/>
  <pageSetup paperSize="9" scale="70" fitToHeight="0" orientation="portrait" r:id="rId1"/>
  <headerFooter>
    <oddHeader>&amp;CRapport de l'activité Agence</oddHeader>
    <oddFooter>&amp;L&amp;P Sur &amp;N</oddFooter>
  </headerFooter>
  <rowBreaks count="2" manualBreakCount="2">
    <brk id="8" max="16383" man="1"/>
    <brk id="47" max="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1645E-DA2F-4AB8-A697-E813BBBE6F5A}">
  <sheetPr codeName="F_Gr_Negoce">
    <tabColor theme="1"/>
    <pageSetUpPr fitToPage="1"/>
  </sheetPr>
  <dimension ref="B2:C12"/>
  <sheetViews>
    <sheetView showGridLines="0" view="pageBreakPreview" topLeftCell="A8" zoomScale="80" zoomScaleNormal="70" zoomScaleSheetLayoutView="80" workbookViewId="0">
      <selection activeCell="G6" sqref="G6"/>
    </sheetView>
  </sheetViews>
  <sheetFormatPr baseColWidth="10" defaultRowHeight="14.4" x14ac:dyDescent="0.3"/>
  <cols>
    <col min="1" max="1" width="1.44140625" customWidth="1"/>
    <col min="2" max="2" width="8.33203125" customWidth="1"/>
    <col min="3" max="3" width="122.6640625" customWidth="1"/>
    <col min="4" max="4" width="2.44140625" customWidth="1"/>
  </cols>
  <sheetData>
    <row r="2" spans="2:3" hidden="1" x14ac:dyDescent="0.3"/>
    <row r="3" spans="2:3" ht="21" x14ac:dyDescent="0.4">
      <c r="C3" s="148" t="s">
        <v>1203</v>
      </c>
    </row>
    <row r="4" spans="2:3" ht="15" thickBot="1" x14ac:dyDescent="0.35"/>
    <row r="5" spans="2:3" ht="15" hidden="1" thickBot="1" x14ac:dyDescent="0.35">
      <c r="C5" s="147">
        <v>2021</v>
      </c>
    </row>
    <row r="6" spans="2:3" ht="229.95" customHeight="1" thickTop="1" thickBot="1" x14ac:dyDescent="0.35">
      <c r="B6" s="164" t="s">
        <v>1180</v>
      </c>
      <c r="C6" s="165"/>
    </row>
    <row r="7" spans="2:3" ht="229.95" customHeight="1" thickTop="1" thickBot="1" x14ac:dyDescent="0.35">
      <c r="B7" s="164" t="s">
        <v>1181</v>
      </c>
      <c r="C7" s="165"/>
    </row>
    <row r="8" spans="2:3" ht="229.95" customHeight="1" thickTop="1" thickBot="1" x14ac:dyDescent="0.35">
      <c r="B8" s="164" t="s">
        <v>1182</v>
      </c>
      <c r="C8" s="165"/>
    </row>
    <row r="9" spans="2:3" ht="229.95" customHeight="1" thickTop="1" thickBot="1" x14ac:dyDescent="0.35">
      <c r="B9" s="164" t="s">
        <v>1184</v>
      </c>
      <c r="C9" s="165"/>
    </row>
    <row r="10" spans="2:3" ht="15" thickTop="1" x14ac:dyDescent="0.3"/>
    <row r="11" spans="2:3" hidden="1" x14ac:dyDescent="0.3"/>
    <row r="12" spans="2:3" ht="21" x14ac:dyDescent="0.4">
      <c r="C12" s="148" t="s">
        <v>1204</v>
      </c>
    </row>
  </sheetData>
  <sheetProtection algorithmName="SHA-512" hashValue="A8me8Q/0copEM01Ef7a5hDrGto/YV3Wx0j/B7uohBo+B19KYItDNEwJA/ABf7QGJa0UmUgJvsf//b3qmLx3Pjw==" saltValue="iTjJhfIFHzxwUvbRdChfrA==" spinCount="100000" sheet="1" objects="1" scenarios="1"/>
  <pageMargins left="0.23622047244094491" right="0.23622047244094491" top="0.74803149606299213" bottom="0.74803149606299213" header="0.31496062992125984" footer="0.31496062992125984"/>
  <pageSetup paperSize="9" scale="74" fitToHeight="0" orientation="portrait" r:id="rId1"/>
  <headerFooter>
    <oddHeader>&amp;CRapport de l'activité négoce</oddHeader>
    <oddFooter>&amp;L&amp;P Sur &amp;N</oddFooter>
  </headerFooter>
  <rowBreaks count="1" manualBreakCount="1">
    <brk id="9" max="2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0AEA-E70E-4A05-97ED-28B411B84F89}">
  <sheetPr codeName="F_Gr_Global">
    <tabColor theme="1"/>
    <pageSetUpPr fitToPage="1"/>
  </sheetPr>
  <dimension ref="B1:C12"/>
  <sheetViews>
    <sheetView showGridLines="0" view="pageBreakPreview" topLeftCell="A7" zoomScale="90" zoomScaleNormal="70" zoomScaleSheetLayoutView="90" workbookViewId="0">
      <selection activeCell="K38" sqref="K38"/>
    </sheetView>
  </sheetViews>
  <sheetFormatPr baseColWidth="10" defaultRowHeight="14.4" x14ac:dyDescent="0.3"/>
  <cols>
    <col min="1" max="1" width="1.44140625" customWidth="1"/>
    <col min="2" max="2" width="8.33203125" customWidth="1"/>
    <col min="3" max="3" width="134.33203125" customWidth="1"/>
    <col min="4" max="4" width="1.5546875" customWidth="1"/>
  </cols>
  <sheetData>
    <row r="1" spans="2:3" hidden="1" x14ac:dyDescent="0.3"/>
    <row r="3" spans="2:3" ht="21" x14ac:dyDescent="0.4">
      <c r="C3" s="148" t="s">
        <v>1213</v>
      </c>
    </row>
    <row r="4" spans="2:3" ht="15" thickBot="1" x14ac:dyDescent="0.35"/>
    <row r="5" spans="2:3" ht="15" hidden="1" thickBot="1" x14ac:dyDescent="0.35">
      <c r="C5" s="147">
        <v>2021</v>
      </c>
    </row>
    <row r="6" spans="2:3" ht="229.95" customHeight="1" thickTop="1" thickBot="1" x14ac:dyDescent="0.35">
      <c r="B6" s="164" t="s">
        <v>1180</v>
      </c>
      <c r="C6" s="165"/>
    </row>
    <row r="7" spans="2:3" ht="229.95" customHeight="1" thickTop="1" thickBot="1" x14ac:dyDescent="0.35">
      <c r="B7" s="164" t="s">
        <v>1181</v>
      </c>
      <c r="C7" s="165"/>
    </row>
    <row r="8" spans="2:3" ht="229.95" customHeight="1" thickTop="1" thickBot="1" x14ac:dyDescent="0.35">
      <c r="B8" s="164" t="s">
        <v>1182</v>
      </c>
      <c r="C8" s="165"/>
    </row>
    <row r="9" spans="2:3" ht="229.95" customHeight="1" thickTop="1" thickBot="1" x14ac:dyDescent="0.35">
      <c r="B9" s="164" t="s">
        <v>1184</v>
      </c>
      <c r="C9" s="165"/>
    </row>
    <row r="10" spans="2:3" ht="15" thickTop="1" x14ac:dyDescent="0.3"/>
    <row r="12" spans="2:3" ht="21" x14ac:dyDescent="0.4">
      <c r="C12" s="148" t="s">
        <v>1214</v>
      </c>
    </row>
  </sheetData>
  <sheetProtection algorithmName="SHA-512" hashValue="dMFNwdA6mkNbRDeTfr/epRuWzFhEYINyAowlTSddZdilmzbqu/sVRGxv1INSK5Fm09CENLZ0L3Ybee2EQ1xpYg==" saltValue="XLpFY8+0zeh7Ek5UoJMhCw==" spinCount="100000" sheet="1" objects="1" scenarios="1"/>
  <pageMargins left="0.23622047244094491" right="0.23622047244094491" top="0.74803149606299213" bottom="0.74803149606299213" header="0.31496062992125984" footer="0.31496062992125984"/>
  <pageSetup paperSize="9" scale="68" fitToHeight="0" orientation="portrait" r:id="rId1"/>
  <headerFooter>
    <oddHeader>&amp;CRapport de l'activité globale</oddHeader>
    <oddFooter>&amp;L&amp;P  Sur &amp;N</oddFooter>
  </headerFooter>
  <rowBreaks count="1" manualBreakCount="1">
    <brk id="11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3719-6299-4D69-A26E-2BFE1E53884D}">
  <sheetPr codeName="F_Detail_Gr">
    <tabColor rgb="FFFFFF00"/>
  </sheetPr>
  <dimension ref="B1:EX45"/>
  <sheetViews>
    <sheetView showGridLines="0" topLeftCell="C1" zoomScale="70" zoomScaleNormal="70" workbookViewId="0">
      <selection activeCell="EP32" sqref="EP32"/>
    </sheetView>
  </sheetViews>
  <sheetFormatPr baseColWidth="10" defaultRowHeight="14.4" x14ac:dyDescent="0.3"/>
  <cols>
    <col min="1" max="1" width="4.21875" customWidth="1"/>
    <col min="2" max="2" width="24.21875" customWidth="1"/>
    <col min="3" max="3" width="17.6640625" customWidth="1"/>
    <col min="4" max="4" width="2.33203125" customWidth="1"/>
    <col min="5" max="5" width="24.21875" customWidth="1"/>
    <col min="6" max="6" width="17.6640625" customWidth="1"/>
    <col min="7" max="7" width="2.33203125" customWidth="1"/>
    <col min="8" max="8" width="24.21875" customWidth="1"/>
    <col min="9" max="9" width="17.6640625" customWidth="1"/>
    <col min="10" max="10" width="2.33203125" customWidth="1"/>
    <col min="11" max="11" width="24.21875" customWidth="1"/>
    <col min="12" max="12" width="17.6640625" customWidth="1"/>
    <col min="13" max="13" width="2.33203125" customWidth="1"/>
    <col min="14" max="14" width="24.21875" customWidth="1"/>
    <col min="15" max="15" width="17.6640625" customWidth="1"/>
    <col min="16" max="16" width="2.33203125" customWidth="1"/>
    <col min="17" max="17" width="24.21875" customWidth="1"/>
    <col min="18" max="18" width="17.6640625" customWidth="1"/>
    <col min="19" max="19" width="2.33203125" customWidth="1"/>
    <col min="20" max="20" width="24.21875" customWidth="1"/>
    <col min="21" max="21" width="17.6640625" customWidth="1"/>
    <col min="22" max="22" width="2.33203125" customWidth="1"/>
    <col min="23" max="23" width="24.21875" customWidth="1"/>
    <col min="24" max="24" width="17.6640625" customWidth="1"/>
    <col min="25" max="25" width="2.33203125" customWidth="1"/>
    <col min="26" max="26" width="24.21875" customWidth="1"/>
    <col min="27" max="27" width="17.6640625" customWidth="1"/>
    <col min="28" max="28" width="2.33203125" customWidth="1"/>
    <col min="29" max="29" width="24.21875" customWidth="1"/>
    <col min="30" max="30" width="17.6640625" customWidth="1"/>
    <col min="31" max="31" width="2.33203125" customWidth="1"/>
    <col min="32" max="32" width="24.21875" customWidth="1"/>
    <col min="33" max="33" width="17.6640625" customWidth="1"/>
    <col min="34" max="34" width="2.33203125" customWidth="1"/>
    <col min="35" max="35" width="24.21875" customWidth="1"/>
    <col min="36" max="36" width="17.6640625" customWidth="1"/>
    <col min="37" max="37" width="2.33203125" customWidth="1"/>
    <col min="38" max="38" width="24.21875" customWidth="1"/>
    <col min="39" max="39" width="17.6640625" customWidth="1"/>
    <col min="40" max="40" width="2.33203125" customWidth="1"/>
    <col min="41" max="41" width="24.21875" customWidth="1"/>
    <col min="42" max="42" width="17.6640625" customWidth="1"/>
    <col min="43" max="43" width="2.33203125" customWidth="1"/>
    <col min="44" max="44" width="24.21875" customWidth="1"/>
    <col min="45" max="45" width="17.6640625" customWidth="1"/>
    <col min="46" max="46" width="4.21875" customWidth="1"/>
    <col min="47" max="47" width="24.21875" customWidth="1"/>
    <col min="48" max="48" width="17.6640625" customWidth="1"/>
    <col min="49" max="49" width="2.33203125" customWidth="1"/>
    <col min="50" max="50" width="24.21875" customWidth="1"/>
    <col min="51" max="51" width="17.6640625" customWidth="1"/>
    <col min="52" max="52" width="2.33203125" customWidth="1"/>
    <col min="53" max="53" width="24.21875" customWidth="1"/>
    <col min="54" max="54" width="17.6640625" customWidth="1"/>
    <col min="55" max="55" width="4.21875" customWidth="1"/>
    <col min="56" max="56" width="24.21875" customWidth="1"/>
    <col min="57" max="57" width="17.6640625" customWidth="1"/>
    <col min="58" max="58" width="2.33203125" customWidth="1"/>
    <col min="59" max="59" width="24.21875" customWidth="1"/>
    <col min="60" max="60" width="17.6640625" customWidth="1"/>
    <col min="61" max="61" width="2.33203125" customWidth="1"/>
    <col min="62" max="62" width="24.21875" customWidth="1"/>
    <col min="63" max="63" width="17.6640625" customWidth="1"/>
    <col min="64" max="64" width="4.21875" customWidth="1"/>
    <col min="65" max="65" width="24.21875" customWidth="1"/>
    <col min="66" max="66" width="17.6640625" customWidth="1"/>
    <col min="67" max="67" width="2.33203125" customWidth="1"/>
    <col min="68" max="68" width="24.21875" customWidth="1"/>
    <col min="69" max="69" width="17.6640625" customWidth="1"/>
    <col min="70" max="70" width="2.33203125" customWidth="1"/>
    <col min="71" max="71" width="24.21875" customWidth="1"/>
    <col min="72" max="72" width="17.6640625" customWidth="1"/>
    <col min="73" max="73" width="2.33203125" customWidth="1"/>
    <col min="74" max="76" width="17.6640625" customWidth="1"/>
    <col min="77" max="77" width="2.33203125" customWidth="1"/>
    <col min="78" max="80" width="14" customWidth="1"/>
    <col min="81" max="81" width="2.33203125" customWidth="1"/>
    <col min="82" max="84" width="10.88671875" customWidth="1"/>
    <col min="85" max="85" width="2.33203125" customWidth="1"/>
    <col min="86" max="88" width="14" customWidth="1"/>
    <col min="89" max="89" width="2.33203125" customWidth="1"/>
    <col min="90" max="90" width="24.21875" customWidth="1"/>
    <col min="91" max="91" width="17.6640625" customWidth="1"/>
    <col min="92" max="92" width="2.33203125" customWidth="1"/>
    <col min="93" max="93" width="24.21875" customWidth="1"/>
    <col min="94" max="94" width="17.6640625" customWidth="1"/>
    <col min="95" max="95" width="2.33203125" customWidth="1"/>
    <col min="96" max="96" width="24.21875" customWidth="1"/>
    <col min="97" max="97" width="17.6640625" customWidth="1"/>
    <col min="98" max="98" width="2.33203125" customWidth="1"/>
    <col min="99" max="100" width="10.88671875" customWidth="1"/>
    <col min="101" max="101" width="2.88671875" customWidth="1"/>
    <col min="102" max="102" width="16" style="94" customWidth="1"/>
    <col min="103" max="103" width="19.109375" customWidth="1"/>
    <col min="104" max="105" width="18.21875" customWidth="1"/>
    <col min="106" max="106" width="2.88671875" customWidth="1"/>
    <col min="107" max="107" width="16" customWidth="1"/>
    <col min="108" max="108" width="19.109375" customWidth="1"/>
    <col min="109" max="110" width="18.21875" customWidth="1"/>
    <col min="111" max="111" width="2.88671875" customWidth="1"/>
    <col min="112" max="112" width="16" customWidth="1"/>
    <col min="113" max="113" width="19.109375" customWidth="1"/>
    <col min="114" max="115" width="18.21875" customWidth="1"/>
    <col min="116" max="116" width="2.88671875" customWidth="1"/>
    <col min="117" max="117" width="16" customWidth="1"/>
    <col min="118" max="118" width="19.109375" customWidth="1"/>
    <col min="119" max="120" width="18.21875" customWidth="1"/>
    <col min="121" max="121" width="2.88671875" customWidth="1"/>
    <col min="122" max="123" width="10.88671875" style="94"/>
    <col min="124" max="124" width="16.6640625" style="94" customWidth="1"/>
    <col min="125" max="125" width="2.109375" customWidth="1"/>
    <col min="126" max="126" width="15" customWidth="1"/>
    <col min="130" max="130" width="1.77734375" customWidth="1"/>
    <col min="131" max="131" width="18.21875" customWidth="1"/>
    <col min="135" max="135" width="2.77734375" customWidth="1"/>
    <col min="136" max="136" width="15" customWidth="1"/>
    <col min="140" max="140" width="2.21875" customWidth="1"/>
    <col min="141" max="141" width="17.44140625" customWidth="1"/>
    <col min="145" max="145" width="2.109375" customWidth="1"/>
    <col min="147" max="147" width="16.77734375" customWidth="1"/>
    <col min="148" max="148" width="14.77734375" customWidth="1"/>
    <col min="149" max="149" width="10.88671875" customWidth="1"/>
    <col min="151" max="151" width="17.77734375" bestFit="1" customWidth="1"/>
    <col min="152" max="152" width="16.33203125" bestFit="1" customWidth="1"/>
    <col min="153" max="153" width="9.77734375" bestFit="1" customWidth="1"/>
  </cols>
  <sheetData>
    <row r="1" spans="2:154" s="137" customFormat="1" x14ac:dyDescent="0.3">
      <c r="B1" s="144" t="s">
        <v>1177</v>
      </c>
      <c r="C1" s="144"/>
      <c r="D1" s="144"/>
      <c r="E1" s="144"/>
      <c r="F1" s="144"/>
      <c r="G1" s="144"/>
      <c r="H1" s="144"/>
      <c r="I1" s="144"/>
      <c r="K1" s="144" t="s">
        <v>1178</v>
      </c>
      <c r="L1" s="144"/>
      <c r="M1" s="144"/>
      <c r="N1" s="144"/>
      <c r="O1" s="144"/>
      <c r="P1" s="144"/>
      <c r="Q1" s="144"/>
      <c r="R1" s="144"/>
      <c r="T1" s="144" t="s">
        <v>1179</v>
      </c>
      <c r="U1" s="144"/>
      <c r="V1" s="144"/>
      <c r="W1" s="144"/>
      <c r="X1" s="144"/>
      <c r="Y1" s="144"/>
      <c r="Z1" s="144"/>
      <c r="AA1" s="144"/>
      <c r="AC1" s="144" t="s">
        <v>1185</v>
      </c>
      <c r="AD1" s="144"/>
      <c r="AE1" s="144"/>
      <c r="AF1" s="144"/>
      <c r="AG1" s="144"/>
      <c r="AH1" s="144"/>
      <c r="AI1" s="144"/>
      <c r="AJ1" s="144"/>
      <c r="AL1" s="144" t="s">
        <v>1183</v>
      </c>
      <c r="AM1" s="144"/>
      <c r="AN1" s="144"/>
      <c r="AO1" s="144"/>
      <c r="AP1" s="144"/>
      <c r="AQ1" s="144"/>
      <c r="AR1" s="144"/>
      <c r="AS1" s="144"/>
      <c r="AU1" s="144" t="s">
        <v>1186</v>
      </c>
      <c r="AV1" s="144"/>
      <c r="AW1" s="144"/>
      <c r="AX1" s="144"/>
      <c r="AY1" s="144"/>
      <c r="AZ1" s="144"/>
      <c r="BA1" s="144"/>
      <c r="BB1" s="144"/>
      <c r="BD1" s="144" t="s">
        <v>1187</v>
      </c>
      <c r="BE1" s="144"/>
      <c r="BF1" s="144"/>
      <c r="BG1" s="144"/>
      <c r="BH1" s="144"/>
      <c r="BI1" s="144"/>
      <c r="BJ1" s="144"/>
      <c r="BK1" s="144"/>
      <c r="BM1" s="144" t="s">
        <v>1188</v>
      </c>
      <c r="BN1" s="144"/>
      <c r="BO1" s="144"/>
      <c r="BP1" s="144"/>
      <c r="BQ1" s="144"/>
      <c r="BR1" s="144"/>
      <c r="BS1" s="144"/>
      <c r="BT1" s="144"/>
      <c r="BV1" s="144" t="s">
        <v>1189</v>
      </c>
      <c r="BW1" s="144"/>
      <c r="BX1" s="144"/>
      <c r="BZ1" s="144" t="s">
        <v>1192</v>
      </c>
      <c r="CA1" s="144"/>
      <c r="CB1" s="144"/>
      <c r="CD1" s="144" t="s">
        <v>1191</v>
      </c>
      <c r="CE1" s="144"/>
      <c r="CF1" s="144"/>
      <c r="CH1" s="144" t="s">
        <v>1190</v>
      </c>
      <c r="CI1" s="144"/>
      <c r="CJ1" s="144"/>
      <c r="CL1" s="144" t="s">
        <v>1177</v>
      </c>
      <c r="CM1" s="144"/>
      <c r="CN1" s="144"/>
      <c r="CO1" s="144"/>
      <c r="CP1" s="144"/>
      <c r="CQ1" s="144"/>
      <c r="CR1" s="144"/>
      <c r="CS1" s="144"/>
      <c r="CU1" s="144"/>
      <c r="CV1" s="144"/>
      <c r="CX1" s="154" t="s">
        <v>1200</v>
      </c>
      <c r="CY1" s="154"/>
      <c r="CZ1" s="154"/>
      <c r="DA1" s="154"/>
      <c r="DC1" s="154" t="s">
        <v>1200</v>
      </c>
      <c r="DD1" s="154"/>
      <c r="DE1" s="154"/>
      <c r="DF1" s="154"/>
      <c r="DH1" s="154" t="s">
        <v>1200</v>
      </c>
      <c r="DI1" s="154"/>
      <c r="DJ1" s="154"/>
      <c r="DK1" s="154"/>
      <c r="DM1" s="154" t="s">
        <v>1200</v>
      </c>
      <c r="DN1" s="154"/>
      <c r="DO1" s="154"/>
      <c r="DP1" s="154"/>
      <c r="DR1" s="156"/>
      <c r="DS1" s="156"/>
      <c r="DT1" s="156"/>
      <c r="DV1" s="158" t="s">
        <v>1200</v>
      </c>
      <c r="DW1" s="158"/>
      <c r="DX1" s="158"/>
      <c r="DY1" s="158"/>
      <c r="EA1" s="158" t="s">
        <v>1210</v>
      </c>
      <c r="EB1" s="158"/>
      <c r="EC1" s="158"/>
      <c r="ED1" s="158"/>
      <c r="EF1" s="158" t="s">
        <v>1211</v>
      </c>
      <c r="EG1" s="158"/>
      <c r="EH1" s="158"/>
      <c r="EI1" s="158"/>
      <c r="EK1" s="158" t="s">
        <v>1212</v>
      </c>
      <c r="EL1" s="158"/>
      <c r="EM1" s="158"/>
      <c r="EN1" s="158"/>
      <c r="EP1" s="159"/>
      <c r="EQ1" s="159"/>
      <c r="ER1" s="159"/>
      <c r="ES1" s="159"/>
      <c r="EU1" s="137" t="s">
        <v>1219</v>
      </c>
    </row>
    <row r="2" spans="2:154" x14ac:dyDescent="0.3">
      <c r="B2" s="145">
        <f>Anne_N-2</f>
        <v>2021</v>
      </c>
      <c r="C2" s="145"/>
      <c r="E2" s="145">
        <f>Anne_N-1</f>
        <v>2022</v>
      </c>
      <c r="F2" s="145"/>
      <c r="H2" s="145">
        <f>Anne_N</f>
        <v>2023</v>
      </c>
      <c r="I2" s="145"/>
      <c r="K2" s="145">
        <f>Anne_N-2</f>
        <v>2021</v>
      </c>
      <c r="L2" s="145"/>
      <c r="N2" s="145">
        <f>Anne_N-1</f>
        <v>2022</v>
      </c>
      <c r="O2" s="145"/>
      <c r="Q2" s="145">
        <f>Anne_N</f>
        <v>2023</v>
      </c>
      <c r="R2" s="145"/>
      <c r="T2" s="145">
        <f>Anne_N-2</f>
        <v>2021</v>
      </c>
      <c r="U2" s="145"/>
      <c r="W2" s="145">
        <f>+Anne_N-1</f>
        <v>2022</v>
      </c>
      <c r="X2" s="145"/>
      <c r="Z2" s="145">
        <f>Anne_N</f>
        <v>2023</v>
      </c>
      <c r="AA2" s="145"/>
      <c r="AC2" s="145">
        <f>Anne_N-2</f>
        <v>2021</v>
      </c>
      <c r="AD2" s="145"/>
      <c r="AF2" s="145">
        <f>Anne_N-1</f>
        <v>2022</v>
      </c>
      <c r="AG2" s="145"/>
      <c r="AI2" s="145">
        <f>Anne_N</f>
        <v>2023</v>
      </c>
      <c r="AJ2" s="145"/>
      <c r="AL2" s="145">
        <f>Anne_N-2</f>
        <v>2021</v>
      </c>
      <c r="AM2" s="145"/>
      <c r="AO2" s="145">
        <f>Anne_N-1</f>
        <v>2022</v>
      </c>
      <c r="AP2" s="145"/>
      <c r="AR2" s="145">
        <f>Anne_N</f>
        <v>2023</v>
      </c>
      <c r="AS2" s="145"/>
      <c r="AU2" s="145">
        <f>Anne_N-2</f>
        <v>2021</v>
      </c>
      <c r="AV2" s="145"/>
      <c r="AX2" s="145">
        <f>Anne_N-1</f>
        <v>2022</v>
      </c>
      <c r="AY2" s="145"/>
      <c r="BA2" s="145">
        <f>Anne_N</f>
        <v>2023</v>
      </c>
      <c r="BB2" s="145"/>
      <c r="BD2" s="145">
        <f>Anne_N-2</f>
        <v>2021</v>
      </c>
      <c r="BE2" s="145"/>
      <c r="BG2" s="145">
        <f>Anne_N-1</f>
        <v>2022</v>
      </c>
      <c r="BH2" s="145"/>
      <c r="BJ2" s="145">
        <f>Anne_N</f>
        <v>2023</v>
      </c>
      <c r="BK2" s="145"/>
      <c r="BM2" s="145">
        <f>Anne_N-2</f>
        <v>2021</v>
      </c>
      <c r="BN2" s="145"/>
      <c r="BP2" s="145">
        <f>Anne_N-1</f>
        <v>2022</v>
      </c>
      <c r="BQ2" s="145"/>
      <c r="BS2" s="145">
        <f>Anne_N</f>
        <v>2023</v>
      </c>
      <c r="BT2" s="145"/>
      <c r="BV2" s="149">
        <f>Anne_N-2</f>
        <v>2021</v>
      </c>
      <c r="BW2" s="149">
        <f>Anne_N-1</f>
        <v>2022</v>
      </c>
      <c r="BX2" s="149">
        <f>Anne_N</f>
        <v>2023</v>
      </c>
      <c r="BZ2" s="149">
        <f>Anne_N-2</f>
        <v>2021</v>
      </c>
      <c r="CA2" s="149">
        <f>Anne_N-1</f>
        <v>2022</v>
      </c>
      <c r="CB2" s="149">
        <f>Anne_N</f>
        <v>2023</v>
      </c>
      <c r="CD2" s="149">
        <f>Anne_N-2</f>
        <v>2021</v>
      </c>
      <c r="CE2" s="149">
        <f>Anne_N-1</f>
        <v>2022</v>
      </c>
      <c r="CF2" s="149">
        <f>Anne_N</f>
        <v>2023</v>
      </c>
      <c r="CH2" s="149">
        <f>Anne_N-2</f>
        <v>2021</v>
      </c>
      <c r="CI2" s="149">
        <f>Anne_N-1</f>
        <v>2022</v>
      </c>
      <c r="CJ2" s="149">
        <f>Anne_N</f>
        <v>2023</v>
      </c>
      <c r="CL2" s="145">
        <f>Anne_N-2</f>
        <v>2021</v>
      </c>
      <c r="CM2" s="145"/>
      <c r="CO2" s="145">
        <f>Anne_N-1</f>
        <v>2022</v>
      </c>
      <c r="CP2" s="145"/>
      <c r="CR2" s="145">
        <f>Anne_N</f>
        <v>2023</v>
      </c>
      <c r="CS2" s="145"/>
      <c r="CU2" s="145"/>
      <c r="CV2" s="145"/>
      <c r="CX2" s="155"/>
      <c r="CY2" s="155"/>
      <c r="CZ2" s="155"/>
      <c r="DA2" s="155"/>
      <c r="DB2" s="97"/>
      <c r="DC2" s="155"/>
      <c r="DD2" s="155"/>
      <c r="DE2" s="155"/>
      <c r="DF2" s="155"/>
      <c r="DH2" s="155"/>
      <c r="DI2" s="155"/>
      <c r="DJ2" s="155"/>
      <c r="DK2" s="155"/>
      <c r="DM2" s="155"/>
      <c r="DN2" s="155"/>
      <c r="DO2" s="155"/>
      <c r="DP2" s="155"/>
      <c r="DR2" s="157"/>
      <c r="DS2" s="157"/>
      <c r="DT2" s="157"/>
      <c r="DV2" s="160"/>
      <c r="DW2" s="160"/>
      <c r="DX2" s="160"/>
      <c r="DY2" s="160"/>
      <c r="DZ2" s="97"/>
      <c r="EA2" s="160"/>
      <c r="EB2" s="160"/>
      <c r="EC2" s="160"/>
      <c r="ED2" s="160"/>
      <c r="EF2" s="160"/>
      <c r="EG2" s="160"/>
      <c r="EH2" s="160"/>
      <c r="EI2" s="160"/>
      <c r="EK2" s="160"/>
      <c r="EL2" s="160"/>
      <c r="EM2" s="160"/>
      <c r="EN2" s="160"/>
      <c r="EP2" s="161"/>
      <c r="EQ2" s="161"/>
      <c r="ER2" s="161"/>
      <c r="ES2" s="161"/>
    </row>
    <row r="3" spans="2:154" x14ac:dyDescent="0.3">
      <c r="B3" s="139" t="s">
        <v>82</v>
      </c>
      <c r="C3" s="140" t="s">
        <v>176</v>
      </c>
      <c r="E3" s="138" t="s">
        <v>82</v>
      </c>
      <c r="F3" s="138" t="s">
        <v>176</v>
      </c>
      <c r="H3" s="138" t="s">
        <v>82</v>
      </c>
      <c r="I3" s="138" t="s">
        <v>176</v>
      </c>
      <c r="K3" s="139" t="s">
        <v>82</v>
      </c>
      <c r="L3" s="140" t="s">
        <v>176</v>
      </c>
      <c r="N3" s="138" t="s">
        <v>82</v>
      </c>
      <c r="O3" s="150" t="s">
        <v>176</v>
      </c>
      <c r="Q3" s="138" t="s">
        <v>82</v>
      </c>
      <c r="R3" s="150" t="s">
        <v>176</v>
      </c>
      <c r="T3" s="139" t="s">
        <v>82</v>
      </c>
      <c r="U3" s="140" t="s">
        <v>176</v>
      </c>
      <c r="W3" s="138" t="s">
        <v>82</v>
      </c>
      <c r="X3" s="138" t="s">
        <v>176</v>
      </c>
      <c r="Z3" s="138" t="s">
        <v>82</v>
      </c>
      <c r="AA3" s="150" t="s">
        <v>176</v>
      </c>
      <c r="AC3" s="139" t="s">
        <v>82</v>
      </c>
      <c r="AD3" s="140" t="s">
        <v>176</v>
      </c>
      <c r="AF3" s="138" t="s">
        <v>82</v>
      </c>
      <c r="AG3" s="138" t="s">
        <v>176</v>
      </c>
      <c r="AI3" s="138" t="s">
        <v>82</v>
      </c>
      <c r="AJ3" s="138" t="s">
        <v>176</v>
      </c>
      <c r="AL3" s="139" t="s">
        <v>82</v>
      </c>
      <c r="AM3" s="140" t="s">
        <v>176</v>
      </c>
      <c r="AO3" s="138" t="s">
        <v>82</v>
      </c>
      <c r="AP3" s="138" t="s">
        <v>176</v>
      </c>
      <c r="AR3" s="138" t="s">
        <v>82</v>
      </c>
      <c r="AS3" s="138" t="s">
        <v>176</v>
      </c>
      <c r="AU3" s="139" t="s">
        <v>82</v>
      </c>
      <c r="AV3" s="140" t="s">
        <v>176</v>
      </c>
      <c r="AX3" s="138" t="s">
        <v>82</v>
      </c>
      <c r="AY3" s="138" t="s">
        <v>176</v>
      </c>
      <c r="BA3" s="138" t="s">
        <v>82</v>
      </c>
      <c r="BB3" s="138" t="s">
        <v>176</v>
      </c>
      <c r="BD3" s="139" t="s">
        <v>82</v>
      </c>
      <c r="BE3" s="140" t="s">
        <v>176</v>
      </c>
      <c r="BG3" s="138" t="s">
        <v>82</v>
      </c>
      <c r="BH3" s="138" t="s">
        <v>176</v>
      </c>
      <c r="BJ3" s="138" t="s">
        <v>82</v>
      </c>
      <c r="BK3" s="138" t="s">
        <v>176</v>
      </c>
      <c r="BM3" s="139" t="s">
        <v>82</v>
      </c>
      <c r="BN3" s="140" t="s">
        <v>176</v>
      </c>
      <c r="BP3" s="138" t="s">
        <v>82</v>
      </c>
      <c r="BQ3" s="138" t="s">
        <v>176</v>
      </c>
      <c r="BS3" s="138" t="s">
        <v>82</v>
      </c>
      <c r="BT3" s="138" t="s">
        <v>176</v>
      </c>
      <c r="BV3" s="140" t="s">
        <v>176</v>
      </c>
      <c r="BW3" s="150" t="s">
        <v>176</v>
      </c>
      <c r="BX3" s="150" t="s">
        <v>176</v>
      </c>
      <c r="BZ3" s="140" t="s">
        <v>176</v>
      </c>
      <c r="CA3" s="150" t="s">
        <v>176</v>
      </c>
      <c r="CB3" s="150" t="s">
        <v>176</v>
      </c>
      <c r="CD3" s="140" t="s">
        <v>176</v>
      </c>
      <c r="CE3" s="150" t="s">
        <v>176</v>
      </c>
      <c r="CF3" s="150" t="s">
        <v>176</v>
      </c>
      <c r="CH3" s="140" t="s">
        <v>176</v>
      </c>
      <c r="CI3" s="150" t="s">
        <v>176</v>
      </c>
      <c r="CJ3" s="150" t="s">
        <v>176</v>
      </c>
      <c r="CL3" s="139" t="s">
        <v>82</v>
      </c>
      <c r="CM3" s="140" t="s">
        <v>176</v>
      </c>
      <c r="CO3" s="138" t="s">
        <v>82</v>
      </c>
      <c r="CP3" s="138" t="s">
        <v>176</v>
      </c>
      <c r="CR3" s="138" t="s">
        <v>82</v>
      </c>
      <c r="CS3" s="138" t="s">
        <v>176</v>
      </c>
      <c r="CU3" s="138" t="s">
        <v>224</v>
      </c>
      <c r="CV3" s="138" t="s">
        <v>1199</v>
      </c>
      <c r="CX3" s="150" t="s">
        <v>1202</v>
      </c>
      <c r="CY3" s="150">
        <f>Anne_N-2</f>
        <v>2021</v>
      </c>
      <c r="CZ3" s="150">
        <f>Anne_N-1</f>
        <v>2022</v>
      </c>
      <c r="DA3" s="150">
        <f>Anne_N</f>
        <v>2023</v>
      </c>
      <c r="DC3" s="150" t="s">
        <v>1202</v>
      </c>
      <c r="DD3" s="150">
        <f>Anne_N-2</f>
        <v>2021</v>
      </c>
      <c r="DE3" s="150">
        <f>Anne_N-1</f>
        <v>2022</v>
      </c>
      <c r="DF3" s="150">
        <f>Anne_N</f>
        <v>2023</v>
      </c>
      <c r="DH3" s="150" t="s">
        <v>1202</v>
      </c>
      <c r="DI3" s="150">
        <f>Anne_N-2</f>
        <v>2021</v>
      </c>
      <c r="DJ3" s="150">
        <f>Anne_N-1</f>
        <v>2022</v>
      </c>
      <c r="DK3" s="150">
        <f>Anne_N</f>
        <v>2023</v>
      </c>
      <c r="DM3" s="150" t="s">
        <v>1202</v>
      </c>
      <c r="DN3" s="150">
        <f>Anne_N-2</f>
        <v>2021</v>
      </c>
      <c r="DO3" s="150">
        <f>Anne_N-1</f>
        <v>2022</v>
      </c>
      <c r="DP3" s="150">
        <f>Anne_N</f>
        <v>2023</v>
      </c>
      <c r="DR3" s="150" t="s">
        <v>224</v>
      </c>
      <c r="DS3" s="150" t="s">
        <v>1199</v>
      </c>
      <c r="DT3" s="150" t="s">
        <v>1205</v>
      </c>
      <c r="DV3" s="150" t="s">
        <v>1202</v>
      </c>
      <c r="DW3" s="150">
        <f>'Graphique Agence'!C4</f>
        <v>2021</v>
      </c>
      <c r="DX3" s="150">
        <f>'Graphique Agence'!D4</f>
        <v>2022</v>
      </c>
      <c r="DY3" s="150">
        <f>'Graphique Agence'!E4</f>
        <v>2023</v>
      </c>
      <c r="EA3" s="150" t="s">
        <v>1202</v>
      </c>
      <c r="EB3" s="150">
        <f>DW3</f>
        <v>2021</v>
      </c>
      <c r="EC3" s="150">
        <f t="shared" ref="EC3" si="0">DX3</f>
        <v>2022</v>
      </c>
      <c r="ED3" s="150">
        <f t="shared" ref="ED3" si="1">DY3</f>
        <v>2023</v>
      </c>
      <c r="EF3" s="150" t="s">
        <v>1202</v>
      </c>
      <c r="EG3" s="150">
        <f>EB3</f>
        <v>2021</v>
      </c>
      <c r="EH3" s="150">
        <f t="shared" ref="EH3" si="2">EC3</f>
        <v>2022</v>
      </c>
      <c r="EI3" s="150">
        <f t="shared" ref="EI3" si="3">ED3</f>
        <v>2023</v>
      </c>
      <c r="EK3" s="150" t="s">
        <v>1202</v>
      </c>
      <c r="EL3" s="150">
        <f>EG3</f>
        <v>2021</v>
      </c>
      <c r="EM3" s="150">
        <f t="shared" ref="EM3" si="4">EH3</f>
        <v>2022</v>
      </c>
      <c r="EN3" s="150">
        <f t="shared" ref="EN3" si="5">EI3</f>
        <v>2023</v>
      </c>
      <c r="EP3" s="150" t="s">
        <v>224</v>
      </c>
      <c r="EQ3" s="150" t="s">
        <v>1208</v>
      </c>
      <c r="ER3" s="150" t="s">
        <v>1209</v>
      </c>
      <c r="ES3" s="150" t="s">
        <v>1208</v>
      </c>
      <c r="EU3" s="150" t="s">
        <v>1220</v>
      </c>
      <c r="EV3" s="150" t="s">
        <v>1221</v>
      </c>
      <c r="EW3" s="150" t="s">
        <v>1222</v>
      </c>
      <c r="EX3" s="150" t="s">
        <v>1223</v>
      </c>
    </row>
    <row r="4" spans="2:154" x14ac:dyDescent="0.3">
      <c r="B4" s="25" t="s">
        <v>69</v>
      </c>
      <c r="C4" s="141">
        <f t="shared" ref="C4:C12" ca="1" si="6">SUMIFS(ZnCAAgence,ZnAnneAgence,Anne_N-2,ZnMarqueAgence,B4,ZnTrimestreAgence,1)</f>
        <v>164843.15000000002</v>
      </c>
      <c r="E4" s="25" t="s">
        <v>69</v>
      </c>
      <c r="F4" s="141">
        <f t="shared" ref="F4:F12" ca="1" si="7">SUMIFS(ZnCAAgence,ZnAnneAgence,Anne_N-1,ZnMarqueAgence,E4,ZnTrimestreAgence,1)</f>
        <v>180931.71000000002</v>
      </c>
      <c r="H4" s="25" t="s">
        <v>69</v>
      </c>
      <c r="I4" s="141">
        <f t="shared" ref="I4:I12" ca="1" si="8">SUMIFS(ZnCAAgence,ZnAnneAgence,Anne_N,ZnMarqueAgence,H4,ZnTrimestreAgence,1)</f>
        <v>233169.62000000002</v>
      </c>
      <c r="K4" s="25" t="s">
        <v>69</v>
      </c>
      <c r="L4" s="141">
        <f t="shared" ref="L4:L12" ca="1" si="9">SUMIFS(ZnCAAgence,ZnAnneAgence,Anne_N-2,ZnMarqueAgence,K4,ZnTrimestreAgence,2)</f>
        <v>217677.78999999998</v>
      </c>
      <c r="N4" s="25" t="s">
        <v>69</v>
      </c>
      <c r="O4" s="141">
        <f t="shared" ref="O4:O12" ca="1" si="10">SUMIFS(ZnCAAgence,ZnAnneAgence,Anne_N-1,ZnMarqueAgence,N4,ZnTrimestreAgence,2)</f>
        <v>202599.29</v>
      </c>
      <c r="Q4" s="25" t="s">
        <v>69</v>
      </c>
      <c r="R4" s="141">
        <f t="shared" ref="R4:R12" ca="1" si="11">SUMIFS(ZnCAAgence,ZnAnneAgence,Anne_N,ZnMarqueAgence,Q4,ZnTrimestreAgence,2)</f>
        <v>237682.78</v>
      </c>
      <c r="T4" s="25" t="s">
        <v>69</v>
      </c>
      <c r="U4" s="141">
        <f t="shared" ref="U4:U12" ca="1" si="12">SUMIFS(ZnCAAgence,ZnAnneAgence,Anne_N-2,ZnMarqueAgence,T4,ZnTrimestreAgence,3)</f>
        <v>121818.69</v>
      </c>
      <c r="W4" s="25" t="s">
        <v>69</v>
      </c>
      <c r="X4" s="141">
        <f t="shared" ref="X4:X12" ca="1" si="13">SUMIFS(ZnCAAgence,ZnAnneAgence,Anne_N-1,ZnMarqueAgence,W4,ZnTrimestreAgence,3)</f>
        <v>182378.43</v>
      </c>
      <c r="Z4" s="25" t="s">
        <v>69</v>
      </c>
      <c r="AA4" s="141">
        <f t="shared" ref="AA4:AA12" ca="1" si="14">SUMIFS(ZnCAAgence,ZnAnneAgence,Anne_N,ZnMarqueAgence,Z4,ZnTrimestreAgence,3)</f>
        <v>183778.92000000004</v>
      </c>
      <c r="AC4" s="25" t="s">
        <v>69</v>
      </c>
      <c r="AD4" s="141">
        <f t="shared" ref="AD4:AD12" ca="1" si="15">SUMIFS(ZnCAAgence,ZnAnneAgence,Anne_N-2,ZnMarqueAgence,AC4,ZnTrimestreAgence,4)</f>
        <v>124245.41999999998</v>
      </c>
      <c r="AF4" s="25" t="s">
        <v>69</v>
      </c>
      <c r="AG4" s="141">
        <f t="shared" ref="AG4:AG12" ca="1" si="16">SUMIFS(ZnCAAgence,ZnAnneAgence,Anne_N-1,ZnMarqueAgence,AF4,ZnTrimestreAgence,4)</f>
        <v>200922.66999999998</v>
      </c>
      <c r="AI4" s="25" t="s">
        <v>69</v>
      </c>
      <c r="AJ4" s="141">
        <f t="shared" ref="AJ4:AJ12" ca="1" si="17">SUMIFS(ZnCAAgence,ZnAnneAgence,Anne_N,ZnMarqueAgence,AI4,ZnTrimestreAgence,4)</f>
        <v>36094.660000000003</v>
      </c>
      <c r="AL4" s="25" t="s">
        <v>196</v>
      </c>
      <c r="AM4" s="141">
        <f ca="1">SUMIFS(ZnCAAgence,ZnAnneAgence,Anne_N-2,ZnSecteurAgence,AL4,ZnTrimestreAgence,1)</f>
        <v>226427.54</v>
      </c>
      <c r="AO4" s="25" t="s">
        <v>196</v>
      </c>
      <c r="AP4" s="141">
        <f ca="1">SUMIFS(ZnCAAgence,ZnAnneAgence,Anne_N-1,ZnSecteurAgence,AO4,ZnTrimestreAgence,1)</f>
        <v>384815.4</v>
      </c>
      <c r="AR4" s="25" t="s">
        <v>196</v>
      </c>
      <c r="AS4" s="141">
        <f ca="1">SUMIFS(ZnCAAgence,ZnAnneAgence,Anne_N,ZnSecteurAgence,AR4,ZnTrimestreAgence,1)</f>
        <v>602313.05000000005</v>
      </c>
      <c r="AU4" s="25" t="s">
        <v>196</v>
      </c>
      <c r="AV4" s="141">
        <f ca="1">SUMIFS(ZnCAAgence,ZnAnneAgence,Anne_N-2,ZnSecteurAgence,AU4,ZnTrimestreAgence,2)</f>
        <v>287236.76999999996</v>
      </c>
      <c r="AX4" s="25" t="s">
        <v>196</v>
      </c>
      <c r="AY4" s="141">
        <f ca="1">SUMIFS(ZnCAAgence,ZnAnneAgence,Anne_N-1,ZnSecteurAgence,AX4,ZnTrimestreAgence,2)</f>
        <v>604291.4</v>
      </c>
      <c r="BA4" s="25" t="s">
        <v>196</v>
      </c>
      <c r="BB4" s="141">
        <f ca="1">SUMIFS(ZnCAAgence,ZnAnneAgence,Anne_N,ZnSecteurAgence,BA4,ZnTrimestreAgence,2)</f>
        <v>395134.80999999994</v>
      </c>
      <c r="BD4" s="25" t="s">
        <v>196</v>
      </c>
      <c r="BE4" s="141">
        <f ca="1">SUMIFS(ZnCAAgence,ZnAnneAgence,Anne_N-2,ZnSecteurAgence,BD4,ZnTrimestreAgence,3)</f>
        <v>284125.82999999996</v>
      </c>
      <c r="BG4" s="25" t="s">
        <v>196</v>
      </c>
      <c r="BH4" s="141">
        <f ca="1">SUMIFS(ZnCAAgence,ZnAnneAgence,Anne_N-1,ZnSecteurAgence,BG4,ZnTrimestreAgence,3)</f>
        <v>551117.15000000014</v>
      </c>
      <c r="BJ4" s="25" t="s">
        <v>196</v>
      </c>
      <c r="BK4" s="141">
        <f ca="1">SUMIFS(ZnCAAgence,ZnAnneAgence,Anne_N,ZnSecteurAgence,BJ4,ZnTrimestreAgence,3)</f>
        <v>553149.85000000021</v>
      </c>
      <c r="BM4" s="25" t="s">
        <v>196</v>
      </c>
      <c r="BN4" s="141">
        <f ca="1">SUMIFS(ZnCAAgence,ZnAnneAgence,Anne_N-2,ZnSecteurAgence,BM4,ZnTrimestreAgence,4)</f>
        <v>314130.29000000004</v>
      </c>
      <c r="BP4" s="25" t="s">
        <v>196</v>
      </c>
      <c r="BQ4" s="141">
        <f ca="1">SUMIFS(ZnCAAgence,ZnAnneAgence,Anne_N-1,ZnSecteurAgence,BP4,ZnTrimestreAgence,4)</f>
        <v>591219.76999999979</v>
      </c>
      <c r="BS4" s="25" t="s">
        <v>196</v>
      </c>
      <c r="BT4" s="141">
        <f ca="1">SUMIFS(ZnCAAgence,ZnAnneAgence,Anne_N,ZnSecteurAgence,BS4,ZnTrimestreAgence,4)</f>
        <v>127017.9</v>
      </c>
      <c r="BV4" s="141">
        <f ca="1">SUMIFS(ZnCAAgence,ZnAnneAgence,Anne_N-2,ZnTrimestreAgence,1)</f>
        <v>463557.28</v>
      </c>
      <c r="BW4" s="141">
        <f ca="1">SUMIFS(ZnCAAgence,ZnAnneAgence,Anne_N-1,ZnTrimestreAgence,1)</f>
        <v>897577.97999999975</v>
      </c>
      <c r="BX4" s="141">
        <f ca="1">SUMIFS(ZnCAAgence,ZnAnneAgence,Anne_N,ZnTrimestreAgence,1)</f>
        <v>1063755.3100000003</v>
      </c>
      <c r="BZ4" s="141">
        <f ca="1">SUMIFS(ZnCAAgence,ZnAnneAgence,Anne_N-2,ZnTrimestreAgence,2)</f>
        <v>719650.44</v>
      </c>
      <c r="CA4" s="141">
        <f ca="1">SUMIFS(ZnCAAgence,ZnAnneAgence,Anne_N-1,ZnTrimestreAgence,2)</f>
        <v>1090753.1800000002</v>
      </c>
      <c r="CB4" s="141">
        <f ca="1">SUMIFS(ZnCAAgence,ZnAnneAgence,Anne_N,ZnTrimestreAgence,2)</f>
        <v>912279.91999999993</v>
      </c>
      <c r="CD4" s="141">
        <f ca="1">SUMIFS(ZnCAAgence,ZnAnneAgence,Anne_N-2,ZnTrimestreAgence,3)</f>
        <v>515553.73</v>
      </c>
      <c r="CE4" s="141">
        <f ca="1">SUMIFS(ZnCAAgence,ZnAnneAgence,Anne_N-1,ZnTrimestreAgence,3)</f>
        <v>1056317.8900000001</v>
      </c>
      <c r="CF4" s="141">
        <f ca="1">SUMIFS(ZnCAAgence,ZnAnneAgence,Anne_N,ZnTrimestreAgence,3)</f>
        <v>962944.3200000003</v>
      </c>
      <c r="CH4" s="141">
        <f ca="1">SUMIFS(ZnCAAgence,ZnAnneAgence,Anne_N-2,ZnTrimestreAgence,4)</f>
        <v>709114.02</v>
      </c>
      <c r="CI4" s="141">
        <f ca="1">SUMIFS(ZnCAAgence,ZnAnneAgence,Anne_N-1,ZnTrimestreAgence,4)</f>
        <v>1105917.2799999998</v>
      </c>
      <c r="CJ4" s="141">
        <f ca="1">SUMIFS(ZnCAAgence,ZnAnneAgence,Anne_N,ZnTrimestreAgence,4)</f>
        <v>343836.51</v>
      </c>
      <c r="CL4" s="25" t="s">
        <v>69</v>
      </c>
      <c r="CM4" s="141">
        <f ca="1">C4+L4+U4+AD4</f>
        <v>628585.05000000005</v>
      </c>
      <c r="CO4" s="25" t="s">
        <v>69</v>
      </c>
      <c r="CP4" s="141">
        <f ca="1">F4+O4+X4+AG4</f>
        <v>766832.09999999986</v>
      </c>
      <c r="CR4" s="25" t="s">
        <v>69</v>
      </c>
      <c r="CS4" s="141">
        <f ca="1">I4+R4+AA4+AJ4</f>
        <v>690725.9800000001</v>
      </c>
      <c r="CU4" s="141">
        <v>2021</v>
      </c>
      <c r="CV4" s="168">
        <f t="shared" ref="CV4:CV14" ca="1" si="18">IF(CU4="",NA(),SUMIFS(ZnCAAgence,ZnAnneAgence,CU4))</f>
        <v>2407875.4699999993</v>
      </c>
      <c r="CX4" s="141" t="s">
        <v>176</v>
      </c>
      <c r="CY4" s="141">
        <f ca="1">SUMIFS(ZnCANegoce,ZnAnneNegoce,Anne_N-2,ZnTrimestreNegoce,1)</f>
        <v>66149.290000000008</v>
      </c>
      <c r="CZ4" s="141">
        <f ca="1">SUMIFS(ZnCANegoce,ZnAnneNegoce,Anne_N-1,ZnTrimestreNegoce,1)</f>
        <v>51960.450000000004</v>
      </c>
      <c r="DA4" s="141">
        <f ca="1">SUMIFS(ZnCANegoce,ZnAnneNegoce,Anne_N,ZnTrimestreNegoce,1)</f>
        <v>57208.920000000006</v>
      </c>
      <c r="DC4" s="141" t="s">
        <v>176</v>
      </c>
      <c r="DD4" s="141">
        <f ca="1">SUMIFS(ZnCANegoce,ZnAnneNegoce,Anne_N-2,ZnTrimestreNegoce,2)</f>
        <v>111704.37000000001</v>
      </c>
      <c r="DE4" s="141">
        <f ca="1">SUMIFS(ZnCANegoce,ZnAnneNegoce,Anne_N-1,ZnTrimestreNegoce,2)</f>
        <v>66761.030000000013</v>
      </c>
      <c r="DF4" s="141">
        <f ca="1">SUMIFS(ZnCANegoce,ZnAnneNegoce,Anne_N,ZnTrimestreNegoce,2)</f>
        <v>57541.799999999996</v>
      </c>
      <c r="DH4" s="141" t="s">
        <v>176</v>
      </c>
      <c r="DI4" s="141">
        <f ca="1">SUMIFS(ZnCANegoce,ZnAnneNegoce,Anne_N-2,ZnTrimestreNegoce,3)</f>
        <v>38804.1</v>
      </c>
      <c r="DJ4" s="141">
        <f ca="1">SUMIFS(ZnCANegoce,ZnAnneNegoce,Anne_N-1,ZnTrimestreNegoce,3)</f>
        <v>231688.97</v>
      </c>
      <c r="DK4" s="141">
        <f ca="1">SUMIFS(ZnCANegoce,ZnAnneNegoce,Anne_N,ZnTrimestreNegoce,3)</f>
        <v>12161.8</v>
      </c>
      <c r="DM4" s="141" t="s">
        <v>176</v>
      </c>
      <c r="DN4" s="141">
        <f ca="1">SUMIFS(ZnCANegoce,ZnAnneNegoce,Anne_N-2,ZnTrimestreNegoce,4)</f>
        <v>81017.990000000005</v>
      </c>
      <c r="DO4" s="141">
        <f ca="1">SUMIFS(ZnCANegoce,ZnAnneNegoce,Anne_N-1,ZnTrimestreNegoce,4)</f>
        <v>107996.15</v>
      </c>
      <c r="DP4" s="141">
        <f ca="1">SUMIFS(ZnCANegoce,ZnAnneNegoce,Anne_N,ZnTrimestreNegoce,4)</f>
        <v>152685.40000000002</v>
      </c>
      <c r="DR4" s="141">
        <v>2021</v>
      </c>
      <c r="DS4" s="141">
        <f t="shared" ref="DS4:DS14" ca="1" si="19">IF(DR4="",NA(),SUMIFS(ZnCANegoce,ZnAnneNegoce,DR4))</f>
        <v>297675.75000000006</v>
      </c>
      <c r="DT4" s="141">
        <f t="shared" ref="DT4:DT14" ca="1" si="20">IF(DR4="",NA(),SUMIFS(ZnMargeNegoce,ZnAnneNegoce,DR4))</f>
        <v>99231.1</v>
      </c>
      <c r="DV4" s="141" t="s">
        <v>1206</v>
      </c>
      <c r="DW4" s="141">
        <f ca="1">CY4</f>
        <v>66149.290000000008</v>
      </c>
      <c r="DX4" s="141">
        <f t="shared" ref="DX4" ca="1" si="21">CZ4</f>
        <v>51960.450000000004</v>
      </c>
      <c r="DY4" s="141">
        <f t="shared" ref="DY4" ca="1" si="22">DA4</f>
        <v>57208.920000000006</v>
      </c>
      <c r="EA4" s="141" t="s">
        <v>1206</v>
      </c>
      <c r="EB4" s="141">
        <f t="shared" ref="EB4" ca="1" si="23">DD4</f>
        <v>111704.37000000001</v>
      </c>
      <c r="EC4" s="141">
        <f t="shared" ref="EC4" ca="1" si="24">DE4</f>
        <v>66761.030000000013</v>
      </c>
      <c r="ED4" s="141">
        <f t="shared" ref="ED4" ca="1" si="25">DF4</f>
        <v>57541.799999999996</v>
      </c>
      <c r="EF4" s="141" t="s">
        <v>1206</v>
      </c>
      <c r="EG4" s="141">
        <f t="shared" ref="EG4" ca="1" si="26">DI4</f>
        <v>38804.1</v>
      </c>
      <c r="EH4" s="141">
        <f t="shared" ref="EH4" ca="1" si="27">DJ4</f>
        <v>231688.97</v>
      </c>
      <c r="EI4" s="141">
        <f t="shared" ref="EI4" ca="1" si="28">DK4</f>
        <v>12161.8</v>
      </c>
      <c r="EK4" s="141" t="s">
        <v>1206</v>
      </c>
      <c r="EL4" s="141">
        <f t="shared" ref="EL4" ca="1" si="29">DN4</f>
        <v>81017.990000000005</v>
      </c>
      <c r="EM4" s="141">
        <f t="shared" ref="EM4" ca="1" si="30">DO4</f>
        <v>107996.15</v>
      </c>
      <c r="EN4" s="141">
        <f t="shared" ref="EN4" ca="1" si="31">DP4</f>
        <v>152685.40000000002</v>
      </c>
      <c r="EP4" s="141">
        <v>2021</v>
      </c>
      <c r="EQ4" s="141">
        <f t="shared" ref="EQ4:EQ14" ca="1" si="32">IF(EP4="",NA(),SUMIFS(ZnCAAgence,ZnAnneAgence,EP4))</f>
        <v>2407875.4699999993</v>
      </c>
      <c r="ER4" s="141">
        <f t="shared" ref="ER4:ER14" ca="1" si="33">IF(EP4="",NA(),SUMIFS(ZnMargeNegoce,ZnAnneNegoce,EP4))</f>
        <v>99231.1</v>
      </c>
      <c r="ES4" s="141"/>
      <c r="EU4" s="25" t="s">
        <v>1224</v>
      </c>
      <c r="EV4" s="25" t="s">
        <v>1225</v>
      </c>
      <c r="EW4" s="25" t="str">
        <f>ADDRESS(ROW('Graphique Agence'!C5),COLUMN(C5))</f>
        <v>$C$5</v>
      </c>
      <c r="EX4" s="25">
        <f ca="1">IF(SUM(C4:C12)&gt;0,-1,0)</f>
        <v>-1</v>
      </c>
    </row>
    <row r="5" spans="2:154" x14ac:dyDescent="0.3">
      <c r="B5" s="25" t="s">
        <v>70</v>
      </c>
      <c r="C5" s="141">
        <f t="shared" ca="1" si="6"/>
        <v>15061.25</v>
      </c>
      <c r="E5" s="25" t="s">
        <v>70</v>
      </c>
      <c r="F5" s="141">
        <f t="shared" ca="1" si="7"/>
        <v>26992.559999999998</v>
      </c>
      <c r="H5" s="25" t="s">
        <v>70</v>
      </c>
      <c r="I5" s="141">
        <f t="shared" ca="1" si="8"/>
        <v>95008.069999999992</v>
      </c>
      <c r="K5" s="25" t="s">
        <v>70</v>
      </c>
      <c r="L5" s="141">
        <f t="shared" ca="1" si="9"/>
        <v>35389.25</v>
      </c>
      <c r="N5" s="25" t="s">
        <v>70</v>
      </c>
      <c r="O5" s="141">
        <f t="shared" ca="1" si="10"/>
        <v>72262.11</v>
      </c>
      <c r="Q5" s="25" t="s">
        <v>70</v>
      </c>
      <c r="R5" s="141">
        <f t="shared" ca="1" si="11"/>
        <v>19950.309999999998</v>
      </c>
      <c r="T5" s="25" t="s">
        <v>70</v>
      </c>
      <c r="U5" s="141">
        <f t="shared" ca="1" si="12"/>
        <v>6612.95</v>
      </c>
      <c r="W5" s="25" t="s">
        <v>70</v>
      </c>
      <c r="X5" s="141">
        <f t="shared" ca="1" si="13"/>
        <v>28161.79</v>
      </c>
      <c r="Z5" s="25" t="s">
        <v>70</v>
      </c>
      <c r="AA5" s="141">
        <f t="shared" ca="1" si="14"/>
        <v>5159</v>
      </c>
      <c r="AC5" s="25" t="s">
        <v>70</v>
      </c>
      <c r="AD5" s="141">
        <f t="shared" ca="1" si="15"/>
        <v>20314</v>
      </c>
      <c r="AF5" s="25" t="s">
        <v>70</v>
      </c>
      <c r="AG5" s="141">
        <f t="shared" ca="1" si="16"/>
        <v>6767.13</v>
      </c>
      <c r="AI5" s="25" t="s">
        <v>70</v>
      </c>
      <c r="AJ5" s="141">
        <f t="shared" ca="1" si="17"/>
        <v>2764.44</v>
      </c>
      <c r="AL5" s="25" t="s">
        <v>197</v>
      </c>
      <c r="AM5" s="141">
        <f ca="1">SUMIFS(ZnCAAgence,ZnAnneAgence,Anne_N-2,ZnSecteurAgence,AL5,ZnTrimestreAgence,1)</f>
        <v>58845.840000000004</v>
      </c>
      <c r="AO5" s="25" t="s">
        <v>197</v>
      </c>
      <c r="AP5" s="141">
        <f ca="1">SUMIFS(ZnCAAgence,ZnAnneAgence,Anne_N-1,ZnSecteurAgence,AO5,ZnTrimestreAgence,1)</f>
        <v>165026.81999999998</v>
      </c>
      <c r="AR5" s="25" t="s">
        <v>197</v>
      </c>
      <c r="AS5" s="141">
        <f ca="1">SUMIFS(ZnCAAgence,ZnAnneAgence,Anne_N,ZnSecteurAgence,AR5,ZnTrimestreAgence,1)</f>
        <v>190724.23</v>
      </c>
      <c r="AU5" s="25" t="s">
        <v>197</v>
      </c>
      <c r="AV5" s="141">
        <f ca="1">SUMIFS(ZnCAAgence,ZnAnneAgence,Anne_N-2,ZnSecteurAgence,AU5,ZnTrimestreAgence,2)</f>
        <v>163869.22999999995</v>
      </c>
      <c r="AX5" s="25" t="s">
        <v>197</v>
      </c>
      <c r="AY5" s="141">
        <f ca="1">SUMIFS(ZnCAAgence,ZnAnneAgence,Anne_N-1,ZnSecteurAgence,AX5,ZnTrimestreAgence,2)</f>
        <v>223585.93000000002</v>
      </c>
      <c r="BA5" s="25" t="s">
        <v>197</v>
      </c>
      <c r="BB5" s="141">
        <f ca="1">SUMIFS(ZnCAAgence,ZnAnneAgence,Anne_N,ZnSecteurAgence,BA5,ZnTrimestreAgence,2)</f>
        <v>284221.3</v>
      </c>
      <c r="BD5" s="25" t="s">
        <v>197</v>
      </c>
      <c r="BE5" s="141">
        <f ca="1">SUMIFS(ZnCAAgence,ZnAnneAgence,Anne_N-2,ZnSecteurAgence,BD5,ZnTrimestreAgence,3)</f>
        <v>103872.46</v>
      </c>
      <c r="BG5" s="25" t="s">
        <v>197</v>
      </c>
      <c r="BH5" s="141">
        <f ca="1">SUMIFS(ZnCAAgence,ZnAnneAgence,Anne_N-1,ZnSecteurAgence,BG5,ZnTrimestreAgence,3)</f>
        <v>247733.12000000002</v>
      </c>
      <c r="BJ5" s="25" t="s">
        <v>197</v>
      </c>
      <c r="BK5" s="141">
        <f ca="1">SUMIFS(ZnCAAgence,ZnAnneAgence,Anne_N,ZnSecteurAgence,BJ5,ZnTrimestreAgence,3)</f>
        <v>198736.55</v>
      </c>
      <c r="BM5" s="25" t="s">
        <v>197</v>
      </c>
      <c r="BN5" s="141">
        <f ca="1">SUMIFS(ZnCAAgence,ZnAnneAgence,Anne_N-2,ZnSecteurAgence,BM5,ZnTrimestreAgence,4)</f>
        <v>167998.15999999997</v>
      </c>
      <c r="BP5" s="25" t="s">
        <v>197</v>
      </c>
      <c r="BQ5" s="141">
        <f ca="1">SUMIFS(ZnCAAgence,ZnAnneAgence,Anne_N-1,ZnSecteurAgence,BP5,ZnTrimestreAgence,4)</f>
        <v>228499.59</v>
      </c>
      <c r="BS5" s="25" t="s">
        <v>197</v>
      </c>
      <c r="BT5" s="141">
        <f ca="1">SUMIFS(ZnCAAgence,ZnAnneAgence,Anne_N,ZnSecteurAgence,BS5,ZnTrimestreAgence,4)</f>
        <v>27935.860000000004</v>
      </c>
      <c r="CL5" s="25" t="s">
        <v>70</v>
      </c>
      <c r="CM5" s="141">
        <f t="shared" ref="CM5:CM9" ca="1" si="34">C5+L5+U5+AD5</f>
        <v>77377.45</v>
      </c>
      <c r="CO5" s="25" t="s">
        <v>70</v>
      </c>
      <c r="CP5" s="141">
        <f t="shared" ref="CP5:CP9" ca="1" si="35">F5+O5+X5+AG5</f>
        <v>134183.59</v>
      </c>
      <c r="CR5" s="25" t="s">
        <v>70</v>
      </c>
      <c r="CS5" s="141">
        <f t="shared" ref="CS5:CS9" ca="1" si="36">I5+R5+AA5+AJ5</f>
        <v>122881.81999999999</v>
      </c>
      <c r="CU5" s="141">
        <v>2022</v>
      </c>
      <c r="CV5" s="168">
        <f t="shared" ca="1" si="18"/>
        <v>4150566.33</v>
      </c>
      <c r="CX5" s="141" t="s">
        <v>1201</v>
      </c>
      <c r="CY5" s="141">
        <f ca="1">SUMIFS(ZnMargeNegoce,ZnAnneNegoce,Anne_N-2,ZnTrimestreNegoce,1)</f>
        <v>25591.54</v>
      </c>
      <c r="CZ5" s="141">
        <f ca="1">SUMIFS(ZnMargeNegoce,ZnAnneNegoce,Anne_N-1,ZnTrimestreNegoce,1)</f>
        <v>16166.25</v>
      </c>
      <c r="DA5" s="141">
        <f ca="1">SUMIFS(ZnMargeNegoce,ZnAnneNegoce,Anne_N,ZnTrimestreNegoce,1)</f>
        <v>19532.400000000001</v>
      </c>
      <c r="DC5" s="141" t="s">
        <v>1201</v>
      </c>
      <c r="DD5" s="141">
        <f ca="1">SUMIFS(ZnMargeNegoce,ZnAnneNegoce,Anne_N-2,ZnTrimestreNegoce,2)</f>
        <v>35496.730000000003</v>
      </c>
      <c r="DE5" s="141">
        <f ca="1">SUMIFS(ZnMargeNegoce,ZnAnneNegoce,Anne_N-1,ZnTrimestreNegoce,2)</f>
        <v>24995</v>
      </c>
      <c r="DF5" s="141">
        <f ca="1">SUMIFS(ZnMargeNegoce,ZnAnneNegoce,Anne_N,ZnTrimestreNegoce,2)</f>
        <v>22470.52</v>
      </c>
      <c r="DH5" s="141" t="s">
        <v>1201</v>
      </c>
      <c r="DI5" s="141">
        <f ca="1">SUMIFS(ZnMargeNegoce,ZnAnneNegoce,Anne_N-2,ZnTrimestreNegoce,3)</f>
        <v>16646.55</v>
      </c>
      <c r="DJ5" s="141">
        <f ca="1">SUMIFS(ZnMargeNegoce,ZnAnneNegoce,Anne_N-1,ZnTrimestreNegoce,3)</f>
        <v>78497.429999999993</v>
      </c>
      <c r="DK5" s="141">
        <f ca="1">SUMIFS(ZnMargeNegoce,ZnAnneNegoce,Anne_N,ZnTrimestreNegoce,3)</f>
        <v>3535.94</v>
      </c>
      <c r="DM5" s="141" t="s">
        <v>1201</v>
      </c>
      <c r="DN5" s="141">
        <f ca="1">SUMIFS(ZnMargeNegoce,ZnAnneNegoce,Anne_N-2,ZnTrimestreNegoce,4)</f>
        <v>21496.28</v>
      </c>
      <c r="DO5" s="141">
        <f ca="1">SUMIFS(ZnMargeNegoce,ZnAnneNegoce,Anne_N-1,ZnTrimestreNegoce,4)</f>
        <v>40171.120000000003</v>
      </c>
      <c r="DP5" s="141">
        <f ca="1">SUMIFS(ZnMargeNegoce,ZnAnneNegoce,Anne_N,ZnTrimestreNegoce,4)</f>
        <v>42609.35</v>
      </c>
      <c r="DR5" s="141">
        <v>2022</v>
      </c>
      <c r="DS5" s="141">
        <f t="shared" ca="1" si="19"/>
        <v>458406.6</v>
      </c>
      <c r="DT5" s="141">
        <f t="shared" ca="1" si="20"/>
        <v>159829.79999999999</v>
      </c>
      <c r="DV5" s="141" t="s">
        <v>1208</v>
      </c>
      <c r="DW5" s="141">
        <f ca="1">SUM(C4:C12)</f>
        <v>461120.13</v>
      </c>
      <c r="DX5" s="141">
        <f ca="1">SUM(F4:F12)</f>
        <v>897577.9800000001</v>
      </c>
      <c r="DY5" s="141">
        <f ca="1">SUM(I4:I12)</f>
        <v>1063755.31</v>
      </c>
      <c r="EA5" s="141" t="s">
        <v>1208</v>
      </c>
      <c r="EB5" s="141">
        <f ca="1">SUM(L4:L12)</f>
        <v>719650.44</v>
      </c>
      <c r="EC5" s="141">
        <f ca="1">SUM(O4:O12)</f>
        <v>1090753.18</v>
      </c>
      <c r="ED5" s="141">
        <f ca="1">SUM(R4:R12)</f>
        <v>912279.91999999993</v>
      </c>
      <c r="EF5" s="141" t="s">
        <v>1208</v>
      </c>
      <c r="EG5" s="141">
        <f ca="1">SUM(U4:U12)</f>
        <v>515553.73</v>
      </c>
      <c r="EH5" s="141">
        <f ca="1">SUM(X4:X12)</f>
        <v>1056317.8899999999</v>
      </c>
      <c r="EI5" s="141">
        <f ca="1">SUM(AA4:AA12)</f>
        <v>962944.32000000018</v>
      </c>
      <c r="EK5" s="141" t="s">
        <v>1208</v>
      </c>
      <c r="EL5" s="141">
        <f ca="1">SUM(AD4:AD12)</f>
        <v>709114.02000000014</v>
      </c>
      <c r="EM5" s="141">
        <f ca="1">SUM(AG4:AG12)</f>
        <v>1105917.2799999998</v>
      </c>
      <c r="EN5" s="141">
        <f ca="1">SUM(AJ4:AJ12)</f>
        <v>343836.50999999995</v>
      </c>
      <c r="EP5" s="141">
        <v>2022</v>
      </c>
      <c r="EQ5" s="141">
        <f t="shared" ca="1" si="32"/>
        <v>4150566.33</v>
      </c>
      <c r="ER5" s="141">
        <f t="shared" ca="1" si="33"/>
        <v>159829.79999999999</v>
      </c>
      <c r="ES5" s="141"/>
      <c r="EU5" s="25" t="s">
        <v>1224</v>
      </c>
      <c r="EV5" s="25" t="s">
        <v>1226</v>
      </c>
      <c r="EW5" s="25" t="str">
        <f>ADDRESS(ROW('Graphique Agence'!C6),COLUMN(C6))</f>
        <v>$C$6</v>
      </c>
      <c r="EX5" s="25">
        <f ca="1">IF(SUM(L4:L12)&gt;0,-1,0)</f>
        <v>-1</v>
      </c>
    </row>
    <row r="6" spans="2:154" x14ac:dyDescent="0.3">
      <c r="B6" s="25" t="s">
        <v>71</v>
      </c>
      <c r="C6" s="141">
        <f t="shared" ca="1" si="6"/>
        <v>84450.180000000008</v>
      </c>
      <c r="E6" s="25" t="s">
        <v>71</v>
      </c>
      <c r="F6" s="141">
        <f t="shared" ca="1" si="7"/>
        <v>95004.35</v>
      </c>
      <c r="H6" s="25" t="s">
        <v>71</v>
      </c>
      <c r="I6" s="141">
        <f t="shared" ca="1" si="8"/>
        <v>78260.250000000015</v>
      </c>
      <c r="K6" s="25" t="s">
        <v>71</v>
      </c>
      <c r="L6" s="141">
        <f t="shared" ca="1" si="9"/>
        <v>82009.959999999992</v>
      </c>
      <c r="N6" s="25" t="s">
        <v>71</v>
      </c>
      <c r="O6" s="141">
        <f t="shared" ca="1" si="10"/>
        <v>76928.289999999994</v>
      </c>
      <c r="Q6" s="25" t="s">
        <v>71</v>
      </c>
      <c r="R6" s="141">
        <f t="shared" ca="1" si="11"/>
        <v>62305.13</v>
      </c>
      <c r="T6" s="25" t="s">
        <v>71</v>
      </c>
      <c r="U6" s="141">
        <f t="shared" ca="1" si="12"/>
        <v>50209.37000000001</v>
      </c>
      <c r="W6" s="25" t="s">
        <v>71</v>
      </c>
      <c r="X6" s="141">
        <f t="shared" ca="1" si="13"/>
        <v>81403.62</v>
      </c>
      <c r="Z6" s="25" t="s">
        <v>71</v>
      </c>
      <c r="AA6" s="141">
        <f t="shared" ca="1" si="14"/>
        <v>10005.189999999999</v>
      </c>
      <c r="AC6" s="25" t="s">
        <v>71</v>
      </c>
      <c r="AD6" s="141">
        <f t="shared" ca="1" si="15"/>
        <v>92414.76</v>
      </c>
      <c r="AF6" s="25" t="s">
        <v>71</v>
      </c>
      <c r="AG6" s="141">
        <f t="shared" ca="1" si="16"/>
        <v>103333.64000000001</v>
      </c>
      <c r="AI6" s="25" t="s">
        <v>71</v>
      </c>
      <c r="AJ6" s="141">
        <f t="shared" ca="1" si="17"/>
        <v>0</v>
      </c>
      <c r="AL6" s="25" t="s">
        <v>75</v>
      </c>
      <c r="AM6" s="141">
        <f ca="1">SUMIFS(ZnCAAgence,ZnAnneAgence,Anne_N-2,ZnSecteurAgence,AL6,ZnTrimestreAgence,1)</f>
        <v>11751.980000000001</v>
      </c>
      <c r="AO6" s="25" t="s">
        <v>75</v>
      </c>
      <c r="AP6" s="141">
        <f ca="1">SUMIFS(ZnCAAgence,ZnAnneAgence,Anne_N-1,ZnSecteurAgence,AO6,ZnTrimestreAgence,1)</f>
        <v>74198.490000000005</v>
      </c>
      <c r="AR6" s="25" t="s">
        <v>75</v>
      </c>
      <c r="AS6" s="141">
        <f ca="1">SUMIFS(ZnCAAgence,ZnAnneAgence,Anne_N,ZnSecteurAgence,AR6,ZnTrimestreAgence,1)</f>
        <v>58343.740000000005</v>
      </c>
      <c r="AU6" s="25" t="s">
        <v>75</v>
      </c>
      <c r="AV6" s="141">
        <f ca="1">SUMIFS(ZnCAAgence,ZnAnneAgence,Anne_N-2,ZnSecteurAgence,AU6,ZnTrimestreAgence,2)</f>
        <v>6437.3599999999988</v>
      </c>
      <c r="AX6" s="25" t="s">
        <v>75</v>
      </c>
      <c r="AY6" s="141">
        <f ca="1">SUMIFS(ZnCAAgence,ZnAnneAgence,Anne_N-1,ZnSecteurAgence,AX6,ZnTrimestreAgence,2)</f>
        <v>69308.88</v>
      </c>
      <c r="BA6" s="25" t="s">
        <v>75</v>
      </c>
      <c r="BB6" s="141">
        <f ca="1">SUMIFS(ZnCAAgence,ZnAnneAgence,Anne_N,ZnSecteurAgence,BA6,ZnTrimestreAgence,2)</f>
        <v>101323.35</v>
      </c>
      <c r="BD6" s="25" t="s">
        <v>75</v>
      </c>
      <c r="BE6" s="141">
        <f ca="1">SUMIFS(ZnCAAgence,ZnAnneAgence,Anne_N-2,ZnSecteurAgence,BD6,ZnTrimestreAgence,3)</f>
        <v>7108.5</v>
      </c>
      <c r="BG6" s="25" t="s">
        <v>75</v>
      </c>
      <c r="BH6" s="141">
        <f ca="1">SUMIFS(ZnCAAgence,ZnAnneAgence,Anne_N-1,ZnSecteurAgence,BG6,ZnTrimestreAgence,3)</f>
        <v>71111.199999999997</v>
      </c>
      <c r="BJ6" s="25" t="s">
        <v>75</v>
      </c>
      <c r="BK6" s="141">
        <f ca="1">SUMIFS(ZnCAAgence,ZnAnneAgence,Anne_N,ZnSecteurAgence,BJ6,ZnTrimestreAgence,3)</f>
        <v>22501.620000000003</v>
      </c>
      <c r="BM6" s="25" t="s">
        <v>75</v>
      </c>
      <c r="BN6" s="141">
        <f ca="1">SUMIFS(ZnCAAgence,ZnAnneAgence,Anne_N-2,ZnSecteurAgence,BM6,ZnTrimestreAgence,4)</f>
        <v>14782.649999999998</v>
      </c>
      <c r="BP6" s="25" t="s">
        <v>75</v>
      </c>
      <c r="BQ6" s="141">
        <f ca="1">SUMIFS(ZnCAAgence,ZnAnneAgence,Anne_N-1,ZnSecteurAgence,BP6,ZnTrimestreAgence,4)</f>
        <v>65999.5</v>
      </c>
      <c r="BS6" s="25" t="s">
        <v>75</v>
      </c>
      <c r="BT6" s="141">
        <f ca="1">SUMIFS(ZnCAAgence,ZnAnneAgence,Anne_N,ZnSecteurAgence,BS6,ZnTrimestreAgence,4)</f>
        <v>4615.3999999999996</v>
      </c>
      <c r="CL6" s="25" t="s">
        <v>71</v>
      </c>
      <c r="CM6" s="141">
        <f t="shared" ca="1" si="34"/>
        <v>309084.27</v>
      </c>
      <c r="CO6" s="25" t="s">
        <v>71</v>
      </c>
      <c r="CP6" s="141">
        <f t="shared" ca="1" si="35"/>
        <v>356669.9</v>
      </c>
      <c r="CR6" s="25" t="s">
        <v>71</v>
      </c>
      <c r="CS6" s="141">
        <f t="shared" ca="1" si="36"/>
        <v>150570.57</v>
      </c>
      <c r="CU6" s="141">
        <v>2023</v>
      </c>
      <c r="CV6" s="168">
        <f t="shared" ca="1" si="18"/>
        <v>3282816.0600000015</v>
      </c>
      <c r="DA6" s="94"/>
      <c r="DR6" s="141">
        <v>2023</v>
      </c>
      <c r="DS6" s="141">
        <f t="shared" ca="1" si="19"/>
        <v>279597.92000000004</v>
      </c>
      <c r="DT6" s="141">
        <f t="shared" ca="1" si="20"/>
        <v>88148.209999999992</v>
      </c>
      <c r="DV6" s="141" t="s">
        <v>1207</v>
      </c>
      <c r="DW6" s="141">
        <f ca="1">CY5</f>
        <v>25591.54</v>
      </c>
      <c r="DX6" s="141">
        <f t="shared" ref="DX6:DY6" ca="1" si="37">CZ5</f>
        <v>16166.25</v>
      </c>
      <c r="DY6" s="141">
        <f t="shared" ca="1" si="37"/>
        <v>19532.400000000001</v>
      </c>
      <c r="EA6" s="141" t="s">
        <v>1207</v>
      </c>
      <c r="EB6" s="141">
        <f t="shared" ref="EB6:ED6" ca="1" si="38">DD5</f>
        <v>35496.730000000003</v>
      </c>
      <c r="EC6" s="141">
        <f t="shared" ca="1" si="38"/>
        <v>24995</v>
      </c>
      <c r="ED6" s="141">
        <f t="shared" ca="1" si="38"/>
        <v>22470.52</v>
      </c>
      <c r="EF6" s="141" t="s">
        <v>1207</v>
      </c>
      <c r="EG6" s="141">
        <f t="shared" ref="EG6" ca="1" si="39">DI5</f>
        <v>16646.55</v>
      </c>
      <c r="EH6" s="141">
        <f t="shared" ref="EH6" ca="1" si="40">DJ5</f>
        <v>78497.429999999993</v>
      </c>
      <c r="EI6" s="141">
        <f t="shared" ref="EI6" ca="1" si="41">DK5</f>
        <v>3535.94</v>
      </c>
      <c r="EK6" s="141" t="s">
        <v>1207</v>
      </c>
      <c r="EL6" s="141">
        <f t="shared" ref="EL6" ca="1" si="42">DN5</f>
        <v>21496.28</v>
      </c>
      <c r="EM6" s="141">
        <f t="shared" ref="EM6" ca="1" si="43">DO5</f>
        <v>40171.120000000003</v>
      </c>
      <c r="EN6" s="141">
        <f t="shared" ref="EN6" ca="1" si="44">DP5</f>
        <v>42609.35</v>
      </c>
      <c r="EP6" s="141">
        <v>2023</v>
      </c>
      <c r="EQ6" s="141">
        <f t="shared" ca="1" si="32"/>
        <v>3282816.0600000015</v>
      </c>
      <c r="ER6" s="141">
        <f t="shared" ca="1" si="33"/>
        <v>88148.209999999992</v>
      </c>
      <c r="ES6" s="141"/>
      <c r="EU6" s="25" t="s">
        <v>1224</v>
      </c>
      <c r="EV6" s="25" t="s">
        <v>1227</v>
      </c>
      <c r="EW6" s="25" t="str">
        <f>ADDRESS(ROW('Graphique Agence'!C7),COLUMN(C7))</f>
        <v>$C$7</v>
      </c>
      <c r="EX6" s="25">
        <f ca="1">IF(SUM(U4:U12)&gt;0,-1,0)</f>
        <v>-1</v>
      </c>
    </row>
    <row r="7" spans="2:154" x14ac:dyDescent="0.3">
      <c r="B7" s="25" t="s">
        <v>72</v>
      </c>
      <c r="C7" s="141">
        <f t="shared" ca="1" si="6"/>
        <v>143803.20000000001</v>
      </c>
      <c r="E7" s="25" t="s">
        <v>72</v>
      </c>
      <c r="F7" s="141">
        <f t="shared" ca="1" si="7"/>
        <v>231192.30000000002</v>
      </c>
      <c r="H7" s="25" t="s">
        <v>72</v>
      </c>
      <c r="I7" s="141">
        <f t="shared" ca="1" si="8"/>
        <v>210480.78000000003</v>
      </c>
      <c r="K7" s="25" t="s">
        <v>72</v>
      </c>
      <c r="L7" s="141">
        <f t="shared" ca="1" si="9"/>
        <v>115856.74999999997</v>
      </c>
      <c r="N7" s="25" t="s">
        <v>72</v>
      </c>
      <c r="O7" s="141">
        <f t="shared" ca="1" si="10"/>
        <v>315621.92</v>
      </c>
      <c r="Q7" s="25" t="s">
        <v>72</v>
      </c>
      <c r="R7" s="141">
        <f t="shared" ca="1" si="11"/>
        <v>171737.74999999997</v>
      </c>
      <c r="T7" s="25" t="s">
        <v>72</v>
      </c>
      <c r="U7" s="141">
        <f t="shared" ca="1" si="12"/>
        <v>93898.699999999983</v>
      </c>
      <c r="W7" s="25" t="s">
        <v>72</v>
      </c>
      <c r="X7" s="141">
        <f t="shared" ca="1" si="13"/>
        <v>302298</v>
      </c>
      <c r="Z7" s="25" t="s">
        <v>72</v>
      </c>
      <c r="AA7" s="141">
        <f t="shared" ca="1" si="14"/>
        <v>356186.63000000006</v>
      </c>
      <c r="AC7" s="25" t="s">
        <v>72</v>
      </c>
      <c r="AD7" s="141">
        <f t="shared" ca="1" si="15"/>
        <v>206422.1</v>
      </c>
      <c r="AF7" s="25" t="s">
        <v>72</v>
      </c>
      <c r="AG7" s="141">
        <f t="shared" ca="1" si="16"/>
        <v>365179.24999999983</v>
      </c>
      <c r="AI7" s="25" t="s">
        <v>72</v>
      </c>
      <c r="AJ7" s="141">
        <f t="shared" ca="1" si="17"/>
        <v>243412.99</v>
      </c>
      <c r="AL7" s="25" t="s">
        <v>198</v>
      </c>
      <c r="AM7" s="141">
        <f ca="1">SUMIFS(ZnCAAgence,ZnAnneAgence,Anne_N-2,ZnSecteurAgence,AL7,ZnTrimestreAgence,1)</f>
        <v>166531.92000000007</v>
      </c>
      <c r="AO7" s="25" t="s">
        <v>198</v>
      </c>
      <c r="AP7" s="141">
        <f ca="1">SUMIFS(ZnCAAgence,ZnAnneAgence,Anne_N-1,ZnSecteurAgence,AO7,ZnTrimestreAgence,1)</f>
        <v>273537.26999999996</v>
      </c>
      <c r="AR7" s="25" t="s">
        <v>198</v>
      </c>
      <c r="AS7" s="141">
        <f ca="1">SUMIFS(ZnCAAgence,ZnAnneAgence,Anne_N,ZnSecteurAgence,AR7,ZnTrimestreAgence,1)</f>
        <v>212374.29</v>
      </c>
      <c r="AU7" s="25" t="s">
        <v>198</v>
      </c>
      <c r="AV7" s="141">
        <f ca="1">SUMIFS(ZnCAAgence,ZnAnneAgence,Anne_N-2,ZnSecteurAgence,AU7,ZnTrimestreAgence,2)</f>
        <v>262107.08000000002</v>
      </c>
      <c r="AX7" s="25" t="s">
        <v>198</v>
      </c>
      <c r="AY7" s="141">
        <f ca="1">SUMIFS(ZnCAAgence,ZnAnneAgence,Anne_N-1,ZnSecteurAgence,AX7,ZnTrimestreAgence,2)</f>
        <v>193566.97000000003</v>
      </c>
      <c r="BA7" s="25" t="s">
        <v>198</v>
      </c>
      <c r="BB7" s="141">
        <f ca="1">SUMIFS(ZnCAAgence,ZnAnneAgence,Anne_N,ZnSecteurAgence,BA7,ZnTrimestreAgence,2)</f>
        <v>131600.46</v>
      </c>
      <c r="BD7" s="25" t="s">
        <v>198</v>
      </c>
      <c r="BE7" s="141">
        <f ca="1">SUMIFS(ZnCAAgence,ZnAnneAgence,Anne_N-2,ZnSecteurAgence,BD7,ZnTrimestreAgence,3)</f>
        <v>120446.94000000002</v>
      </c>
      <c r="BG7" s="25" t="s">
        <v>198</v>
      </c>
      <c r="BH7" s="141">
        <f ca="1">SUMIFS(ZnCAAgence,ZnAnneAgence,Anne_N-1,ZnSecteurAgence,BG7,ZnTrimestreAgence,3)</f>
        <v>186356.42</v>
      </c>
      <c r="BJ7" s="25" t="s">
        <v>198</v>
      </c>
      <c r="BK7" s="141">
        <f ca="1">SUMIFS(ZnCAAgence,ZnAnneAgence,Anne_N,ZnSecteurAgence,BJ7,ZnTrimestreAgence,3)</f>
        <v>188556.30000000005</v>
      </c>
      <c r="BM7" s="25" t="s">
        <v>198</v>
      </c>
      <c r="BN7" s="141">
        <f ca="1">SUMIFS(ZnCAAgence,ZnAnneAgence,Anne_N-2,ZnSecteurAgence,BM7,ZnTrimestreAgence,4)</f>
        <v>212202.91999999998</v>
      </c>
      <c r="BP7" s="25" t="s">
        <v>198</v>
      </c>
      <c r="BQ7" s="141">
        <f ca="1">SUMIFS(ZnCAAgence,ZnAnneAgence,Anne_N-1,ZnSecteurAgence,BP7,ZnTrimestreAgence,4)</f>
        <v>220198.42</v>
      </c>
      <c r="BS7" s="25" t="s">
        <v>198</v>
      </c>
      <c r="BT7" s="141">
        <f ca="1">SUMIFS(ZnCAAgence,ZnAnneAgence,Anne_N,ZnSecteurAgence,BS7,ZnTrimestreAgence,4)</f>
        <v>184267.35</v>
      </c>
      <c r="CL7" s="25" t="s">
        <v>72</v>
      </c>
      <c r="CM7" s="141">
        <f t="shared" ca="1" si="34"/>
        <v>559980.75</v>
      </c>
      <c r="CO7" s="25" t="s">
        <v>72</v>
      </c>
      <c r="CP7" s="141">
        <f t="shared" ca="1" si="35"/>
        <v>1214291.4699999997</v>
      </c>
      <c r="CR7" s="25" t="s">
        <v>72</v>
      </c>
      <c r="CS7" s="141">
        <f t="shared" ca="1" si="36"/>
        <v>981818.15000000014</v>
      </c>
      <c r="CU7" s="141"/>
      <c r="CV7" s="168" t="e">
        <f t="shared" si="18"/>
        <v>#N/A</v>
      </c>
      <c r="DR7" s="141"/>
      <c r="DS7" s="141" t="e">
        <f t="shared" si="19"/>
        <v>#N/A</v>
      </c>
      <c r="DT7" s="141" t="e">
        <f t="shared" si="20"/>
        <v>#N/A</v>
      </c>
      <c r="DV7" s="94"/>
      <c r="EP7" s="141"/>
      <c r="EQ7" s="141" t="e">
        <f t="shared" si="32"/>
        <v>#N/A</v>
      </c>
      <c r="ER7" s="141" t="e">
        <f t="shared" si="33"/>
        <v>#N/A</v>
      </c>
      <c r="ES7" s="141"/>
      <c r="EU7" s="25" t="s">
        <v>1224</v>
      </c>
      <c r="EV7" s="25" t="s">
        <v>1228</v>
      </c>
      <c r="EW7" s="25" t="str">
        <f>ADDRESS(ROW('Graphique Agence'!C8),COLUMN(C8))</f>
        <v>$C$8</v>
      </c>
      <c r="EX7" s="25">
        <f ca="1">IF(SUM(AD4:AD12)&gt;0,-1,0)</f>
        <v>-1</v>
      </c>
    </row>
    <row r="8" spans="2:154" x14ac:dyDescent="0.3">
      <c r="B8" s="25" t="s">
        <v>200</v>
      </c>
      <c r="C8" s="141">
        <f t="shared" ca="1" si="6"/>
        <v>0</v>
      </c>
      <c r="E8" s="25" t="s">
        <v>200</v>
      </c>
      <c r="F8" s="141">
        <f t="shared" ca="1" si="7"/>
        <v>23160.16</v>
      </c>
      <c r="H8" s="25" t="s">
        <v>200</v>
      </c>
      <c r="I8" s="141">
        <f t="shared" ca="1" si="8"/>
        <v>24219.910000000003</v>
      </c>
      <c r="K8" s="25" t="s">
        <v>200</v>
      </c>
      <c r="L8" s="141">
        <f t="shared" ca="1" si="9"/>
        <v>0</v>
      </c>
      <c r="N8" s="25" t="s">
        <v>200</v>
      </c>
      <c r="O8" s="141">
        <f t="shared" ca="1" si="10"/>
        <v>40954.519999999997</v>
      </c>
      <c r="Q8" s="25" t="s">
        <v>200</v>
      </c>
      <c r="R8" s="141">
        <f t="shared" ca="1" si="11"/>
        <v>27157.449999999997</v>
      </c>
      <c r="T8" s="25" t="s">
        <v>200</v>
      </c>
      <c r="U8" s="141">
        <f t="shared" ca="1" si="12"/>
        <v>0</v>
      </c>
      <c r="W8" s="25" t="s">
        <v>200</v>
      </c>
      <c r="X8" s="141">
        <f t="shared" ca="1" si="13"/>
        <v>73360.36</v>
      </c>
      <c r="Z8" s="25" t="s">
        <v>200</v>
      </c>
      <c r="AA8" s="141">
        <f t="shared" ca="1" si="14"/>
        <v>16332.01</v>
      </c>
      <c r="AC8" s="25" t="s">
        <v>200</v>
      </c>
      <c r="AD8" s="141">
        <f t="shared" ca="1" si="15"/>
        <v>0</v>
      </c>
      <c r="AF8" s="25" t="s">
        <v>200</v>
      </c>
      <c r="AG8" s="141">
        <f t="shared" ca="1" si="16"/>
        <v>51995.519999999997</v>
      </c>
      <c r="AI8" s="25" t="s">
        <v>200</v>
      </c>
      <c r="AJ8" s="141">
        <f t="shared" ca="1" si="17"/>
        <v>0</v>
      </c>
      <c r="CL8" s="25" t="s">
        <v>200</v>
      </c>
      <c r="CM8" s="141">
        <f t="shared" ca="1" si="34"/>
        <v>0</v>
      </c>
      <c r="CO8" s="25" t="s">
        <v>200</v>
      </c>
      <c r="CP8" s="141">
        <f t="shared" ca="1" si="35"/>
        <v>189470.55999999997</v>
      </c>
      <c r="CR8" s="25" t="s">
        <v>200</v>
      </c>
      <c r="CS8" s="141">
        <f t="shared" ca="1" si="36"/>
        <v>67709.37</v>
      </c>
      <c r="CU8" s="141"/>
      <c r="CV8" s="168" t="e">
        <f t="shared" si="18"/>
        <v>#N/A</v>
      </c>
      <c r="DR8" s="141"/>
      <c r="DS8" s="141" t="e">
        <f t="shared" si="19"/>
        <v>#N/A</v>
      </c>
      <c r="DT8" s="141" t="e">
        <f t="shared" si="20"/>
        <v>#N/A</v>
      </c>
      <c r="DV8" s="94"/>
      <c r="EP8" s="141"/>
      <c r="EQ8" s="141" t="e">
        <f t="shared" si="32"/>
        <v>#N/A</v>
      </c>
      <c r="ER8" s="141" t="e">
        <f t="shared" si="33"/>
        <v>#N/A</v>
      </c>
      <c r="ES8" s="141"/>
      <c r="EU8" s="25" t="s">
        <v>1224</v>
      </c>
      <c r="EV8" s="25" t="s">
        <v>1229</v>
      </c>
      <c r="EW8" s="25" t="str">
        <f>ADDRESS(ROW('Graphique Agence'!D5),COLUMN(D5))</f>
        <v>$D$5</v>
      </c>
      <c r="EX8" s="25">
        <f ca="1">IF(SUM(F4:F12)&gt;0,-1,0)</f>
        <v>-1</v>
      </c>
    </row>
    <row r="9" spans="2:154" x14ac:dyDescent="0.3">
      <c r="B9" s="25" t="s">
        <v>201</v>
      </c>
      <c r="C9" s="141">
        <f t="shared" ca="1" si="6"/>
        <v>0</v>
      </c>
      <c r="E9" s="25" t="s">
        <v>201</v>
      </c>
      <c r="F9" s="141">
        <f t="shared" ca="1" si="7"/>
        <v>309313.76999999996</v>
      </c>
      <c r="H9" s="25" t="s">
        <v>201</v>
      </c>
      <c r="I9" s="141">
        <f t="shared" ca="1" si="8"/>
        <v>281833.07999999996</v>
      </c>
      <c r="K9" s="25" t="s">
        <v>201</v>
      </c>
      <c r="L9" s="141">
        <f t="shared" ca="1" si="9"/>
        <v>214960.65999999997</v>
      </c>
      <c r="N9" s="25" t="s">
        <v>201</v>
      </c>
      <c r="O9" s="141">
        <f t="shared" ca="1" si="10"/>
        <v>260208.32</v>
      </c>
      <c r="Q9" s="25" t="s">
        <v>201</v>
      </c>
      <c r="R9" s="141">
        <f t="shared" ca="1" si="11"/>
        <v>255318.66</v>
      </c>
      <c r="T9" s="25" t="s">
        <v>201</v>
      </c>
      <c r="U9" s="141">
        <f t="shared" ca="1" si="12"/>
        <v>182803.35999999996</v>
      </c>
      <c r="W9" s="25" t="s">
        <v>201</v>
      </c>
      <c r="X9" s="141">
        <f t="shared" ca="1" si="13"/>
        <v>276909.2</v>
      </c>
      <c r="Z9" s="25" t="s">
        <v>201</v>
      </c>
      <c r="AA9" s="141">
        <f t="shared" ca="1" si="14"/>
        <v>243311.67000000007</v>
      </c>
      <c r="AC9" s="25" t="s">
        <v>201</v>
      </c>
      <c r="AD9" s="141">
        <f t="shared" ca="1" si="15"/>
        <v>214403.31000000003</v>
      </c>
      <c r="AF9" s="25" t="s">
        <v>201</v>
      </c>
      <c r="AG9" s="141">
        <f t="shared" ca="1" si="16"/>
        <v>298728.17</v>
      </c>
      <c r="AI9" s="25" t="s">
        <v>201</v>
      </c>
      <c r="AJ9" s="141">
        <f t="shared" ca="1" si="17"/>
        <v>59927.420000000006</v>
      </c>
      <c r="AM9" s="94"/>
      <c r="CL9" s="25" t="s">
        <v>201</v>
      </c>
      <c r="CM9" s="141">
        <f t="shared" ca="1" si="34"/>
        <v>612167.32999999996</v>
      </c>
      <c r="CO9" s="25" t="s">
        <v>201</v>
      </c>
      <c r="CP9" s="141">
        <f t="shared" ca="1" si="35"/>
        <v>1145159.46</v>
      </c>
      <c r="CR9" s="25" t="s">
        <v>201</v>
      </c>
      <c r="CS9" s="141">
        <f t="shared" ca="1" si="36"/>
        <v>840390.83000000007</v>
      </c>
      <c r="CU9" s="141"/>
      <c r="CV9" s="168" t="e">
        <f t="shared" si="18"/>
        <v>#N/A</v>
      </c>
      <c r="DR9" s="141"/>
      <c r="DS9" s="141" t="e">
        <f t="shared" si="19"/>
        <v>#N/A</v>
      </c>
      <c r="DT9" s="141" t="e">
        <f t="shared" si="20"/>
        <v>#N/A</v>
      </c>
      <c r="DV9" s="94"/>
      <c r="EP9" s="141"/>
      <c r="EQ9" s="141" t="e">
        <f t="shared" si="32"/>
        <v>#N/A</v>
      </c>
      <c r="ER9" s="141" t="e">
        <f t="shared" si="33"/>
        <v>#N/A</v>
      </c>
      <c r="ES9" s="141"/>
      <c r="EU9" s="25" t="s">
        <v>1224</v>
      </c>
      <c r="EV9" s="25" t="s">
        <v>1230</v>
      </c>
      <c r="EW9" s="25" t="str">
        <f>ADDRESS(ROW('Graphique Agence'!D6),COLUMN(D6))</f>
        <v>$D$6</v>
      </c>
      <c r="EX9" s="25">
        <f ca="1">IF(SUM(O4:O12)&gt;0,-1,0)</f>
        <v>-1</v>
      </c>
    </row>
    <row r="10" spans="2:154" x14ac:dyDescent="0.3">
      <c r="B10" s="25" t="s">
        <v>388</v>
      </c>
      <c r="C10" s="141">
        <f t="shared" ca="1" si="6"/>
        <v>52962.350000000006</v>
      </c>
      <c r="E10" s="25" t="s">
        <v>388</v>
      </c>
      <c r="F10" s="141">
        <f t="shared" ca="1" si="7"/>
        <v>24107.53</v>
      </c>
      <c r="H10" s="25" t="s">
        <v>388</v>
      </c>
      <c r="I10" s="141">
        <f t="shared" ca="1" si="8"/>
        <v>93188.249999999985</v>
      </c>
      <c r="K10" s="25" t="s">
        <v>388</v>
      </c>
      <c r="L10" s="141">
        <f t="shared" ca="1" si="9"/>
        <v>53756.03</v>
      </c>
      <c r="N10" s="25" t="s">
        <v>388</v>
      </c>
      <c r="O10" s="141">
        <f t="shared" ca="1" si="10"/>
        <v>118376.72999999997</v>
      </c>
      <c r="Q10" s="25" t="s">
        <v>388</v>
      </c>
      <c r="R10" s="141">
        <f t="shared" ca="1" si="11"/>
        <v>78133.239999999991</v>
      </c>
      <c r="T10" s="25" t="s">
        <v>388</v>
      </c>
      <c r="U10" s="141">
        <f t="shared" ca="1" si="12"/>
        <v>60210.66</v>
      </c>
      <c r="W10" s="25" t="s">
        <v>388</v>
      </c>
      <c r="X10" s="141">
        <f t="shared" ca="1" si="13"/>
        <v>96327.25</v>
      </c>
      <c r="Z10" s="25" t="s">
        <v>388</v>
      </c>
      <c r="AA10" s="141">
        <f t="shared" ca="1" si="14"/>
        <v>127127.29999999999</v>
      </c>
      <c r="AC10" s="25" t="s">
        <v>388</v>
      </c>
      <c r="AD10" s="141">
        <f t="shared" ca="1" si="15"/>
        <v>48809.630000000005</v>
      </c>
      <c r="AF10" s="25" t="s">
        <v>388</v>
      </c>
      <c r="AG10" s="141">
        <f t="shared" ca="1" si="16"/>
        <v>38804.699999999997</v>
      </c>
      <c r="AI10" s="25" t="s">
        <v>388</v>
      </c>
      <c r="AJ10" s="141">
        <f t="shared" ca="1" si="17"/>
        <v>1196.5</v>
      </c>
      <c r="CL10" s="25" t="s">
        <v>388</v>
      </c>
      <c r="CM10" s="141">
        <f ca="1">C10+L10+U10+AD10</f>
        <v>215738.67</v>
      </c>
      <c r="CO10" s="25" t="s">
        <v>388</v>
      </c>
      <c r="CP10" s="141">
        <f ca="1">F10+O10+X10+AG10</f>
        <v>277616.20999999996</v>
      </c>
      <c r="CR10" s="25" t="s">
        <v>388</v>
      </c>
      <c r="CS10" s="141">
        <f ca="1">I10+R10+AA10+AJ10</f>
        <v>299645.28999999998</v>
      </c>
      <c r="CU10" s="141"/>
      <c r="CV10" s="168" t="e">
        <f t="shared" si="18"/>
        <v>#N/A</v>
      </c>
      <c r="DR10" s="141"/>
      <c r="DS10" s="141" t="e">
        <f t="shared" si="19"/>
        <v>#N/A</v>
      </c>
      <c r="DT10" s="141" t="e">
        <f t="shared" si="20"/>
        <v>#N/A</v>
      </c>
      <c r="DV10" s="94"/>
      <c r="EP10" s="141"/>
      <c r="EQ10" s="141" t="e">
        <f t="shared" si="32"/>
        <v>#N/A</v>
      </c>
      <c r="ER10" s="141" t="e">
        <f t="shared" si="33"/>
        <v>#N/A</v>
      </c>
      <c r="ES10" s="141"/>
      <c r="EU10" s="25" t="s">
        <v>1224</v>
      </c>
      <c r="EV10" s="25" t="s">
        <v>1231</v>
      </c>
      <c r="EW10" s="25" t="str">
        <f>ADDRESS(ROW('Graphique Agence'!D7),COLUMN(D7))</f>
        <v>$D$7</v>
      </c>
      <c r="EX10" s="25">
        <f ca="1">IF(SUM(X4:X12)&gt;0,-1,0)</f>
        <v>-1</v>
      </c>
    </row>
    <row r="11" spans="2:154" x14ac:dyDescent="0.3">
      <c r="B11" s="25" t="s">
        <v>629</v>
      </c>
      <c r="C11" s="141">
        <f t="shared" ca="1" si="6"/>
        <v>0</v>
      </c>
      <c r="E11" s="25" t="s">
        <v>629</v>
      </c>
      <c r="F11" s="141">
        <f t="shared" ca="1" si="7"/>
        <v>3893</v>
      </c>
      <c r="H11" s="25" t="s">
        <v>629</v>
      </c>
      <c r="I11" s="141">
        <f t="shared" ca="1" si="8"/>
        <v>29870.04</v>
      </c>
      <c r="K11" s="25" t="s">
        <v>629</v>
      </c>
      <c r="L11" s="141">
        <f t="shared" ca="1" si="9"/>
        <v>0</v>
      </c>
      <c r="N11" s="25" t="s">
        <v>629</v>
      </c>
      <c r="O11" s="141">
        <f t="shared" ca="1" si="10"/>
        <v>2230</v>
      </c>
      <c r="Q11" s="25" t="s">
        <v>629</v>
      </c>
      <c r="R11" s="141">
        <f t="shared" ca="1" si="11"/>
        <v>55669</v>
      </c>
      <c r="T11" s="25" t="s">
        <v>629</v>
      </c>
      <c r="U11" s="141">
        <f t="shared" ca="1" si="12"/>
        <v>0</v>
      </c>
      <c r="W11" s="25" t="s">
        <v>629</v>
      </c>
      <c r="X11" s="141">
        <f t="shared" ca="1" si="13"/>
        <v>9188.7999999999993</v>
      </c>
      <c r="Z11" s="25" t="s">
        <v>629</v>
      </c>
      <c r="AA11" s="141">
        <f t="shared" ca="1" si="14"/>
        <v>10951</v>
      </c>
      <c r="AC11" s="25" t="s">
        <v>629</v>
      </c>
      <c r="AD11" s="141">
        <f t="shared" ca="1" si="15"/>
        <v>0</v>
      </c>
      <c r="AF11" s="25" t="s">
        <v>629</v>
      </c>
      <c r="AG11" s="141">
        <f t="shared" ca="1" si="16"/>
        <v>16141</v>
      </c>
      <c r="AI11" s="25" t="s">
        <v>629</v>
      </c>
      <c r="AJ11" s="141">
        <f t="shared" ca="1" si="17"/>
        <v>440.5</v>
      </c>
      <c r="CL11" s="25" t="s">
        <v>629</v>
      </c>
      <c r="CM11" s="141">
        <f ca="1">C11+L11+U11+AD11</f>
        <v>0</v>
      </c>
      <c r="CO11" s="25" t="s">
        <v>629</v>
      </c>
      <c r="CP11" s="141">
        <f ca="1">F11+O11+X11+AG11</f>
        <v>31452.799999999999</v>
      </c>
      <c r="CR11" s="25" t="s">
        <v>629</v>
      </c>
      <c r="CS11" s="141">
        <f ca="1">I11+R11+AA11+AJ11</f>
        <v>96930.540000000008</v>
      </c>
      <c r="CU11" s="141"/>
      <c r="CV11" s="168" t="e">
        <f t="shared" si="18"/>
        <v>#N/A</v>
      </c>
      <c r="DR11" s="141"/>
      <c r="DS11" s="141" t="e">
        <f t="shared" si="19"/>
        <v>#N/A</v>
      </c>
      <c r="DT11" s="141" t="e">
        <f t="shared" si="20"/>
        <v>#N/A</v>
      </c>
      <c r="DV11" s="94"/>
      <c r="EP11" s="141"/>
      <c r="EQ11" s="141" t="e">
        <f t="shared" si="32"/>
        <v>#N/A</v>
      </c>
      <c r="ER11" s="141" t="e">
        <f t="shared" si="33"/>
        <v>#N/A</v>
      </c>
      <c r="ES11" s="141"/>
      <c r="EU11" s="25" t="s">
        <v>1224</v>
      </c>
      <c r="EV11" s="25" t="s">
        <v>1232</v>
      </c>
      <c r="EW11" s="25" t="str">
        <f>ADDRESS(ROW('Graphique Agence'!D8),COLUMN(D8))</f>
        <v>$D$8</v>
      </c>
      <c r="EX11" s="25">
        <f ca="1">IF(SUM(AG4:AG12)&gt;0,-1,0)</f>
        <v>-1</v>
      </c>
    </row>
    <row r="12" spans="2:154" x14ac:dyDescent="0.3">
      <c r="B12" s="25" t="s">
        <v>630</v>
      </c>
      <c r="C12" s="141">
        <f t="shared" ca="1" si="6"/>
        <v>0</v>
      </c>
      <c r="E12" s="25" t="s">
        <v>630</v>
      </c>
      <c r="F12" s="141">
        <f t="shared" ca="1" si="7"/>
        <v>2982.6</v>
      </c>
      <c r="H12" s="25" t="s">
        <v>630</v>
      </c>
      <c r="I12" s="141">
        <f t="shared" ca="1" si="8"/>
        <v>17725.310000000001</v>
      </c>
      <c r="K12" s="25" t="s">
        <v>630</v>
      </c>
      <c r="L12" s="141">
        <f t="shared" ca="1" si="9"/>
        <v>0</v>
      </c>
      <c r="N12" s="25" t="s">
        <v>630</v>
      </c>
      <c r="O12" s="141">
        <f t="shared" ca="1" si="10"/>
        <v>1572</v>
      </c>
      <c r="Q12" s="25" t="s">
        <v>630</v>
      </c>
      <c r="R12" s="141">
        <f t="shared" ca="1" si="11"/>
        <v>4325.6000000000004</v>
      </c>
      <c r="T12" s="25" t="s">
        <v>630</v>
      </c>
      <c r="U12" s="141">
        <f t="shared" ca="1" si="12"/>
        <v>0</v>
      </c>
      <c r="W12" s="25" t="s">
        <v>630</v>
      </c>
      <c r="X12" s="141">
        <f t="shared" ca="1" si="13"/>
        <v>6290.4400000000005</v>
      </c>
      <c r="Z12" s="25" t="s">
        <v>630</v>
      </c>
      <c r="AA12" s="141">
        <f t="shared" ca="1" si="14"/>
        <v>10092.6</v>
      </c>
      <c r="AC12" s="25" t="s">
        <v>630</v>
      </c>
      <c r="AD12" s="141">
        <f t="shared" ca="1" si="15"/>
        <v>2504.8000000000002</v>
      </c>
      <c r="AF12" s="25" t="s">
        <v>630</v>
      </c>
      <c r="AG12" s="141">
        <f t="shared" ca="1" si="16"/>
        <v>24045.199999999997</v>
      </c>
      <c r="AI12" s="25" t="s">
        <v>630</v>
      </c>
      <c r="AJ12" s="141">
        <f t="shared" ca="1" si="17"/>
        <v>0</v>
      </c>
      <c r="CL12" s="25" t="s">
        <v>630</v>
      </c>
      <c r="CM12" s="141">
        <f ca="1">C12+L12+U12+AD12</f>
        <v>2504.8000000000002</v>
      </c>
      <c r="CO12" s="25" t="s">
        <v>630</v>
      </c>
      <c r="CP12" s="141">
        <f ca="1">F12+O12+X12+AG12</f>
        <v>34890.239999999998</v>
      </c>
      <c r="CR12" s="25" t="s">
        <v>630</v>
      </c>
      <c r="CS12" s="141">
        <f ca="1">I12+R12+AA12+AJ12</f>
        <v>32143.510000000002</v>
      </c>
      <c r="CU12" s="141"/>
      <c r="CV12" s="168" t="e">
        <f t="shared" si="18"/>
        <v>#N/A</v>
      </c>
      <c r="DR12" s="141"/>
      <c r="DS12" s="141" t="e">
        <f t="shared" si="19"/>
        <v>#N/A</v>
      </c>
      <c r="DT12" s="141" t="e">
        <f t="shared" si="20"/>
        <v>#N/A</v>
      </c>
      <c r="DV12" s="94"/>
      <c r="EP12" s="141"/>
      <c r="EQ12" s="141" t="e">
        <f t="shared" si="32"/>
        <v>#N/A</v>
      </c>
      <c r="ER12" s="141" t="e">
        <f t="shared" si="33"/>
        <v>#N/A</v>
      </c>
      <c r="ES12" s="141"/>
      <c r="EU12" s="25" t="s">
        <v>1224</v>
      </c>
      <c r="EV12" s="25" t="s">
        <v>1233</v>
      </c>
      <c r="EW12" s="25" t="str">
        <f>ADDRESS(ROW('Graphique Agence'!E5),COLUMN(E5))</f>
        <v>$E$5</v>
      </c>
      <c r="EX12" s="25">
        <f ca="1">IF(SUM(I4:I12)&gt;0,-1,0)</f>
        <v>-1</v>
      </c>
    </row>
    <row r="13" spans="2:154" x14ac:dyDescent="0.3">
      <c r="CU13" s="141"/>
      <c r="CV13" s="168" t="e">
        <f t="shared" si="18"/>
        <v>#N/A</v>
      </c>
      <c r="DR13" s="141"/>
      <c r="DS13" s="141" t="e">
        <f t="shared" si="19"/>
        <v>#N/A</v>
      </c>
      <c r="DT13" s="141" t="e">
        <f t="shared" si="20"/>
        <v>#N/A</v>
      </c>
      <c r="DV13" s="94"/>
      <c r="EP13" s="141"/>
      <c r="EQ13" s="141" t="e">
        <f t="shared" si="32"/>
        <v>#N/A</v>
      </c>
      <c r="ER13" s="141" t="e">
        <f t="shared" si="33"/>
        <v>#N/A</v>
      </c>
      <c r="ES13" s="141"/>
      <c r="EU13" s="25" t="s">
        <v>1224</v>
      </c>
      <c r="EV13" s="25" t="s">
        <v>1234</v>
      </c>
      <c r="EW13" s="25" t="str">
        <f>ADDRESS(ROW('Graphique Agence'!E6),COLUMN(E6))</f>
        <v>$E$6</v>
      </c>
      <c r="EX13" s="25">
        <f ca="1">IF(SUM(R4:R12)&gt;0,-1,0)</f>
        <v>-1</v>
      </c>
    </row>
    <row r="14" spans="2:154" x14ac:dyDescent="0.3">
      <c r="C14" s="94"/>
      <c r="CU14" s="141"/>
      <c r="CV14" s="168" t="e">
        <f t="shared" si="18"/>
        <v>#N/A</v>
      </c>
      <c r="DR14" s="141"/>
      <c r="DS14" s="141" t="e">
        <f t="shared" si="19"/>
        <v>#N/A</v>
      </c>
      <c r="DT14" s="141" t="e">
        <f t="shared" si="20"/>
        <v>#N/A</v>
      </c>
      <c r="DV14" s="94"/>
      <c r="EP14" s="141"/>
      <c r="EQ14" s="141" t="e">
        <f t="shared" si="32"/>
        <v>#N/A</v>
      </c>
      <c r="ER14" s="141" t="e">
        <f t="shared" si="33"/>
        <v>#N/A</v>
      </c>
      <c r="ES14" s="141"/>
      <c r="EU14" s="25" t="s">
        <v>1224</v>
      </c>
      <c r="EV14" s="25" t="s">
        <v>1235</v>
      </c>
      <c r="EW14" s="25" t="str">
        <f>ADDRESS(ROW('Graphique Agence'!E7),COLUMN(E7))</f>
        <v>$E$7</v>
      </c>
      <c r="EX14" s="25">
        <f ca="1">IF(SUM(AA4:AA12)&gt;0,-1,0)</f>
        <v>-1</v>
      </c>
    </row>
    <row r="15" spans="2:154" x14ac:dyDescent="0.3">
      <c r="EU15" s="25" t="s">
        <v>1224</v>
      </c>
      <c r="EV15" s="25" t="s">
        <v>1236</v>
      </c>
      <c r="EW15" s="25" t="str">
        <f>ADDRESS(ROW('Graphique Agence'!E8),COLUMN(E8))</f>
        <v>$E$8</v>
      </c>
      <c r="EX15" s="25">
        <f ca="1">IF(SUM(AJ4:AJ12)&gt;0,-1,0)</f>
        <v>-1</v>
      </c>
    </row>
    <row r="16" spans="2:154" x14ac:dyDescent="0.3">
      <c r="EU16" s="25" t="s">
        <v>1224</v>
      </c>
      <c r="EV16" s="25" t="s">
        <v>1237</v>
      </c>
      <c r="EW16" s="25" t="str">
        <f>ADDRESS(ROW('Graphique Agence'!C13),COLUMN(C11))</f>
        <v>$C$13</v>
      </c>
      <c r="EX16" s="25">
        <f ca="1">IF(SUM(AM4:AM14)&gt;0,-1,0)</f>
        <v>-1</v>
      </c>
    </row>
    <row r="17" spans="151:154" x14ac:dyDescent="0.3">
      <c r="EU17" s="25" t="s">
        <v>1224</v>
      </c>
      <c r="EV17" s="25" t="s">
        <v>1238</v>
      </c>
      <c r="EW17" s="25" t="str">
        <f>ADDRESS(ROW('Graphique Agence'!C14),COLUMN(C12))</f>
        <v>$C$14</v>
      </c>
      <c r="EX17" s="25">
        <f ca="1">IF(SUM(AV4:AV14)&gt;0,-1,0)</f>
        <v>-1</v>
      </c>
    </row>
    <row r="18" spans="151:154" x14ac:dyDescent="0.3">
      <c r="EU18" s="25" t="s">
        <v>1224</v>
      </c>
      <c r="EV18" s="25" t="s">
        <v>1239</v>
      </c>
      <c r="EW18" s="25" t="str">
        <f>ADDRESS(ROW('Graphique Agence'!C15),COLUMN(C13))</f>
        <v>$C$15</v>
      </c>
      <c r="EX18" s="25">
        <f ca="1">IF(SUM(BE4:BE14)&gt;0,-1,0)</f>
        <v>-1</v>
      </c>
    </row>
    <row r="19" spans="151:154" x14ac:dyDescent="0.3">
      <c r="EU19" s="25" t="s">
        <v>1224</v>
      </c>
      <c r="EV19" s="25" t="s">
        <v>1240</v>
      </c>
      <c r="EW19" s="25" t="str">
        <f>ADDRESS(ROW('Graphique Agence'!C16),COLUMN(C14))</f>
        <v>$C$16</v>
      </c>
      <c r="EX19" s="25">
        <f ca="1">IF(SUM(BN4:BN14)&gt;0,-1,0)</f>
        <v>-1</v>
      </c>
    </row>
    <row r="20" spans="151:154" x14ac:dyDescent="0.3">
      <c r="EU20" s="25" t="s">
        <v>1224</v>
      </c>
      <c r="EV20" s="25" t="s">
        <v>1241</v>
      </c>
      <c r="EW20" s="25" t="str">
        <f>ADDRESS(ROW('Graphique Agence'!D13),COLUMN(D11))</f>
        <v>$D$13</v>
      </c>
      <c r="EX20" s="25">
        <f ca="1">IF(SUM(AP4:AP14)&gt;0,-1,0)</f>
        <v>-1</v>
      </c>
    </row>
    <row r="21" spans="151:154" x14ac:dyDescent="0.3">
      <c r="EU21" s="25" t="s">
        <v>1224</v>
      </c>
      <c r="EV21" s="25" t="s">
        <v>1242</v>
      </c>
      <c r="EW21" s="25" t="str">
        <f>ADDRESS(ROW('Graphique Agence'!D14),COLUMN(D12))</f>
        <v>$D$14</v>
      </c>
      <c r="EX21" s="25">
        <f ca="1">IF(SUM(AY4:AY14)&gt;0,-1,0)</f>
        <v>-1</v>
      </c>
    </row>
    <row r="22" spans="151:154" x14ac:dyDescent="0.3">
      <c r="EU22" s="25" t="s">
        <v>1224</v>
      </c>
      <c r="EV22" s="25" t="s">
        <v>1243</v>
      </c>
      <c r="EW22" s="25" t="str">
        <f>ADDRESS(ROW('Graphique Agence'!D15),COLUMN(D13))</f>
        <v>$D$15</v>
      </c>
      <c r="EX22" s="25">
        <f ca="1">IF(SUM(BH4:BH14)&gt;0,-1,0)</f>
        <v>-1</v>
      </c>
    </row>
    <row r="23" spans="151:154" x14ac:dyDescent="0.3">
      <c r="EU23" s="25" t="s">
        <v>1224</v>
      </c>
      <c r="EV23" s="25" t="s">
        <v>1244</v>
      </c>
      <c r="EW23" s="25" t="str">
        <f>ADDRESS(ROW('Graphique Agence'!D16),COLUMN(D14))</f>
        <v>$D$16</v>
      </c>
      <c r="EX23" s="25">
        <f ca="1">IF(SUM(BQ4:BQ14)&gt;0,-1,0)</f>
        <v>-1</v>
      </c>
    </row>
    <row r="24" spans="151:154" x14ac:dyDescent="0.3">
      <c r="EU24" s="25" t="s">
        <v>1224</v>
      </c>
      <c r="EV24" s="25" t="s">
        <v>1245</v>
      </c>
      <c r="EW24" s="25" t="str">
        <f>ADDRESS(ROW('Graphique Agence'!E13),COLUMN(E11))</f>
        <v>$E$13</v>
      </c>
      <c r="EX24" s="25">
        <f ca="1">IF(SUM(AS4:AS14)&gt;0,-1,0)</f>
        <v>-1</v>
      </c>
    </row>
    <row r="25" spans="151:154" x14ac:dyDescent="0.3">
      <c r="EU25" s="25" t="s">
        <v>1224</v>
      </c>
      <c r="EV25" s="25" t="s">
        <v>1246</v>
      </c>
      <c r="EW25" s="25" t="str">
        <f>ADDRESS(ROW('Graphique Agence'!E14),COLUMN(E12))</f>
        <v>$E$14</v>
      </c>
      <c r="EX25" s="25">
        <f ca="1">IF(SUM(BB4:BB14)&gt;0,-1,0)</f>
        <v>-1</v>
      </c>
    </row>
    <row r="26" spans="151:154" x14ac:dyDescent="0.3">
      <c r="EU26" s="25" t="s">
        <v>1224</v>
      </c>
      <c r="EV26" s="25" t="s">
        <v>1247</v>
      </c>
      <c r="EW26" s="25" t="str">
        <f>ADDRESS(ROW('Graphique Agence'!E15),COLUMN(E13))</f>
        <v>$E$15</v>
      </c>
      <c r="EX26" s="25">
        <f ca="1">IF(SUM(BK4:BK14)&gt;0,-1,0)</f>
        <v>-1</v>
      </c>
    </row>
    <row r="27" spans="151:154" x14ac:dyDescent="0.3">
      <c r="EU27" s="25" t="s">
        <v>1224</v>
      </c>
      <c r="EV27" s="25" t="s">
        <v>1248</v>
      </c>
      <c r="EW27" s="25" t="str">
        <f>ADDRESS(ROW('Graphique Agence'!E16),COLUMN(E14))</f>
        <v>$E$16</v>
      </c>
      <c r="EX27" s="25">
        <f ca="1">IF(SUM(BT4:BT14)&gt;0,-1,0)</f>
        <v>-1</v>
      </c>
    </row>
    <row r="28" spans="151:154" x14ac:dyDescent="0.3">
      <c r="EU28" s="25" t="s">
        <v>1249</v>
      </c>
      <c r="EV28" s="25" t="s">
        <v>1250</v>
      </c>
      <c r="EW28" s="25" t="str">
        <f>ADDRESS(ROW('Graphique Négoce'!C6),COLUMN('Graphique Négoce'!C6))</f>
        <v>$C$6</v>
      </c>
      <c r="EX28" s="25">
        <v>-1</v>
      </c>
    </row>
    <row r="29" spans="151:154" x14ac:dyDescent="0.3">
      <c r="EU29" s="25" t="s">
        <v>1249</v>
      </c>
      <c r="EV29" s="25" t="s">
        <v>1251</v>
      </c>
      <c r="EW29" s="25" t="str">
        <f>ADDRESS(ROW('Graphique Négoce'!C7),COLUMN('Graphique Négoce'!C7))</f>
        <v>$C$7</v>
      </c>
      <c r="EX29" s="25">
        <v>-1</v>
      </c>
    </row>
    <row r="30" spans="151:154" x14ac:dyDescent="0.3">
      <c r="EU30" s="25" t="s">
        <v>1249</v>
      </c>
      <c r="EV30" s="25" t="s">
        <v>1252</v>
      </c>
      <c r="EW30" s="25" t="str">
        <f>ADDRESS(ROW('Graphique Négoce'!C8),COLUMN('Graphique Négoce'!C8))</f>
        <v>$C$8</v>
      </c>
      <c r="EX30" s="25">
        <v>-1</v>
      </c>
    </row>
    <row r="31" spans="151:154" x14ac:dyDescent="0.3">
      <c r="EU31" s="25" t="s">
        <v>1249</v>
      </c>
      <c r="EV31" s="25" t="s">
        <v>1253</v>
      </c>
      <c r="EW31" s="25" t="str">
        <f>ADDRESS(ROW('Graphique Négoce'!C9),COLUMN('Graphique Négoce'!C9))</f>
        <v>$C$9</v>
      </c>
      <c r="EX31" s="25">
        <v>-1</v>
      </c>
    </row>
    <row r="32" spans="151:154" x14ac:dyDescent="0.3">
      <c r="EU32" s="25" t="s">
        <v>1254</v>
      </c>
      <c r="EV32" s="25" t="s">
        <v>1255</v>
      </c>
      <c r="EW32" s="25" t="str">
        <f>ADDRESS(ROW('Graphique Global'!C6),COLUMN('Graphique Global'!C6))</f>
        <v>$C$6</v>
      </c>
      <c r="EX32" s="25">
        <v>-1</v>
      </c>
    </row>
    <row r="33" spans="151:154" x14ac:dyDescent="0.3">
      <c r="EU33" s="25" t="s">
        <v>1254</v>
      </c>
      <c r="EV33" s="25" t="s">
        <v>1256</v>
      </c>
      <c r="EW33" s="25" t="str">
        <f>ADDRESS(ROW('Graphique Global'!C7),COLUMN('Graphique Global'!C7))</f>
        <v>$C$7</v>
      </c>
      <c r="EX33" s="25">
        <v>-1</v>
      </c>
    </row>
    <row r="34" spans="151:154" x14ac:dyDescent="0.3">
      <c r="EU34" s="25" t="s">
        <v>1254</v>
      </c>
      <c r="EV34" s="25" t="s">
        <v>1257</v>
      </c>
      <c r="EW34" s="25" t="str">
        <f>ADDRESS(ROW('Graphique Global'!C8),COLUMN('Graphique Global'!C8))</f>
        <v>$C$8</v>
      </c>
      <c r="EX34" s="25">
        <v>-1</v>
      </c>
    </row>
    <row r="35" spans="151:154" x14ac:dyDescent="0.3">
      <c r="EU35" s="25" t="s">
        <v>1254</v>
      </c>
      <c r="EV35" s="25" t="s">
        <v>1258</v>
      </c>
      <c r="EW35" s="25" t="str">
        <f>ADDRESS(ROW('Graphique Global'!C9),COLUMN('Graphique Global'!C9))</f>
        <v>$C$9</v>
      </c>
      <c r="EX35" s="25">
        <v>-1</v>
      </c>
    </row>
    <row r="36" spans="151:154" x14ac:dyDescent="0.3">
      <c r="EU36" s="25"/>
      <c r="EV36" s="25"/>
      <c r="EW36" s="25"/>
      <c r="EX36" s="25"/>
    </row>
    <row r="37" spans="151:154" x14ac:dyDescent="0.3">
      <c r="EU37" s="25"/>
      <c r="EV37" s="25"/>
      <c r="EW37" s="25"/>
      <c r="EX37" s="25"/>
    </row>
    <row r="38" spans="151:154" x14ac:dyDescent="0.3">
      <c r="EU38" s="25"/>
      <c r="EV38" s="25"/>
      <c r="EW38" s="25"/>
      <c r="EX38" s="25"/>
    </row>
    <row r="39" spans="151:154" x14ac:dyDescent="0.3">
      <c r="EU39" s="25"/>
      <c r="EV39" s="25"/>
      <c r="EW39" s="25"/>
      <c r="EX39" s="25"/>
    </row>
    <row r="40" spans="151:154" x14ac:dyDescent="0.3">
      <c r="EU40" s="25"/>
      <c r="EV40" s="25"/>
      <c r="EW40" s="25"/>
      <c r="EX40" s="25"/>
    </row>
    <row r="41" spans="151:154" x14ac:dyDescent="0.3">
      <c r="EU41" s="25"/>
      <c r="EV41" s="25"/>
      <c r="EW41" s="25"/>
      <c r="EX41" s="25"/>
    </row>
    <row r="42" spans="151:154" x14ac:dyDescent="0.3">
      <c r="EU42" s="25"/>
      <c r="EV42" s="25"/>
      <c r="EW42" s="25"/>
      <c r="EX42" s="25"/>
    </row>
    <row r="43" spans="151:154" x14ac:dyDescent="0.3">
      <c r="EU43" s="25"/>
      <c r="EV43" s="25"/>
      <c r="EW43" s="25"/>
      <c r="EX43" s="25"/>
    </row>
    <row r="44" spans="151:154" x14ac:dyDescent="0.3">
      <c r="EU44" s="25"/>
      <c r="EV44" s="25"/>
      <c r="EW44" s="25"/>
      <c r="EX44" s="25"/>
    </row>
    <row r="45" spans="151:154" x14ac:dyDescent="0.3">
      <c r="EU45" s="25"/>
      <c r="EV45" s="25"/>
      <c r="EW45" s="25"/>
      <c r="EX45" s="25"/>
    </row>
  </sheetData>
  <phoneticPr fontId="30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7D248-BF24-4DD6-99D8-0BAA4B197F22}">
  <sheetPr codeName="F_Entrepot"/>
  <dimension ref="A1:J322"/>
  <sheetViews>
    <sheetView workbookViewId="0">
      <selection activeCell="H18" sqref="H18"/>
    </sheetView>
  </sheetViews>
  <sheetFormatPr baseColWidth="10" defaultRowHeight="14.4" x14ac:dyDescent="0.3"/>
  <cols>
    <col min="1" max="1" width="12.21875" style="94" customWidth="1"/>
    <col min="2" max="2" width="24.44140625" style="94" customWidth="1"/>
    <col min="3" max="3" width="21.77734375" style="94" customWidth="1"/>
    <col min="4" max="4" width="13.77734375" style="94" customWidth="1"/>
    <col min="5" max="5" width="14.6640625" style="94" customWidth="1"/>
    <col min="8" max="8" width="13.33203125" customWidth="1"/>
  </cols>
  <sheetData>
    <row r="1" spans="1:10" x14ac:dyDescent="0.3">
      <c r="A1" s="144" t="s">
        <v>1215</v>
      </c>
      <c r="B1" s="144"/>
      <c r="C1" s="144"/>
      <c r="D1" s="144"/>
      <c r="E1" s="144"/>
      <c r="G1" s="144" t="s">
        <v>1217</v>
      </c>
      <c r="H1" s="144"/>
      <c r="I1" s="144"/>
      <c r="J1" s="144"/>
    </row>
    <row r="2" spans="1:10" x14ac:dyDescent="0.3">
      <c r="A2" s="162" t="s">
        <v>224</v>
      </c>
      <c r="B2" s="162" t="s">
        <v>80</v>
      </c>
      <c r="C2" s="162" t="s">
        <v>1216</v>
      </c>
      <c r="D2" s="162" t="s">
        <v>82</v>
      </c>
      <c r="E2" s="162" t="s">
        <v>176</v>
      </c>
      <c r="G2" s="162" t="s">
        <v>224</v>
      </c>
      <c r="H2" s="162" t="s">
        <v>80</v>
      </c>
      <c r="I2" s="162" t="s">
        <v>176</v>
      </c>
      <c r="J2" s="162" t="s">
        <v>1201</v>
      </c>
    </row>
    <row r="3" spans="1:10" x14ac:dyDescent="0.3">
      <c r="A3" s="94">
        <v>2021</v>
      </c>
      <c r="B3" s="94">
        <v>1</v>
      </c>
      <c r="C3" s="94" t="s">
        <v>196</v>
      </c>
      <c r="D3" s="94" t="s">
        <v>388</v>
      </c>
      <c r="E3" s="94">
        <v>25999.920000000002</v>
      </c>
      <c r="G3">
        <v>2021</v>
      </c>
      <c r="H3">
        <v>1</v>
      </c>
      <c r="I3">
        <v>66149.290000000008</v>
      </c>
      <c r="J3" s="163">
        <v>25591.54</v>
      </c>
    </row>
    <row r="4" spans="1:10" x14ac:dyDescent="0.3">
      <c r="A4" s="94">
        <v>2021</v>
      </c>
      <c r="B4" s="94">
        <v>1</v>
      </c>
      <c r="C4" s="94" t="s">
        <v>197</v>
      </c>
      <c r="D4" s="94" t="s">
        <v>71</v>
      </c>
      <c r="E4" s="94">
        <v>35229.110000000008</v>
      </c>
      <c r="G4">
        <v>2021</v>
      </c>
      <c r="H4">
        <v>2</v>
      </c>
      <c r="I4">
        <v>111704.37000000001</v>
      </c>
      <c r="J4" s="163">
        <v>35496.730000000003</v>
      </c>
    </row>
    <row r="5" spans="1:10" x14ac:dyDescent="0.3">
      <c r="A5" s="94">
        <v>2021</v>
      </c>
      <c r="B5" s="94">
        <v>1</v>
      </c>
      <c r="C5" s="94" t="s">
        <v>196</v>
      </c>
      <c r="D5" s="94" t="s">
        <v>71</v>
      </c>
      <c r="E5" s="94">
        <v>15003.890000000001</v>
      </c>
      <c r="G5">
        <v>2021</v>
      </c>
      <c r="H5">
        <v>3</v>
      </c>
      <c r="I5">
        <v>38804.1</v>
      </c>
      <c r="J5" s="163">
        <v>16646.55</v>
      </c>
    </row>
    <row r="6" spans="1:10" x14ac:dyDescent="0.3">
      <c r="A6" s="94">
        <v>2021</v>
      </c>
      <c r="B6" s="94">
        <v>1</v>
      </c>
      <c r="C6" s="94" t="s">
        <v>196</v>
      </c>
      <c r="D6" s="94" t="s">
        <v>72</v>
      </c>
      <c r="E6" s="94">
        <v>112525.2</v>
      </c>
      <c r="G6">
        <v>2021</v>
      </c>
      <c r="H6">
        <v>4</v>
      </c>
      <c r="I6">
        <v>81017.990000000005</v>
      </c>
      <c r="J6" s="163">
        <v>21496.28</v>
      </c>
    </row>
    <row r="7" spans="1:10" x14ac:dyDescent="0.3">
      <c r="A7" s="94">
        <v>2021</v>
      </c>
      <c r="B7" s="94">
        <v>1</v>
      </c>
      <c r="C7" s="94" t="s">
        <v>198</v>
      </c>
      <c r="D7" s="94" t="s">
        <v>72</v>
      </c>
      <c r="E7" s="94">
        <v>30215</v>
      </c>
      <c r="G7">
        <v>2022</v>
      </c>
      <c r="H7">
        <v>1</v>
      </c>
      <c r="I7">
        <v>51960.450000000004</v>
      </c>
      <c r="J7" s="163">
        <v>16166.25</v>
      </c>
    </row>
    <row r="8" spans="1:10" x14ac:dyDescent="0.3">
      <c r="A8" s="94">
        <v>2021</v>
      </c>
      <c r="B8" s="94">
        <v>1</v>
      </c>
      <c r="C8" s="94" t="s">
        <v>196</v>
      </c>
      <c r="D8" s="94" t="s">
        <v>68</v>
      </c>
      <c r="E8" s="94">
        <v>2437.15</v>
      </c>
      <c r="G8">
        <v>2022</v>
      </c>
      <c r="H8">
        <v>2</v>
      </c>
      <c r="I8">
        <v>66761.030000000013</v>
      </c>
      <c r="J8" s="163">
        <v>24995</v>
      </c>
    </row>
    <row r="9" spans="1:10" x14ac:dyDescent="0.3">
      <c r="A9" s="94">
        <v>2021</v>
      </c>
      <c r="B9" s="94">
        <v>1</v>
      </c>
      <c r="C9" s="94" t="s">
        <v>196</v>
      </c>
      <c r="D9" s="94" t="s">
        <v>69</v>
      </c>
      <c r="E9" s="94">
        <v>63595.86</v>
      </c>
      <c r="G9">
        <v>2022</v>
      </c>
      <c r="H9">
        <v>3</v>
      </c>
      <c r="I9">
        <v>231688.97</v>
      </c>
      <c r="J9" s="163">
        <v>78497.429999999993</v>
      </c>
    </row>
    <row r="10" spans="1:10" x14ac:dyDescent="0.3">
      <c r="A10" s="94">
        <v>2021</v>
      </c>
      <c r="B10" s="94">
        <v>1</v>
      </c>
      <c r="C10" s="94" t="s">
        <v>197</v>
      </c>
      <c r="D10" s="94" t="s">
        <v>69</v>
      </c>
      <c r="E10" s="94">
        <v>22275.829999999998</v>
      </c>
      <c r="G10">
        <v>2022</v>
      </c>
      <c r="H10">
        <v>4</v>
      </c>
      <c r="I10">
        <v>107996.15</v>
      </c>
      <c r="J10" s="163">
        <v>40171.120000000003</v>
      </c>
    </row>
    <row r="11" spans="1:10" x14ac:dyDescent="0.3">
      <c r="A11" s="94">
        <v>2021</v>
      </c>
      <c r="B11" s="94">
        <v>1</v>
      </c>
      <c r="C11" s="94" t="s">
        <v>198</v>
      </c>
      <c r="D11" s="94" t="s">
        <v>69</v>
      </c>
      <c r="E11" s="94">
        <v>78971.460000000021</v>
      </c>
      <c r="G11">
        <v>2023</v>
      </c>
      <c r="H11">
        <v>1</v>
      </c>
      <c r="I11">
        <v>57208.920000000006</v>
      </c>
      <c r="J11" s="163">
        <v>19532.400000000001</v>
      </c>
    </row>
    <row r="12" spans="1:10" x14ac:dyDescent="0.3">
      <c r="A12" s="94">
        <v>2021</v>
      </c>
      <c r="B12" s="94">
        <v>1</v>
      </c>
      <c r="C12" s="94" t="s">
        <v>75</v>
      </c>
      <c r="D12" s="94" t="s">
        <v>71</v>
      </c>
      <c r="E12" s="94">
        <v>11751.980000000001</v>
      </c>
      <c r="G12">
        <v>2023</v>
      </c>
      <c r="H12">
        <v>2</v>
      </c>
      <c r="I12">
        <v>57541.799999999996</v>
      </c>
      <c r="J12" s="163">
        <v>22470.52</v>
      </c>
    </row>
    <row r="13" spans="1:10" x14ac:dyDescent="0.3">
      <c r="A13" s="94">
        <v>2021</v>
      </c>
      <c r="B13" s="94">
        <v>1</v>
      </c>
      <c r="C13" s="94" t="s">
        <v>198</v>
      </c>
      <c r="D13" s="94" t="s">
        <v>71</v>
      </c>
      <c r="E13" s="94">
        <v>22465.199999999997</v>
      </c>
      <c r="G13">
        <v>2023</v>
      </c>
      <c r="H13">
        <v>3</v>
      </c>
      <c r="I13">
        <v>12161.8</v>
      </c>
      <c r="J13" s="163">
        <v>3535.94</v>
      </c>
    </row>
    <row r="14" spans="1:10" x14ac:dyDescent="0.3">
      <c r="A14" s="94">
        <v>2021</v>
      </c>
      <c r="B14" s="94">
        <v>1</v>
      </c>
      <c r="C14" s="94" t="s">
        <v>198</v>
      </c>
      <c r="D14" s="94" t="s">
        <v>388</v>
      </c>
      <c r="E14" s="94">
        <v>8402.92</v>
      </c>
      <c r="G14">
        <v>2023</v>
      </c>
      <c r="H14">
        <v>4</v>
      </c>
      <c r="I14">
        <v>152685.40000000002</v>
      </c>
      <c r="J14" s="163">
        <v>42609.35</v>
      </c>
    </row>
    <row r="15" spans="1:10" x14ac:dyDescent="0.3">
      <c r="A15" s="94">
        <v>2021</v>
      </c>
      <c r="B15" s="94">
        <v>1</v>
      </c>
      <c r="C15" s="94" t="s">
        <v>198</v>
      </c>
      <c r="D15" s="94" t="s">
        <v>388</v>
      </c>
      <c r="E15" s="94">
        <v>12106.890000000001</v>
      </c>
    </row>
    <row r="16" spans="1:10" x14ac:dyDescent="0.3">
      <c r="A16" s="94">
        <v>2021</v>
      </c>
      <c r="B16" s="94">
        <v>1</v>
      </c>
      <c r="C16" s="94" t="s">
        <v>196</v>
      </c>
      <c r="D16" s="94" t="s">
        <v>388</v>
      </c>
      <c r="E16" s="94">
        <v>6174.72</v>
      </c>
    </row>
    <row r="17" spans="1:5" x14ac:dyDescent="0.3">
      <c r="A17" s="94">
        <v>2021</v>
      </c>
      <c r="B17" s="94">
        <v>1</v>
      </c>
      <c r="C17" s="94" t="s">
        <v>196</v>
      </c>
      <c r="D17" s="94" t="s">
        <v>70</v>
      </c>
      <c r="E17" s="94">
        <v>690.8</v>
      </c>
    </row>
    <row r="18" spans="1:5" x14ac:dyDescent="0.3">
      <c r="A18" s="94">
        <v>2021</v>
      </c>
      <c r="B18" s="94">
        <v>1</v>
      </c>
      <c r="C18" s="94" t="s">
        <v>198</v>
      </c>
      <c r="D18" s="94" t="s">
        <v>70</v>
      </c>
      <c r="E18" s="94">
        <v>14370.45</v>
      </c>
    </row>
    <row r="19" spans="1:5" x14ac:dyDescent="0.3">
      <c r="A19" s="94">
        <v>2021</v>
      </c>
      <c r="B19" s="94">
        <v>2</v>
      </c>
      <c r="C19" s="94" t="s">
        <v>196</v>
      </c>
      <c r="D19" s="94" t="s">
        <v>72</v>
      </c>
      <c r="E19" s="94">
        <v>73408.749999999985</v>
      </c>
    </row>
    <row r="20" spans="1:5" x14ac:dyDescent="0.3">
      <c r="A20" s="94">
        <v>2021</v>
      </c>
      <c r="B20" s="94">
        <v>2</v>
      </c>
      <c r="C20" s="94" t="s">
        <v>196</v>
      </c>
      <c r="D20" s="94" t="s">
        <v>71</v>
      </c>
      <c r="E20" s="94">
        <v>19764.77</v>
      </c>
    </row>
    <row r="21" spans="1:5" x14ac:dyDescent="0.3">
      <c r="A21" s="94">
        <v>2021</v>
      </c>
      <c r="B21" s="94">
        <v>2</v>
      </c>
      <c r="C21" s="94" t="s">
        <v>198</v>
      </c>
      <c r="D21" s="94" t="s">
        <v>72</v>
      </c>
      <c r="E21" s="94">
        <v>39342.6</v>
      </c>
    </row>
    <row r="22" spans="1:5" x14ac:dyDescent="0.3">
      <c r="A22" s="94">
        <v>2021</v>
      </c>
      <c r="B22" s="94">
        <v>2</v>
      </c>
      <c r="C22" s="94" t="s">
        <v>198</v>
      </c>
      <c r="D22" s="94" t="s">
        <v>71</v>
      </c>
      <c r="E22" s="94">
        <v>19246.849999999995</v>
      </c>
    </row>
    <row r="23" spans="1:5" x14ac:dyDescent="0.3">
      <c r="A23" s="94">
        <v>2021</v>
      </c>
      <c r="B23" s="94">
        <v>2</v>
      </c>
      <c r="C23" s="94" t="s">
        <v>196</v>
      </c>
      <c r="D23" s="94" t="s">
        <v>69</v>
      </c>
      <c r="E23" s="94">
        <v>99158.65</v>
      </c>
    </row>
    <row r="24" spans="1:5" x14ac:dyDescent="0.3">
      <c r="A24" s="94">
        <v>2021</v>
      </c>
      <c r="B24" s="94">
        <v>2</v>
      </c>
      <c r="C24" s="94" t="s">
        <v>198</v>
      </c>
      <c r="D24" s="94" t="s">
        <v>69</v>
      </c>
      <c r="E24" s="94">
        <v>99605.590000000011</v>
      </c>
    </row>
    <row r="25" spans="1:5" x14ac:dyDescent="0.3">
      <c r="A25" s="94">
        <v>2021</v>
      </c>
      <c r="B25" s="94">
        <v>2</v>
      </c>
      <c r="C25" s="94" t="s">
        <v>197</v>
      </c>
      <c r="D25" s="94" t="s">
        <v>69</v>
      </c>
      <c r="E25" s="94">
        <v>18116.240000000002</v>
      </c>
    </row>
    <row r="26" spans="1:5" x14ac:dyDescent="0.3">
      <c r="A26" s="94">
        <v>2021</v>
      </c>
      <c r="B26" s="94">
        <v>2</v>
      </c>
      <c r="C26" s="94" t="s">
        <v>196</v>
      </c>
      <c r="D26" s="94" t="s">
        <v>388</v>
      </c>
      <c r="E26" s="94">
        <v>16925.05</v>
      </c>
    </row>
    <row r="27" spans="1:5" x14ac:dyDescent="0.3">
      <c r="A27" s="94">
        <v>2021</v>
      </c>
      <c r="B27" s="94">
        <v>2</v>
      </c>
      <c r="C27" s="94" t="s">
        <v>196</v>
      </c>
      <c r="D27" s="94" t="s">
        <v>388</v>
      </c>
      <c r="E27" s="94">
        <v>3565.09</v>
      </c>
    </row>
    <row r="28" spans="1:5" x14ac:dyDescent="0.3">
      <c r="A28" s="94">
        <v>2021</v>
      </c>
      <c r="B28" s="94">
        <v>1</v>
      </c>
      <c r="C28" s="94" t="s">
        <v>197</v>
      </c>
      <c r="D28" s="94" t="s">
        <v>388</v>
      </c>
      <c r="E28" s="94">
        <v>277.89999999999998</v>
      </c>
    </row>
    <row r="29" spans="1:5" x14ac:dyDescent="0.3">
      <c r="A29" s="94">
        <v>2021</v>
      </c>
      <c r="B29" s="94">
        <v>2</v>
      </c>
      <c r="C29" s="94" t="s">
        <v>197</v>
      </c>
      <c r="D29" s="94" t="s">
        <v>388</v>
      </c>
      <c r="E29" s="94">
        <v>1403.1</v>
      </c>
    </row>
    <row r="30" spans="1:5" x14ac:dyDescent="0.3">
      <c r="A30" s="94">
        <v>2021</v>
      </c>
      <c r="B30" s="94">
        <v>1</v>
      </c>
      <c r="C30" s="94" t="s">
        <v>197</v>
      </c>
      <c r="D30" s="94" t="s">
        <v>72</v>
      </c>
      <c r="E30" s="94">
        <v>1063</v>
      </c>
    </row>
    <row r="31" spans="1:5" x14ac:dyDescent="0.3">
      <c r="A31" s="94">
        <v>2021</v>
      </c>
      <c r="B31" s="94">
        <v>2</v>
      </c>
      <c r="C31" s="94" t="s">
        <v>196</v>
      </c>
      <c r="D31" s="94" t="s">
        <v>201</v>
      </c>
      <c r="E31" s="94">
        <v>68653.010000000009</v>
      </c>
    </row>
    <row r="32" spans="1:5" x14ac:dyDescent="0.3">
      <c r="A32" s="94">
        <v>2021</v>
      </c>
      <c r="B32" s="94">
        <v>2</v>
      </c>
      <c r="C32" s="94" t="s">
        <v>197</v>
      </c>
      <c r="D32" s="94" t="s">
        <v>71</v>
      </c>
      <c r="E32" s="94">
        <v>37358.289999999994</v>
      </c>
    </row>
    <row r="33" spans="1:5" x14ac:dyDescent="0.3">
      <c r="A33" s="94">
        <v>2021</v>
      </c>
      <c r="B33" s="94">
        <v>2</v>
      </c>
      <c r="C33" s="94" t="s">
        <v>75</v>
      </c>
      <c r="D33" s="94" t="s">
        <v>71</v>
      </c>
      <c r="E33" s="94">
        <v>5640.0499999999993</v>
      </c>
    </row>
    <row r="34" spans="1:5" x14ac:dyDescent="0.3">
      <c r="A34" s="94">
        <v>2021</v>
      </c>
      <c r="B34" s="94">
        <v>2</v>
      </c>
      <c r="C34" s="94" t="s">
        <v>197</v>
      </c>
      <c r="D34" s="94" t="s">
        <v>72</v>
      </c>
      <c r="E34" s="94">
        <v>3105.3999999999996</v>
      </c>
    </row>
    <row r="35" spans="1:5" x14ac:dyDescent="0.3">
      <c r="A35" s="94">
        <v>2021</v>
      </c>
      <c r="B35" s="94">
        <v>2</v>
      </c>
      <c r="C35" s="94" t="s">
        <v>198</v>
      </c>
      <c r="D35" s="94" t="s">
        <v>70</v>
      </c>
      <c r="E35" s="94">
        <v>29627.8</v>
      </c>
    </row>
    <row r="36" spans="1:5" x14ac:dyDescent="0.3">
      <c r="A36" s="94">
        <v>2021</v>
      </c>
      <c r="B36" s="94">
        <v>2</v>
      </c>
      <c r="C36" s="94" t="s">
        <v>75</v>
      </c>
      <c r="D36" s="94" t="s">
        <v>69</v>
      </c>
      <c r="E36" s="94">
        <v>797.31</v>
      </c>
    </row>
    <row r="37" spans="1:5" x14ac:dyDescent="0.3">
      <c r="A37" s="94">
        <v>2021</v>
      </c>
      <c r="B37" s="94">
        <v>2</v>
      </c>
      <c r="C37" s="94" t="s">
        <v>196</v>
      </c>
      <c r="D37" s="94" t="s">
        <v>70</v>
      </c>
      <c r="E37" s="94">
        <v>5761.45</v>
      </c>
    </row>
    <row r="38" spans="1:5" x14ac:dyDescent="0.3">
      <c r="A38" s="94">
        <v>2021</v>
      </c>
      <c r="B38" s="94">
        <v>2</v>
      </c>
      <c r="C38" s="94" t="s">
        <v>198</v>
      </c>
      <c r="D38" s="94" t="s">
        <v>388</v>
      </c>
      <c r="E38" s="94">
        <v>23013.129999999997</v>
      </c>
    </row>
    <row r="39" spans="1:5" x14ac:dyDescent="0.3">
      <c r="A39" s="94">
        <v>2021</v>
      </c>
      <c r="B39" s="94">
        <v>2</v>
      </c>
      <c r="C39" s="94" t="s">
        <v>197</v>
      </c>
      <c r="D39" s="94" t="s">
        <v>388</v>
      </c>
      <c r="E39" s="94">
        <v>3178.8</v>
      </c>
    </row>
    <row r="40" spans="1:5" x14ac:dyDescent="0.3">
      <c r="A40" s="94">
        <v>2021</v>
      </c>
      <c r="B40" s="94">
        <v>2</v>
      </c>
      <c r="C40" s="94" t="s">
        <v>198</v>
      </c>
      <c r="D40" s="94" t="s">
        <v>388</v>
      </c>
      <c r="E40" s="94">
        <v>5670.8600000000006</v>
      </c>
    </row>
    <row r="41" spans="1:5" x14ac:dyDescent="0.3">
      <c r="A41" s="94">
        <v>2021</v>
      </c>
      <c r="B41" s="94">
        <v>2</v>
      </c>
      <c r="C41" s="94" t="s">
        <v>197</v>
      </c>
      <c r="D41" s="94" t="s">
        <v>201</v>
      </c>
      <c r="E41" s="94">
        <v>100707.39999999997</v>
      </c>
    </row>
    <row r="42" spans="1:5" x14ac:dyDescent="0.3">
      <c r="A42" s="94">
        <v>2021</v>
      </c>
      <c r="B42" s="94">
        <v>3</v>
      </c>
      <c r="C42" s="94" t="s">
        <v>196</v>
      </c>
      <c r="D42" s="94" t="s">
        <v>388</v>
      </c>
      <c r="E42" s="94">
        <v>23981.219999999998</v>
      </c>
    </row>
    <row r="43" spans="1:5" x14ac:dyDescent="0.3">
      <c r="A43" s="94">
        <v>2021</v>
      </c>
      <c r="B43" s="94">
        <v>3</v>
      </c>
      <c r="C43" s="94" t="s">
        <v>196</v>
      </c>
      <c r="D43" s="94" t="s">
        <v>71</v>
      </c>
      <c r="E43" s="94">
        <v>24124.420000000002</v>
      </c>
    </row>
    <row r="44" spans="1:5" x14ac:dyDescent="0.3">
      <c r="A44" s="94">
        <v>2021</v>
      </c>
      <c r="B44" s="94">
        <v>2</v>
      </c>
      <c r="C44" s="94" t="s">
        <v>198</v>
      </c>
      <c r="D44" s="94" t="s">
        <v>201</v>
      </c>
      <c r="E44" s="94">
        <v>45600.25</v>
      </c>
    </row>
    <row r="45" spans="1:5" x14ac:dyDescent="0.3">
      <c r="A45" s="94">
        <v>2021</v>
      </c>
      <c r="B45" s="94">
        <v>3</v>
      </c>
      <c r="C45" s="94" t="s">
        <v>197</v>
      </c>
      <c r="D45" s="94" t="s">
        <v>201</v>
      </c>
      <c r="E45" s="94">
        <v>43373.16</v>
      </c>
    </row>
    <row r="46" spans="1:5" x14ac:dyDescent="0.3">
      <c r="A46" s="94">
        <v>2021</v>
      </c>
      <c r="B46" s="94">
        <v>3</v>
      </c>
      <c r="C46" s="94" t="s">
        <v>196</v>
      </c>
      <c r="D46" s="94" t="s">
        <v>201</v>
      </c>
      <c r="E46" s="94">
        <v>111973.15999999996</v>
      </c>
    </row>
    <row r="47" spans="1:5" x14ac:dyDescent="0.3">
      <c r="A47" s="94">
        <v>2021</v>
      </c>
      <c r="B47" s="94">
        <v>3</v>
      </c>
      <c r="C47" s="94" t="s">
        <v>198</v>
      </c>
      <c r="D47" s="94" t="s">
        <v>201</v>
      </c>
      <c r="E47" s="94">
        <v>27457.039999999997</v>
      </c>
    </row>
    <row r="48" spans="1:5" x14ac:dyDescent="0.3">
      <c r="A48" s="94">
        <v>2021</v>
      </c>
      <c r="B48" s="94">
        <v>3</v>
      </c>
      <c r="C48" s="94" t="s">
        <v>196</v>
      </c>
      <c r="D48" s="94" t="s">
        <v>72</v>
      </c>
      <c r="E48" s="94">
        <v>69324.699999999983</v>
      </c>
    </row>
    <row r="49" spans="1:5" x14ac:dyDescent="0.3">
      <c r="A49" s="94">
        <v>2021</v>
      </c>
      <c r="B49" s="94">
        <v>3</v>
      </c>
      <c r="C49" s="94" t="s">
        <v>196</v>
      </c>
      <c r="D49" s="94" t="s">
        <v>388</v>
      </c>
      <c r="E49" s="94">
        <v>19173.2</v>
      </c>
    </row>
    <row r="50" spans="1:5" x14ac:dyDescent="0.3">
      <c r="A50" s="94">
        <v>2021</v>
      </c>
      <c r="B50" s="94">
        <v>3</v>
      </c>
      <c r="C50" s="94" t="s">
        <v>196</v>
      </c>
      <c r="D50" s="94" t="s">
        <v>69</v>
      </c>
      <c r="E50" s="94">
        <v>34525.979999999996</v>
      </c>
    </row>
    <row r="51" spans="1:5" x14ac:dyDescent="0.3">
      <c r="A51" s="94">
        <v>2021</v>
      </c>
      <c r="B51" s="94">
        <v>3</v>
      </c>
      <c r="C51" s="94" t="s">
        <v>198</v>
      </c>
      <c r="D51" s="94" t="s">
        <v>69</v>
      </c>
      <c r="E51" s="94">
        <v>55489.520000000011</v>
      </c>
    </row>
    <row r="52" spans="1:5" x14ac:dyDescent="0.3">
      <c r="A52" s="94">
        <v>2021</v>
      </c>
      <c r="B52" s="94">
        <v>3</v>
      </c>
      <c r="C52" s="94" t="s">
        <v>197</v>
      </c>
      <c r="D52" s="94" t="s">
        <v>69</v>
      </c>
      <c r="E52" s="94">
        <v>31803.190000000002</v>
      </c>
    </row>
    <row r="53" spans="1:5" x14ac:dyDescent="0.3">
      <c r="A53" s="94">
        <v>2021</v>
      </c>
      <c r="B53" s="94">
        <v>3</v>
      </c>
      <c r="C53" s="94" t="s">
        <v>196</v>
      </c>
      <c r="D53" s="94" t="s">
        <v>70</v>
      </c>
      <c r="E53" s="94">
        <v>1023.15</v>
      </c>
    </row>
    <row r="54" spans="1:5" x14ac:dyDescent="0.3">
      <c r="A54" s="94">
        <v>2021</v>
      </c>
      <c r="B54" s="94">
        <v>3</v>
      </c>
      <c r="C54" s="94" t="s">
        <v>198</v>
      </c>
      <c r="D54" s="94" t="s">
        <v>72</v>
      </c>
      <c r="E54" s="94">
        <v>18450</v>
      </c>
    </row>
    <row r="55" spans="1:5" x14ac:dyDescent="0.3">
      <c r="A55" s="94">
        <v>2021</v>
      </c>
      <c r="B55" s="94">
        <v>3</v>
      </c>
      <c r="C55" s="94" t="s">
        <v>197</v>
      </c>
      <c r="D55" s="94" t="s">
        <v>70</v>
      </c>
      <c r="E55" s="94">
        <v>4468</v>
      </c>
    </row>
    <row r="56" spans="1:5" x14ac:dyDescent="0.3">
      <c r="A56" s="94">
        <v>2021</v>
      </c>
      <c r="B56" s="94">
        <v>3</v>
      </c>
      <c r="C56" s="94" t="s">
        <v>75</v>
      </c>
      <c r="D56" s="94" t="s">
        <v>71</v>
      </c>
      <c r="E56" s="94">
        <v>7108.5</v>
      </c>
    </row>
    <row r="57" spans="1:5" x14ac:dyDescent="0.3">
      <c r="A57" s="94">
        <v>2021</v>
      </c>
      <c r="B57" s="94">
        <v>3</v>
      </c>
      <c r="C57" s="94" t="s">
        <v>198</v>
      </c>
      <c r="D57" s="94" t="s">
        <v>71</v>
      </c>
      <c r="E57" s="94">
        <v>7916.8200000000006</v>
      </c>
    </row>
    <row r="58" spans="1:5" x14ac:dyDescent="0.3">
      <c r="A58" s="94">
        <v>2021</v>
      </c>
      <c r="B58" s="94">
        <v>3</v>
      </c>
      <c r="C58" s="94" t="s">
        <v>197</v>
      </c>
      <c r="D58" s="94" t="s">
        <v>71</v>
      </c>
      <c r="E58" s="94">
        <v>11059.630000000001</v>
      </c>
    </row>
    <row r="59" spans="1:5" x14ac:dyDescent="0.3">
      <c r="A59" s="94">
        <v>2021</v>
      </c>
      <c r="B59" s="94">
        <v>3</v>
      </c>
      <c r="C59" s="94" t="s">
        <v>198</v>
      </c>
      <c r="D59" s="94" t="s">
        <v>388</v>
      </c>
      <c r="E59" s="94">
        <v>6982.8700000000008</v>
      </c>
    </row>
    <row r="60" spans="1:5" x14ac:dyDescent="0.3">
      <c r="A60" s="94">
        <v>2021</v>
      </c>
      <c r="B60" s="94">
        <v>3</v>
      </c>
      <c r="C60" s="94" t="s">
        <v>198</v>
      </c>
      <c r="D60" s="94" t="s">
        <v>388</v>
      </c>
      <c r="E60" s="94">
        <v>3028.8900000000003</v>
      </c>
    </row>
    <row r="61" spans="1:5" x14ac:dyDescent="0.3">
      <c r="A61" s="94">
        <v>2021</v>
      </c>
      <c r="B61" s="94">
        <v>3</v>
      </c>
      <c r="C61" s="94" t="s">
        <v>197</v>
      </c>
      <c r="D61" s="94" t="s">
        <v>388</v>
      </c>
      <c r="E61" s="94">
        <v>4268</v>
      </c>
    </row>
    <row r="62" spans="1:5" x14ac:dyDescent="0.3">
      <c r="A62" s="94">
        <v>2021</v>
      </c>
      <c r="B62" s="94">
        <v>4</v>
      </c>
      <c r="C62" s="94" t="s">
        <v>196</v>
      </c>
      <c r="D62" s="94" t="s">
        <v>72</v>
      </c>
      <c r="E62" s="94">
        <v>108516.90000000001</v>
      </c>
    </row>
    <row r="63" spans="1:5" x14ac:dyDescent="0.3">
      <c r="A63" s="94">
        <v>2021</v>
      </c>
      <c r="B63" s="94">
        <v>4</v>
      </c>
      <c r="C63" s="94" t="s">
        <v>196</v>
      </c>
      <c r="D63" s="94" t="s">
        <v>201</v>
      </c>
      <c r="E63" s="94">
        <v>108465.25000000001</v>
      </c>
    </row>
    <row r="64" spans="1:5" x14ac:dyDescent="0.3">
      <c r="A64" s="94">
        <v>2021</v>
      </c>
      <c r="B64" s="94">
        <v>4</v>
      </c>
      <c r="C64" s="94" t="s">
        <v>197</v>
      </c>
      <c r="D64" s="94" t="s">
        <v>201</v>
      </c>
      <c r="E64" s="94">
        <v>82107.209999999992</v>
      </c>
    </row>
    <row r="65" spans="1:5" x14ac:dyDescent="0.3">
      <c r="A65" s="94">
        <v>2021</v>
      </c>
      <c r="B65" s="94">
        <v>4</v>
      </c>
      <c r="C65" s="94" t="s">
        <v>75</v>
      </c>
      <c r="D65" s="94" t="s">
        <v>71</v>
      </c>
      <c r="E65" s="94">
        <v>14782.649999999998</v>
      </c>
    </row>
    <row r="66" spans="1:5" x14ac:dyDescent="0.3">
      <c r="A66" s="94">
        <v>2021</v>
      </c>
      <c r="B66" s="94">
        <v>3</v>
      </c>
      <c r="C66" s="94" t="s">
        <v>197</v>
      </c>
      <c r="D66" s="94" t="s">
        <v>72</v>
      </c>
      <c r="E66" s="94">
        <v>6124</v>
      </c>
    </row>
    <row r="67" spans="1:5" x14ac:dyDescent="0.3">
      <c r="A67" s="94">
        <v>2021</v>
      </c>
      <c r="B67" s="94">
        <v>4</v>
      </c>
      <c r="C67" s="94" t="s">
        <v>196</v>
      </c>
      <c r="D67" s="94" t="s">
        <v>69</v>
      </c>
      <c r="E67" s="94">
        <v>36413.939999999995</v>
      </c>
    </row>
    <row r="68" spans="1:5" x14ac:dyDescent="0.3">
      <c r="A68" s="94">
        <v>2021</v>
      </c>
      <c r="B68" s="94">
        <v>4</v>
      </c>
      <c r="C68" s="94" t="s">
        <v>198</v>
      </c>
      <c r="D68" s="94" t="s">
        <v>69</v>
      </c>
      <c r="E68" s="94">
        <v>52571.339999999989</v>
      </c>
    </row>
    <row r="69" spans="1:5" x14ac:dyDescent="0.3">
      <c r="A69" s="94">
        <v>2021</v>
      </c>
      <c r="B69" s="94">
        <v>4</v>
      </c>
      <c r="C69" s="94" t="s">
        <v>197</v>
      </c>
      <c r="D69" s="94" t="s">
        <v>69</v>
      </c>
      <c r="E69" s="94">
        <v>35260.14</v>
      </c>
    </row>
    <row r="70" spans="1:5" x14ac:dyDescent="0.3">
      <c r="A70" s="94">
        <v>2021</v>
      </c>
      <c r="B70" s="94">
        <v>3</v>
      </c>
      <c r="C70" s="94" t="s">
        <v>197</v>
      </c>
      <c r="D70" s="94" t="s">
        <v>388</v>
      </c>
      <c r="E70" s="94">
        <v>2776.48</v>
      </c>
    </row>
    <row r="71" spans="1:5" x14ac:dyDescent="0.3">
      <c r="A71" s="94">
        <v>2021</v>
      </c>
      <c r="B71" s="94">
        <v>4</v>
      </c>
      <c r="C71" s="94" t="s">
        <v>197</v>
      </c>
      <c r="D71" s="94" t="s">
        <v>388</v>
      </c>
      <c r="E71" s="94">
        <v>1795.8</v>
      </c>
    </row>
    <row r="72" spans="1:5" x14ac:dyDescent="0.3">
      <c r="A72" s="94">
        <v>2021</v>
      </c>
      <c r="B72" s="94">
        <v>4</v>
      </c>
      <c r="C72" s="94" t="s">
        <v>196</v>
      </c>
      <c r="D72" s="94" t="s">
        <v>388</v>
      </c>
      <c r="E72" s="94">
        <v>18220.490000000002</v>
      </c>
    </row>
    <row r="73" spans="1:5" x14ac:dyDescent="0.3">
      <c r="A73" s="94">
        <v>2021</v>
      </c>
      <c r="B73" s="94">
        <v>4</v>
      </c>
      <c r="C73" s="94" t="s">
        <v>196</v>
      </c>
      <c r="D73" s="94" t="s">
        <v>388</v>
      </c>
      <c r="E73" s="94">
        <v>10780.080000000002</v>
      </c>
    </row>
    <row r="74" spans="1:5" x14ac:dyDescent="0.3">
      <c r="A74" s="94">
        <v>2021</v>
      </c>
      <c r="B74" s="94">
        <v>4</v>
      </c>
      <c r="C74" s="94" t="s">
        <v>198</v>
      </c>
      <c r="D74" s="94" t="s">
        <v>388</v>
      </c>
      <c r="E74" s="94">
        <v>11573.19</v>
      </c>
    </row>
    <row r="75" spans="1:5" x14ac:dyDescent="0.3">
      <c r="A75" s="94">
        <v>2021</v>
      </c>
      <c r="B75" s="94">
        <v>4</v>
      </c>
      <c r="C75" s="94" t="s">
        <v>197</v>
      </c>
      <c r="D75" s="94" t="s">
        <v>388</v>
      </c>
      <c r="E75" s="94">
        <v>4635.3</v>
      </c>
    </row>
    <row r="76" spans="1:5" x14ac:dyDescent="0.3">
      <c r="A76" s="94">
        <v>2021</v>
      </c>
      <c r="B76" s="94">
        <v>3</v>
      </c>
      <c r="C76" s="94" t="s">
        <v>198</v>
      </c>
      <c r="D76" s="94" t="s">
        <v>70</v>
      </c>
      <c r="E76" s="94">
        <v>1121.8</v>
      </c>
    </row>
    <row r="77" spans="1:5" x14ac:dyDescent="0.3">
      <c r="A77" s="94">
        <v>2021</v>
      </c>
      <c r="B77" s="94">
        <v>4</v>
      </c>
      <c r="C77" s="94" t="s">
        <v>196</v>
      </c>
      <c r="D77" s="94" t="s">
        <v>71</v>
      </c>
      <c r="E77" s="94">
        <v>27443.230000000003</v>
      </c>
    </row>
    <row r="78" spans="1:5" x14ac:dyDescent="0.3">
      <c r="A78" s="94">
        <v>2021</v>
      </c>
      <c r="B78" s="94">
        <v>4</v>
      </c>
      <c r="C78" s="94" t="s">
        <v>198</v>
      </c>
      <c r="D78" s="94" t="s">
        <v>72</v>
      </c>
      <c r="E78" s="94">
        <v>97800.2</v>
      </c>
    </row>
    <row r="79" spans="1:5" x14ac:dyDescent="0.3">
      <c r="A79" s="94">
        <v>2021</v>
      </c>
      <c r="B79" s="94">
        <v>4</v>
      </c>
      <c r="C79" s="94" t="s">
        <v>198</v>
      </c>
      <c r="D79" s="94" t="s">
        <v>201</v>
      </c>
      <c r="E79" s="94">
        <v>23830.850000000002</v>
      </c>
    </row>
    <row r="80" spans="1:5" x14ac:dyDescent="0.3">
      <c r="A80" s="94">
        <v>2021</v>
      </c>
      <c r="B80" s="94">
        <v>4</v>
      </c>
      <c r="C80" s="94" t="s">
        <v>197</v>
      </c>
      <c r="D80" s="94" t="s">
        <v>70</v>
      </c>
      <c r="E80" s="94">
        <v>2546</v>
      </c>
    </row>
    <row r="81" spans="1:5" x14ac:dyDescent="0.3">
      <c r="A81" s="94">
        <v>2021</v>
      </c>
      <c r="B81" s="94">
        <v>4</v>
      </c>
      <c r="C81" s="94" t="s">
        <v>198</v>
      </c>
      <c r="D81" s="94" t="s">
        <v>70</v>
      </c>
      <c r="E81" s="94">
        <v>15542</v>
      </c>
    </row>
    <row r="82" spans="1:5" x14ac:dyDescent="0.3">
      <c r="A82" s="94">
        <v>2021</v>
      </c>
      <c r="B82" s="94">
        <v>4</v>
      </c>
      <c r="C82" s="94" t="s">
        <v>198</v>
      </c>
      <c r="D82" s="94" t="s">
        <v>71</v>
      </c>
      <c r="E82" s="94">
        <v>8640.17</v>
      </c>
    </row>
    <row r="83" spans="1:5" x14ac:dyDescent="0.3">
      <c r="A83" s="94">
        <v>2021</v>
      </c>
      <c r="B83" s="94">
        <v>4</v>
      </c>
      <c r="C83" s="94" t="s">
        <v>197</v>
      </c>
      <c r="D83" s="94" t="s">
        <v>71</v>
      </c>
      <c r="E83" s="94">
        <v>41548.709999999992</v>
      </c>
    </row>
    <row r="84" spans="1:5" x14ac:dyDescent="0.3">
      <c r="A84" s="94">
        <v>2021</v>
      </c>
      <c r="B84" s="94">
        <v>4</v>
      </c>
      <c r="C84" s="94" t="s">
        <v>197</v>
      </c>
      <c r="D84" s="94" t="s">
        <v>72</v>
      </c>
      <c r="E84" s="94">
        <v>105</v>
      </c>
    </row>
    <row r="85" spans="1:5" x14ac:dyDescent="0.3">
      <c r="A85" s="94">
        <v>2021</v>
      </c>
      <c r="B85" s="94">
        <v>4</v>
      </c>
      <c r="C85" s="94" t="s">
        <v>198</v>
      </c>
      <c r="D85" s="94" t="s">
        <v>388</v>
      </c>
      <c r="E85" s="94">
        <v>1804.77</v>
      </c>
    </row>
    <row r="86" spans="1:5" x14ac:dyDescent="0.3">
      <c r="A86" s="94">
        <v>2021</v>
      </c>
      <c r="B86" s="94">
        <v>4</v>
      </c>
      <c r="C86" s="94" t="s">
        <v>196</v>
      </c>
      <c r="D86" s="94" t="s">
        <v>630</v>
      </c>
      <c r="E86" s="94">
        <v>2064.4</v>
      </c>
    </row>
    <row r="87" spans="1:5" x14ac:dyDescent="0.3">
      <c r="A87" s="94">
        <v>2021</v>
      </c>
      <c r="B87" s="94">
        <v>4</v>
      </c>
      <c r="C87" s="94" t="s">
        <v>196</v>
      </c>
      <c r="D87" s="94" t="s">
        <v>70</v>
      </c>
      <c r="E87" s="94">
        <v>2226</v>
      </c>
    </row>
    <row r="88" spans="1:5" x14ac:dyDescent="0.3">
      <c r="A88" s="94">
        <v>2021</v>
      </c>
      <c r="B88" s="94">
        <v>4</v>
      </c>
      <c r="C88" s="94" t="s">
        <v>198</v>
      </c>
      <c r="D88" s="94" t="s">
        <v>630</v>
      </c>
      <c r="E88" s="94">
        <v>440.4</v>
      </c>
    </row>
    <row r="89" spans="1:5" x14ac:dyDescent="0.3">
      <c r="A89" s="94">
        <v>2022</v>
      </c>
      <c r="B89" s="94">
        <v>1</v>
      </c>
      <c r="C89" s="94" t="s">
        <v>197</v>
      </c>
      <c r="D89" s="94" t="s">
        <v>71</v>
      </c>
      <c r="E89" s="94">
        <v>40670.26999999999</v>
      </c>
    </row>
    <row r="90" spans="1:5" x14ac:dyDescent="0.3">
      <c r="A90" s="94">
        <v>2022</v>
      </c>
      <c r="B90" s="94">
        <v>1</v>
      </c>
      <c r="C90" s="94" t="s">
        <v>196</v>
      </c>
      <c r="D90" s="94" t="s">
        <v>71</v>
      </c>
      <c r="E90" s="94">
        <v>20700.219999999998</v>
      </c>
    </row>
    <row r="91" spans="1:5" x14ac:dyDescent="0.3">
      <c r="A91" s="94">
        <v>2022</v>
      </c>
      <c r="B91" s="94">
        <v>1</v>
      </c>
      <c r="C91" s="94" t="s">
        <v>196</v>
      </c>
      <c r="D91" s="94" t="s">
        <v>201</v>
      </c>
      <c r="E91" s="94">
        <v>159641.48999999996</v>
      </c>
    </row>
    <row r="92" spans="1:5" x14ac:dyDescent="0.3">
      <c r="A92" s="94">
        <v>2022</v>
      </c>
      <c r="B92" s="94">
        <v>1</v>
      </c>
      <c r="C92" s="94" t="s">
        <v>198</v>
      </c>
      <c r="D92" s="94" t="s">
        <v>71</v>
      </c>
      <c r="E92" s="94">
        <v>14576.54</v>
      </c>
    </row>
    <row r="93" spans="1:5" x14ac:dyDescent="0.3">
      <c r="A93" s="94">
        <v>2022</v>
      </c>
      <c r="B93" s="94">
        <v>1</v>
      </c>
      <c r="C93" s="94" t="s">
        <v>75</v>
      </c>
      <c r="D93" s="94" t="s">
        <v>71</v>
      </c>
      <c r="E93" s="94">
        <v>19057.32</v>
      </c>
    </row>
    <row r="94" spans="1:5" x14ac:dyDescent="0.3">
      <c r="A94" s="94">
        <v>2022</v>
      </c>
      <c r="B94" s="94">
        <v>1</v>
      </c>
      <c r="C94" s="94" t="s">
        <v>197</v>
      </c>
      <c r="D94" s="94" t="s">
        <v>201</v>
      </c>
      <c r="E94" s="94">
        <v>72703.539999999994</v>
      </c>
    </row>
    <row r="95" spans="1:5" x14ac:dyDescent="0.3">
      <c r="A95" s="94">
        <v>2022</v>
      </c>
      <c r="B95" s="94">
        <v>1</v>
      </c>
      <c r="C95" s="94" t="s">
        <v>198</v>
      </c>
      <c r="D95" s="94" t="s">
        <v>201</v>
      </c>
      <c r="E95" s="94">
        <v>60826.44</v>
      </c>
    </row>
    <row r="96" spans="1:5" x14ac:dyDescent="0.3">
      <c r="A96" s="94">
        <v>2022</v>
      </c>
      <c r="B96" s="94">
        <v>1</v>
      </c>
      <c r="C96" s="94" t="s">
        <v>75</v>
      </c>
      <c r="D96" s="94" t="s">
        <v>201</v>
      </c>
      <c r="E96" s="94">
        <v>16142.300000000001</v>
      </c>
    </row>
    <row r="97" spans="1:5" x14ac:dyDescent="0.3">
      <c r="A97" s="94">
        <v>2022</v>
      </c>
      <c r="B97" s="94">
        <v>1</v>
      </c>
      <c r="C97" s="94" t="s">
        <v>197</v>
      </c>
      <c r="D97" s="94" t="s">
        <v>72</v>
      </c>
      <c r="E97" s="94">
        <v>3469</v>
      </c>
    </row>
    <row r="98" spans="1:5" x14ac:dyDescent="0.3">
      <c r="A98" s="94">
        <v>2022</v>
      </c>
      <c r="B98" s="94">
        <v>1</v>
      </c>
      <c r="C98" s="94" t="s">
        <v>198</v>
      </c>
      <c r="D98" s="94" t="s">
        <v>72</v>
      </c>
      <c r="E98" s="94">
        <v>75249.899999999994</v>
      </c>
    </row>
    <row r="99" spans="1:5" x14ac:dyDescent="0.3">
      <c r="A99" s="94">
        <v>2022</v>
      </c>
      <c r="B99" s="94">
        <v>1</v>
      </c>
      <c r="C99" s="94" t="s">
        <v>196</v>
      </c>
      <c r="D99" s="94" t="s">
        <v>72</v>
      </c>
      <c r="E99" s="94">
        <v>125443.50000000001</v>
      </c>
    </row>
    <row r="100" spans="1:5" x14ac:dyDescent="0.3">
      <c r="A100" s="94">
        <v>2022</v>
      </c>
      <c r="B100" s="94">
        <v>1</v>
      </c>
      <c r="C100" s="94" t="s">
        <v>196</v>
      </c>
      <c r="D100" s="94" t="s">
        <v>629</v>
      </c>
      <c r="E100" s="94">
        <v>2493</v>
      </c>
    </row>
    <row r="101" spans="1:5" x14ac:dyDescent="0.3">
      <c r="A101" s="94">
        <v>2022</v>
      </c>
      <c r="B101" s="94">
        <v>1</v>
      </c>
      <c r="C101" s="94" t="s">
        <v>75</v>
      </c>
      <c r="D101" s="94" t="s">
        <v>630</v>
      </c>
      <c r="E101" s="94">
        <v>1635.8</v>
      </c>
    </row>
    <row r="102" spans="1:5" x14ac:dyDescent="0.3">
      <c r="A102" s="94">
        <v>2022</v>
      </c>
      <c r="B102" s="94">
        <v>1</v>
      </c>
      <c r="C102" s="94" t="s">
        <v>196</v>
      </c>
      <c r="D102" s="94" t="s">
        <v>69</v>
      </c>
      <c r="E102" s="94">
        <v>51166.830000000009</v>
      </c>
    </row>
    <row r="103" spans="1:5" x14ac:dyDescent="0.3">
      <c r="A103" s="94">
        <v>2022</v>
      </c>
      <c r="B103" s="94">
        <v>1</v>
      </c>
      <c r="C103" s="94" t="s">
        <v>198</v>
      </c>
      <c r="D103" s="94" t="s">
        <v>69</v>
      </c>
      <c r="E103" s="94">
        <v>99243.340000000011</v>
      </c>
    </row>
    <row r="104" spans="1:5" x14ac:dyDescent="0.3">
      <c r="A104" s="94">
        <v>2022</v>
      </c>
      <c r="B104" s="94">
        <v>1</v>
      </c>
      <c r="C104" s="94" t="s">
        <v>197</v>
      </c>
      <c r="D104" s="94" t="s">
        <v>69</v>
      </c>
      <c r="E104" s="94">
        <v>30521.54</v>
      </c>
    </row>
    <row r="105" spans="1:5" x14ac:dyDescent="0.3">
      <c r="A105" s="94">
        <v>2022</v>
      </c>
      <c r="B105" s="94">
        <v>1</v>
      </c>
      <c r="C105" s="94" t="s">
        <v>196</v>
      </c>
      <c r="D105" s="94" t="s">
        <v>388</v>
      </c>
      <c r="E105" s="94">
        <v>6935.13</v>
      </c>
    </row>
    <row r="106" spans="1:5" x14ac:dyDescent="0.3">
      <c r="A106" s="94">
        <v>2022</v>
      </c>
      <c r="B106" s="94">
        <v>1</v>
      </c>
      <c r="C106" s="94" t="s">
        <v>198</v>
      </c>
      <c r="D106" s="94" t="s">
        <v>388</v>
      </c>
      <c r="E106" s="94">
        <v>2473.65</v>
      </c>
    </row>
    <row r="107" spans="1:5" x14ac:dyDescent="0.3">
      <c r="A107" s="94">
        <v>2022</v>
      </c>
      <c r="B107" s="94">
        <v>1</v>
      </c>
      <c r="C107" s="94" t="s">
        <v>196</v>
      </c>
      <c r="D107" s="94" t="s">
        <v>388</v>
      </c>
      <c r="E107" s="94">
        <v>1382.5</v>
      </c>
    </row>
    <row r="108" spans="1:5" x14ac:dyDescent="0.3">
      <c r="A108" s="94">
        <v>2022</v>
      </c>
      <c r="B108" s="94">
        <v>1</v>
      </c>
      <c r="C108" s="94" t="s">
        <v>198</v>
      </c>
      <c r="D108" s="94" t="s">
        <v>388</v>
      </c>
      <c r="E108" s="94">
        <v>12322.479999999998</v>
      </c>
    </row>
    <row r="109" spans="1:5" x14ac:dyDescent="0.3">
      <c r="A109" s="94">
        <v>2022</v>
      </c>
      <c r="B109" s="94">
        <v>1</v>
      </c>
      <c r="C109" s="94" t="s">
        <v>196</v>
      </c>
      <c r="D109" s="94" t="s">
        <v>630</v>
      </c>
      <c r="E109" s="94">
        <v>631.20000000000005</v>
      </c>
    </row>
    <row r="110" spans="1:5" x14ac:dyDescent="0.3">
      <c r="A110" s="94">
        <v>2022</v>
      </c>
      <c r="B110" s="94">
        <v>1</v>
      </c>
      <c r="C110" s="94" t="s">
        <v>75</v>
      </c>
      <c r="D110" s="94" t="s">
        <v>72</v>
      </c>
      <c r="E110" s="94">
        <v>27029.9</v>
      </c>
    </row>
    <row r="111" spans="1:5" x14ac:dyDescent="0.3">
      <c r="A111" s="94">
        <v>2022</v>
      </c>
      <c r="B111" s="94">
        <v>1</v>
      </c>
      <c r="C111" s="94" t="s">
        <v>198</v>
      </c>
      <c r="D111" s="94" t="s">
        <v>630</v>
      </c>
      <c r="E111" s="94">
        <v>715.6</v>
      </c>
    </row>
    <row r="112" spans="1:5" x14ac:dyDescent="0.3">
      <c r="A112" s="94">
        <v>2022</v>
      </c>
      <c r="B112" s="94">
        <v>1</v>
      </c>
      <c r="C112" s="94" t="s">
        <v>197</v>
      </c>
      <c r="D112" s="94" t="s">
        <v>388</v>
      </c>
      <c r="E112" s="94">
        <v>993.77</v>
      </c>
    </row>
    <row r="113" spans="1:5" x14ac:dyDescent="0.3">
      <c r="A113" s="94">
        <v>2022</v>
      </c>
      <c r="B113" s="94">
        <v>2</v>
      </c>
      <c r="C113" s="94" t="s">
        <v>196</v>
      </c>
      <c r="D113" s="94" t="s">
        <v>71</v>
      </c>
      <c r="E113" s="94">
        <v>20837.979999999996</v>
      </c>
    </row>
    <row r="114" spans="1:5" x14ac:dyDescent="0.3">
      <c r="A114" s="94">
        <v>2022</v>
      </c>
      <c r="B114" s="94">
        <v>2</v>
      </c>
      <c r="C114" s="94" t="s">
        <v>196</v>
      </c>
      <c r="D114" s="94" t="s">
        <v>201</v>
      </c>
      <c r="E114" s="94">
        <v>132511.1</v>
      </c>
    </row>
    <row r="115" spans="1:5" x14ac:dyDescent="0.3">
      <c r="A115" s="94">
        <v>2022</v>
      </c>
      <c r="B115" s="94">
        <v>2</v>
      </c>
      <c r="C115" s="94" t="s">
        <v>197</v>
      </c>
      <c r="D115" s="94" t="s">
        <v>201</v>
      </c>
      <c r="E115" s="94">
        <v>96113.53</v>
      </c>
    </row>
    <row r="116" spans="1:5" x14ac:dyDescent="0.3">
      <c r="A116" s="94">
        <v>2022</v>
      </c>
      <c r="B116" s="94">
        <v>2</v>
      </c>
      <c r="C116" s="94" t="s">
        <v>198</v>
      </c>
      <c r="D116" s="94" t="s">
        <v>201</v>
      </c>
      <c r="E116" s="94">
        <v>21453.730000000003</v>
      </c>
    </row>
    <row r="117" spans="1:5" x14ac:dyDescent="0.3">
      <c r="A117" s="94">
        <v>2022</v>
      </c>
      <c r="B117" s="94">
        <v>2</v>
      </c>
      <c r="C117" s="94" t="s">
        <v>196</v>
      </c>
      <c r="D117" s="94" t="s">
        <v>72</v>
      </c>
      <c r="E117" s="94">
        <v>254046.02000000002</v>
      </c>
    </row>
    <row r="118" spans="1:5" x14ac:dyDescent="0.3">
      <c r="A118" s="94">
        <v>2022</v>
      </c>
      <c r="B118" s="94">
        <v>2</v>
      </c>
      <c r="C118" s="94" t="s">
        <v>198</v>
      </c>
      <c r="D118" s="94" t="s">
        <v>72</v>
      </c>
      <c r="E118" s="94">
        <v>39744.6</v>
      </c>
    </row>
    <row r="119" spans="1:5" x14ac:dyDescent="0.3">
      <c r="A119" s="94">
        <v>2022</v>
      </c>
      <c r="B119" s="94">
        <v>1</v>
      </c>
      <c r="C119" s="94" t="s">
        <v>75</v>
      </c>
      <c r="D119" s="94" t="s">
        <v>70</v>
      </c>
      <c r="E119" s="94">
        <v>8336.9599999999991</v>
      </c>
    </row>
    <row r="120" spans="1:5" x14ac:dyDescent="0.3">
      <c r="A120" s="94">
        <v>2022</v>
      </c>
      <c r="B120" s="94">
        <v>1</v>
      </c>
      <c r="C120" s="94" t="s">
        <v>196</v>
      </c>
      <c r="D120" s="94" t="s">
        <v>70</v>
      </c>
      <c r="E120" s="94">
        <v>2336</v>
      </c>
    </row>
    <row r="121" spans="1:5" x14ac:dyDescent="0.3">
      <c r="A121" s="94">
        <v>2022</v>
      </c>
      <c r="B121" s="94">
        <v>1</v>
      </c>
      <c r="C121" s="94" t="s">
        <v>198</v>
      </c>
      <c r="D121" s="94" t="s">
        <v>70</v>
      </c>
      <c r="E121" s="94">
        <v>614.6</v>
      </c>
    </row>
    <row r="122" spans="1:5" x14ac:dyDescent="0.3">
      <c r="A122" s="94">
        <v>2022</v>
      </c>
      <c r="B122" s="94">
        <v>1</v>
      </c>
      <c r="C122" s="94" t="s">
        <v>198</v>
      </c>
      <c r="D122" s="94" t="s">
        <v>629</v>
      </c>
      <c r="E122" s="94">
        <v>1400</v>
      </c>
    </row>
    <row r="123" spans="1:5" x14ac:dyDescent="0.3">
      <c r="A123" s="94">
        <v>2022</v>
      </c>
      <c r="B123" s="94">
        <v>1</v>
      </c>
      <c r="C123" s="94" t="s">
        <v>196</v>
      </c>
      <c r="D123" s="94" t="s">
        <v>200</v>
      </c>
      <c r="E123" s="94">
        <v>14085.53</v>
      </c>
    </row>
    <row r="124" spans="1:5" x14ac:dyDescent="0.3">
      <c r="A124" s="94">
        <v>2022</v>
      </c>
      <c r="B124" s="94">
        <v>1</v>
      </c>
      <c r="C124" s="94" t="s">
        <v>198</v>
      </c>
      <c r="D124" s="94" t="s">
        <v>200</v>
      </c>
      <c r="E124" s="94">
        <v>6114.7199999999993</v>
      </c>
    </row>
    <row r="125" spans="1:5" x14ac:dyDescent="0.3">
      <c r="A125" s="94">
        <v>2022</v>
      </c>
      <c r="B125" s="94">
        <v>1</v>
      </c>
      <c r="C125" s="94" t="s">
        <v>75</v>
      </c>
      <c r="D125" s="94" t="s">
        <v>200</v>
      </c>
      <c r="E125" s="94">
        <v>1996.21</v>
      </c>
    </row>
    <row r="126" spans="1:5" x14ac:dyDescent="0.3">
      <c r="A126" s="94">
        <v>2022</v>
      </c>
      <c r="B126" s="94">
        <v>1</v>
      </c>
      <c r="C126" s="94" t="s">
        <v>197</v>
      </c>
      <c r="D126" s="94" t="s">
        <v>70</v>
      </c>
      <c r="E126" s="94">
        <v>15705</v>
      </c>
    </row>
    <row r="127" spans="1:5" x14ac:dyDescent="0.3">
      <c r="A127" s="94">
        <v>2022</v>
      </c>
      <c r="B127" s="94">
        <v>2</v>
      </c>
      <c r="C127" s="94" t="s">
        <v>196</v>
      </c>
      <c r="D127" s="94" t="s">
        <v>69</v>
      </c>
      <c r="E127" s="94">
        <v>57565.16</v>
      </c>
    </row>
    <row r="128" spans="1:5" x14ac:dyDescent="0.3">
      <c r="A128" s="94">
        <v>2022</v>
      </c>
      <c r="B128" s="94">
        <v>2</v>
      </c>
      <c r="C128" s="94" t="s">
        <v>198</v>
      </c>
      <c r="D128" s="94" t="s">
        <v>69</v>
      </c>
      <c r="E128" s="94">
        <v>97089.410000000018</v>
      </c>
    </row>
    <row r="129" spans="1:5" x14ac:dyDescent="0.3">
      <c r="A129" s="94">
        <v>2022</v>
      </c>
      <c r="B129" s="94">
        <v>2</v>
      </c>
      <c r="C129" s="94" t="s">
        <v>198</v>
      </c>
      <c r="D129" s="94" t="s">
        <v>388</v>
      </c>
      <c r="E129" s="94">
        <v>13169.92</v>
      </c>
    </row>
    <row r="130" spans="1:5" x14ac:dyDescent="0.3">
      <c r="A130" s="94">
        <v>2022</v>
      </c>
      <c r="B130" s="94">
        <v>2</v>
      </c>
      <c r="C130" s="94" t="s">
        <v>196</v>
      </c>
      <c r="D130" s="94" t="s">
        <v>388</v>
      </c>
      <c r="E130" s="94">
        <v>81885.279999999984</v>
      </c>
    </row>
    <row r="131" spans="1:5" x14ac:dyDescent="0.3">
      <c r="A131" s="94">
        <v>2022</v>
      </c>
      <c r="B131" s="94">
        <v>1</v>
      </c>
      <c r="C131" s="94" t="s">
        <v>197</v>
      </c>
      <c r="D131" s="94" t="s">
        <v>200</v>
      </c>
      <c r="E131" s="94">
        <v>963.7</v>
      </c>
    </row>
    <row r="132" spans="1:5" x14ac:dyDescent="0.3">
      <c r="A132" s="94">
        <v>2022</v>
      </c>
      <c r="B132" s="94">
        <v>2</v>
      </c>
      <c r="C132" s="94" t="s">
        <v>197</v>
      </c>
      <c r="D132" s="94" t="s">
        <v>71</v>
      </c>
      <c r="E132" s="94">
        <v>20728.329999999998</v>
      </c>
    </row>
    <row r="133" spans="1:5" x14ac:dyDescent="0.3">
      <c r="A133" s="94">
        <v>2022</v>
      </c>
      <c r="B133" s="94">
        <v>2</v>
      </c>
      <c r="C133" s="94" t="s">
        <v>75</v>
      </c>
      <c r="D133" s="94" t="s">
        <v>72</v>
      </c>
      <c r="E133" s="94">
        <v>16640.099999999999</v>
      </c>
    </row>
    <row r="134" spans="1:5" x14ac:dyDescent="0.3">
      <c r="A134" s="94">
        <v>2022</v>
      </c>
      <c r="B134" s="94">
        <v>2</v>
      </c>
      <c r="C134" s="94" t="s">
        <v>197</v>
      </c>
      <c r="D134" s="94" t="s">
        <v>72</v>
      </c>
      <c r="E134" s="94">
        <v>5191.2</v>
      </c>
    </row>
    <row r="135" spans="1:5" x14ac:dyDescent="0.3">
      <c r="A135" s="94">
        <v>2022</v>
      </c>
      <c r="B135" s="94">
        <v>2</v>
      </c>
      <c r="C135" s="94" t="s">
        <v>75</v>
      </c>
      <c r="D135" s="94" t="s">
        <v>70</v>
      </c>
      <c r="E135" s="94">
        <v>18600.390000000003</v>
      </c>
    </row>
    <row r="136" spans="1:5" x14ac:dyDescent="0.3">
      <c r="A136" s="94">
        <v>2022</v>
      </c>
      <c r="B136" s="94">
        <v>2</v>
      </c>
      <c r="C136" s="94" t="s">
        <v>197</v>
      </c>
      <c r="D136" s="94" t="s">
        <v>629</v>
      </c>
      <c r="E136" s="94">
        <v>1460</v>
      </c>
    </row>
    <row r="137" spans="1:5" x14ac:dyDescent="0.3">
      <c r="A137" s="94">
        <v>2022</v>
      </c>
      <c r="B137" s="94">
        <v>2</v>
      </c>
      <c r="C137" s="94" t="s">
        <v>196</v>
      </c>
      <c r="D137" s="94" t="s">
        <v>629</v>
      </c>
      <c r="E137" s="94">
        <v>770</v>
      </c>
    </row>
    <row r="138" spans="1:5" x14ac:dyDescent="0.3">
      <c r="A138" s="94">
        <v>2022</v>
      </c>
      <c r="B138" s="94">
        <v>2</v>
      </c>
      <c r="C138" s="94" t="s">
        <v>75</v>
      </c>
      <c r="D138" s="94" t="s">
        <v>201</v>
      </c>
      <c r="E138" s="94">
        <v>10129.959999999999</v>
      </c>
    </row>
    <row r="139" spans="1:5" x14ac:dyDescent="0.3">
      <c r="A139" s="94">
        <v>2022</v>
      </c>
      <c r="B139" s="94">
        <v>2</v>
      </c>
      <c r="C139" s="94" t="s">
        <v>75</v>
      </c>
      <c r="D139" s="94" t="s">
        <v>71</v>
      </c>
      <c r="E139" s="94">
        <v>22366.43</v>
      </c>
    </row>
    <row r="140" spans="1:5" x14ac:dyDescent="0.3">
      <c r="A140" s="94">
        <v>2022</v>
      </c>
      <c r="B140" s="94">
        <v>2</v>
      </c>
      <c r="C140" s="94" t="s">
        <v>198</v>
      </c>
      <c r="D140" s="94" t="s">
        <v>71</v>
      </c>
      <c r="E140" s="94">
        <v>12995.55</v>
      </c>
    </row>
    <row r="141" spans="1:5" x14ac:dyDescent="0.3">
      <c r="A141" s="94">
        <v>2022</v>
      </c>
      <c r="B141" s="94">
        <v>2</v>
      </c>
      <c r="C141" s="94" t="s">
        <v>197</v>
      </c>
      <c r="D141" s="94" t="s">
        <v>70</v>
      </c>
      <c r="E141" s="94">
        <v>36358.080000000002</v>
      </c>
    </row>
    <row r="142" spans="1:5" x14ac:dyDescent="0.3">
      <c r="A142" s="94">
        <v>2022</v>
      </c>
      <c r="B142" s="94">
        <v>2</v>
      </c>
      <c r="C142" s="94" t="s">
        <v>197</v>
      </c>
      <c r="D142" s="94" t="s">
        <v>69</v>
      </c>
      <c r="E142" s="94">
        <v>47944.719999999994</v>
      </c>
    </row>
    <row r="143" spans="1:5" x14ac:dyDescent="0.3">
      <c r="A143" s="94">
        <v>2022</v>
      </c>
      <c r="B143" s="94">
        <v>2</v>
      </c>
      <c r="C143" s="94" t="s">
        <v>196</v>
      </c>
      <c r="D143" s="94" t="s">
        <v>388</v>
      </c>
      <c r="E143" s="94">
        <v>11397.01</v>
      </c>
    </row>
    <row r="144" spans="1:5" x14ac:dyDescent="0.3">
      <c r="A144" s="94">
        <v>2022</v>
      </c>
      <c r="B144" s="94">
        <v>2</v>
      </c>
      <c r="C144" s="94" t="s">
        <v>198</v>
      </c>
      <c r="D144" s="94" t="s">
        <v>388</v>
      </c>
      <c r="E144" s="94">
        <v>6343.51</v>
      </c>
    </row>
    <row r="145" spans="1:5" x14ac:dyDescent="0.3">
      <c r="A145" s="94">
        <v>2022</v>
      </c>
      <c r="B145" s="94">
        <v>2</v>
      </c>
      <c r="C145" s="94" t="s">
        <v>197</v>
      </c>
      <c r="D145" s="94" t="s">
        <v>388</v>
      </c>
      <c r="E145" s="94">
        <v>3042.51</v>
      </c>
    </row>
    <row r="146" spans="1:5" x14ac:dyDescent="0.3">
      <c r="A146" s="94">
        <v>2022</v>
      </c>
      <c r="B146" s="94">
        <v>2</v>
      </c>
      <c r="C146" s="94" t="s">
        <v>196</v>
      </c>
      <c r="D146" s="94" t="s">
        <v>70</v>
      </c>
      <c r="E146" s="94">
        <v>17303.64</v>
      </c>
    </row>
    <row r="147" spans="1:5" x14ac:dyDescent="0.3">
      <c r="A147" s="94">
        <v>2022</v>
      </c>
      <c r="B147" s="94">
        <v>2</v>
      </c>
      <c r="C147" s="94" t="s">
        <v>196</v>
      </c>
      <c r="D147" s="94" t="s">
        <v>200</v>
      </c>
      <c r="E147" s="94">
        <v>27975.21</v>
      </c>
    </row>
    <row r="148" spans="1:5" x14ac:dyDescent="0.3">
      <c r="A148" s="94">
        <v>2022</v>
      </c>
      <c r="B148" s="94">
        <v>2</v>
      </c>
      <c r="C148" s="94" t="s">
        <v>197</v>
      </c>
      <c r="D148" s="94" t="s">
        <v>200</v>
      </c>
      <c r="E148" s="94">
        <v>10209.06</v>
      </c>
    </row>
    <row r="149" spans="1:5" x14ac:dyDescent="0.3">
      <c r="A149" s="94">
        <v>2022</v>
      </c>
      <c r="B149" s="94">
        <v>3</v>
      </c>
      <c r="C149" s="94" t="s">
        <v>196</v>
      </c>
      <c r="D149" s="94" t="s">
        <v>72</v>
      </c>
      <c r="E149" s="94">
        <v>245970.30000000002</v>
      </c>
    </row>
    <row r="150" spans="1:5" x14ac:dyDescent="0.3">
      <c r="A150" s="94">
        <v>2022</v>
      </c>
      <c r="B150" s="94">
        <v>3</v>
      </c>
      <c r="C150" s="94" t="s">
        <v>198</v>
      </c>
      <c r="D150" s="94" t="s">
        <v>72</v>
      </c>
      <c r="E150" s="94">
        <v>35060.6</v>
      </c>
    </row>
    <row r="151" spans="1:5" x14ac:dyDescent="0.3">
      <c r="A151" s="94">
        <v>2022</v>
      </c>
      <c r="B151" s="94">
        <v>2</v>
      </c>
      <c r="C151" s="94" t="s">
        <v>197</v>
      </c>
      <c r="D151" s="94" t="s">
        <v>388</v>
      </c>
      <c r="E151" s="94">
        <v>2538.5</v>
      </c>
    </row>
    <row r="152" spans="1:5" x14ac:dyDescent="0.3">
      <c r="A152" s="94">
        <v>2022</v>
      </c>
      <c r="B152" s="94">
        <v>2</v>
      </c>
      <c r="C152" s="94" t="s">
        <v>198</v>
      </c>
      <c r="D152" s="94" t="s">
        <v>200</v>
      </c>
      <c r="E152" s="94">
        <v>2770.25</v>
      </c>
    </row>
    <row r="153" spans="1:5" x14ac:dyDescent="0.3">
      <c r="A153" s="94">
        <v>2022</v>
      </c>
      <c r="B153" s="94">
        <v>3</v>
      </c>
      <c r="C153" s="94" t="s">
        <v>196</v>
      </c>
      <c r="D153" s="94" t="s">
        <v>71</v>
      </c>
      <c r="E153" s="94">
        <v>22969.94</v>
      </c>
    </row>
    <row r="154" spans="1:5" x14ac:dyDescent="0.3">
      <c r="A154" s="94">
        <v>2022</v>
      </c>
      <c r="B154" s="94">
        <v>3</v>
      </c>
      <c r="C154" s="94" t="s">
        <v>197</v>
      </c>
      <c r="D154" s="94" t="s">
        <v>71</v>
      </c>
      <c r="E154" s="94">
        <v>36670.5</v>
      </c>
    </row>
    <row r="155" spans="1:5" x14ac:dyDescent="0.3">
      <c r="A155" s="94">
        <v>2022</v>
      </c>
      <c r="B155" s="94">
        <v>3</v>
      </c>
      <c r="C155" s="94" t="s">
        <v>198</v>
      </c>
      <c r="D155" s="94" t="s">
        <v>629</v>
      </c>
      <c r="E155" s="94">
        <v>5148.8</v>
      </c>
    </row>
    <row r="156" spans="1:5" x14ac:dyDescent="0.3">
      <c r="A156" s="94">
        <v>2022</v>
      </c>
      <c r="B156" s="94">
        <v>3</v>
      </c>
      <c r="C156" s="94" t="s">
        <v>196</v>
      </c>
      <c r="D156" s="94" t="s">
        <v>629</v>
      </c>
      <c r="E156" s="94">
        <v>4040</v>
      </c>
    </row>
    <row r="157" spans="1:5" x14ac:dyDescent="0.3">
      <c r="A157" s="94">
        <v>2022</v>
      </c>
      <c r="B157" s="94">
        <v>2</v>
      </c>
      <c r="C157" s="94" t="s">
        <v>75</v>
      </c>
      <c r="D157" s="94" t="s">
        <v>630</v>
      </c>
      <c r="E157" s="94">
        <v>1572</v>
      </c>
    </row>
    <row r="158" spans="1:5" x14ac:dyDescent="0.3">
      <c r="A158" s="94">
        <v>2022</v>
      </c>
      <c r="B158" s="94">
        <v>3</v>
      </c>
      <c r="C158" s="94" t="s">
        <v>75</v>
      </c>
      <c r="D158" s="94" t="s">
        <v>630</v>
      </c>
      <c r="E158" s="94">
        <v>3225.6</v>
      </c>
    </row>
    <row r="159" spans="1:5" x14ac:dyDescent="0.3">
      <c r="A159" s="94">
        <v>2022</v>
      </c>
      <c r="B159" s="94">
        <v>3</v>
      </c>
      <c r="C159" s="94" t="s">
        <v>197</v>
      </c>
      <c r="D159" s="94" t="s">
        <v>630</v>
      </c>
      <c r="E159" s="94">
        <v>3064.84</v>
      </c>
    </row>
    <row r="160" spans="1:5" x14ac:dyDescent="0.3">
      <c r="A160" s="94">
        <v>2022</v>
      </c>
      <c r="B160" s="94">
        <v>3</v>
      </c>
      <c r="C160" s="94" t="s">
        <v>197</v>
      </c>
      <c r="D160" s="94" t="s">
        <v>201</v>
      </c>
      <c r="E160" s="94">
        <v>118681.82000000002</v>
      </c>
    </row>
    <row r="161" spans="1:5" x14ac:dyDescent="0.3">
      <c r="A161" s="94">
        <v>2022</v>
      </c>
      <c r="B161" s="94">
        <v>3</v>
      </c>
      <c r="C161" s="94" t="s">
        <v>196</v>
      </c>
      <c r="D161" s="94" t="s">
        <v>201</v>
      </c>
      <c r="E161" s="94">
        <v>126003.77</v>
      </c>
    </row>
    <row r="162" spans="1:5" x14ac:dyDescent="0.3">
      <c r="A162" s="94">
        <v>2022</v>
      </c>
      <c r="B162" s="94">
        <v>3</v>
      </c>
      <c r="C162" s="94" t="s">
        <v>197</v>
      </c>
      <c r="D162" s="94" t="s">
        <v>69</v>
      </c>
      <c r="E162" s="94">
        <v>71919.91</v>
      </c>
    </row>
    <row r="163" spans="1:5" x14ac:dyDescent="0.3">
      <c r="A163" s="94">
        <v>2022</v>
      </c>
      <c r="B163" s="94">
        <v>3</v>
      </c>
      <c r="C163" s="94" t="s">
        <v>196</v>
      </c>
      <c r="D163" s="94" t="s">
        <v>69</v>
      </c>
      <c r="E163" s="94">
        <v>61762.89</v>
      </c>
    </row>
    <row r="164" spans="1:5" x14ac:dyDescent="0.3">
      <c r="A164" s="94">
        <v>2022</v>
      </c>
      <c r="B164" s="94">
        <v>3</v>
      </c>
      <c r="C164" s="94" t="s">
        <v>75</v>
      </c>
      <c r="D164" s="94" t="s">
        <v>201</v>
      </c>
      <c r="E164" s="94">
        <v>16214.509999999998</v>
      </c>
    </row>
    <row r="165" spans="1:5" x14ac:dyDescent="0.3">
      <c r="A165" s="94">
        <v>2022</v>
      </c>
      <c r="B165" s="94">
        <v>3</v>
      </c>
      <c r="C165" s="94" t="s">
        <v>198</v>
      </c>
      <c r="D165" s="94" t="s">
        <v>71</v>
      </c>
      <c r="E165" s="94">
        <v>10317.42</v>
      </c>
    </row>
    <row r="166" spans="1:5" x14ac:dyDescent="0.3">
      <c r="A166" s="94">
        <v>2022</v>
      </c>
      <c r="B166" s="94">
        <v>3</v>
      </c>
      <c r="C166" s="94" t="s">
        <v>75</v>
      </c>
      <c r="D166" s="94" t="s">
        <v>71</v>
      </c>
      <c r="E166" s="94">
        <v>11445.76</v>
      </c>
    </row>
    <row r="167" spans="1:5" x14ac:dyDescent="0.3">
      <c r="A167" s="94">
        <v>2022</v>
      </c>
      <c r="B167" s="94">
        <v>3</v>
      </c>
      <c r="C167" s="94" t="s">
        <v>198</v>
      </c>
      <c r="D167" s="94" t="s">
        <v>201</v>
      </c>
      <c r="E167" s="94">
        <v>16009.1</v>
      </c>
    </row>
    <row r="168" spans="1:5" x14ac:dyDescent="0.3">
      <c r="A168" s="94">
        <v>2022</v>
      </c>
      <c r="B168" s="94">
        <v>3</v>
      </c>
      <c r="C168" s="94" t="s">
        <v>197</v>
      </c>
      <c r="D168" s="94" t="s">
        <v>72</v>
      </c>
      <c r="E168" s="94">
        <v>7588</v>
      </c>
    </row>
    <row r="169" spans="1:5" x14ac:dyDescent="0.3">
      <c r="A169" s="94">
        <v>2022</v>
      </c>
      <c r="B169" s="94">
        <v>3</v>
      </c>
      <c r="C169" s="94" t="s">
        <v>75</v>
      </c>
      <c r="D169" s="94" t="s">
        <v>72</v>
      </c>
      <c r="E169" s="94">
        <v>13679.099999999999</v>
      </c>
    </row>
    <row r="170" spans="1:5" x14ac:dyDescent="0.3">
      <c r="A170" s="94">
        <v>2022</v>
      </c>
      <c r="B170" s="94">
        <v>3</v>
      </c>
      <c r="C170" s="94" t="s">
        <v>198</v>
      </c>
      <c r="D170" s="94" t="s">
        <v>69</v>
      </c>
      <c r="E170" s="94">
        <v>48695.630000000005</v>
      </c>
    </row>
    <row r="171" spans="1:5" x14ac:dyDescent="0.3">
      <c r="A171" s="94">
        <v>2022</v>
      </c>
      <c r="B171" s="94">
        <v>3</v>
      </c>
      <c r="C171" s="94" t="s">
        <v>198</v>
      </c>
      <c r="D171" s="94" t="s">
        <v>388</v>
      </c>
      <c r="E171" s="94">
        <v>43047.460000000006</v>
      </c>
    </row>
    <row r="172" spans="1:5" x14ac:dyDescent="0.3">
      <c r="A172" s="94">
        <v>2022</v>
      </c>
      <c r="B172" s="94">
        <v>3</v>
      </c>
      <c r="C172" s="94" t="s">
        <v>198</v>
      </c>
      <c r="D172" s="94" t="s">
        <v>388</v>
      </c>
      <c r="E172" s="94">
        <v>11835.14</v>
      </c>
    </row>
    <row r="173" spans="1:5" x14ac:dyDescent="0.3">
      <c r="A173" s="94">
        <v>2022</v>
      </c>
      <c r="B173" s="94">
        <v>3</v>
      </c>
      <c r="C173" s="94" t="s">
        <v>196</v>
      </c>
      <c r="D173" s="94" t="s">
        <v>388</v>
      </c>
      <c r="E173" s="94">
        <v>18141.25</v>
      </c>
    </row>
    <row r="174" spans="1:5" x14ac:dyDescent="0.3">
      <c r="A174" s="94">
        <v>2022</v>
      </c>
      <c r="B174" s="94">
        <v>3</v>
      </c>
      <c r="C174" s="94" t="s">
        <v>197</v>
      </c>
      <c r="D174" s="94" t="s">
        <v>388</v>
      </c>
      <c r="E174" s="94">
        <v>5414.83</v>
      </c>
    </row>
    <row r="175" spans="1:5" x14ac:dyDescent="0.3">
      <c r="A175" s="94">
        <v>2022</v>
      </c>
      <c r="B175" s="94">
        <v>3</v>
      </c>
      <c r="C175" s="94" t="s">
        <v>196</v>
      </c>
      <c r="D175" s="94" t="s">
        <v>388</v>
      </c>
      <c r="E175" s="94">
        <v>17858.57</v>
      </c>
    </row>
    <row r="176" spans="1:5" x14ac:dyDescent="0.3">
      <c r="A176" s="94">
        <v>2022</v>
      </c>
      <c r="B176" s="94">
        <v>3</v>
      </c>
      <c r="C176" s="94" t="s">
        <v>197</v>
      </c>
      <c r="D176" s="94" t="s">
        <v>388</v>
      </c>
      <c r="E176" s="94">
        <v>30</v>
      </c>
    </row>
    <row r="177" spans="1:5" x14ac:dyDescent="0.3">
      <c r="A177" s="94">
        <v>2022</v>
      </c>
      <c r="B177" s="94">
        <v>4</v>
      </c>
      <c r="C177" s="94" t="s">
        <v>196</v>
      </c>
      <c r="D177" s="94" t="s">
        <v>72</v>
      </c>
      <c r="E177" s="94">
        <v>299736.44999999984</v>
      </c>
    </row>
    <row r="178" spans="1:5" x14ac:dyDescent="0.3">
      <c r="A178" s="94">
        <v>2022</v>
      </c>
      <c r="B178" s="94">
        <v>4</v>
      </c>
      <c r="C178" s="94" t="s">
        <v>196</v>
      </c>
      <c r="D178" s="94" t="s">
        <v>71</v>
      </c>
      <c r="E178" s="94">
        <v>16294.25</v>
      </c>
    </row>
    <row r="179" spans="1:5" x14ac:dyDescent="0.3">
      <c r="A179" s="94">
        <v>2022</v>
      </c>
      <c r="B179" s="94">
        <v>4</v>
      </c>
      <c r="C179" s="94" t="s">
        <v>75</v>
      </c>
      <c r="D179" s="94" t="s">
        <v>72</v>
      </c>
      <c r="E179" s="94">
        <v>15713</v>
      </c>
    </row>
    <row r="180" spans="1:5" x14ac:dyDescent="0.3">
      <c r="A180" s="94">
        <v>2022</v>
      </c>
      <c r="B180" s="94">
        <v>4</v>
      </c>
      <c r="C180" s="94" t="s">
        <v>196</v>
      </c>
      <c r="D180" s="94" t="s">
        <v>388</v>
      </c>
      <c r="E180" s="94">
        <v>3348.73</v>
      </c>
    </row>
    <row r="181" spans="1:5" x14ac:dyDescent="0.3">
      <c r="A181" s="94">
        <v>2022</v>
      </c>
      <c r="B181" s="94">
        <v>3</v>
      </c>
      <c r="C181" s="94" t="s">
        <v>197</v>
      </c>
      <c r="D181" s="94" t="s">
        <v>200</v>
      </c>
      <c r="E181" s="94">
        <v>4363.22</v>
      </c>
    </row>
    <row r="182" spans="1:5" x14ac:dyDescent="0.3">
      <c r="A182" s="94">
        <v>2022</v>
      </c>
      <c r="B182" s="94">
        <v>3</v>
      </c>
      <c r="C182" s="94" t="s">
        <v>196</v>
      </c>
      <c r="D182" s="94" t="s">
        <v>200</v>
      </c>
      <c r="E182" s="94">
        <v>52754.869999999995</v>
      </c>
    </row>
    <row r="183" spans="1:5" x14ac:dyDescent="0.3">
      <c r="A183" s="94">
        <v>2022</v>
      </c>
      <c r="B183" s="94">
        <v>3</v>
      </c>
      <c r="C183" s="94" t="s">
        <v>198</v>
      </c>
      <c r="D183" s="94" t="s">
        <v>200</v>
      </c>
      <c r="E183" s="94">
        <v>16242.27</v>
      </c>
    </row>
    <row r="184" spans="1:5" x14ac:dyDescent="0.3">
      <c r="A184" s="94">
        <v>2022</v>
      </c>
      <c r="B184" s="94">
        <v>4</v>
      </c>
      <c r="C184" s="94" t="s">
        <v>75</v>
      </c>
      <c r="D184" s="94" t="s">
        <v>630</v>
      </c>
      <c r="E184" s="94">
        <v>1936.48</v>
      </c>
    </row>
    <row r="185" spans="1:5" x14ac:dyDescent="0.3">
      <c r="A185" s="94">
        <v>2022</v>
      </c>
      <c r="B185" s="94">
        <v>4</v>
      </c>
      <c r="C185" s="94" t="s">
        <v>198</v>
      </c>
      <c r="D185" s="94" t="s">
        <v>72</v>
      </c>
      <c r="E185" s="94">
        <v>3664.8</v>
      </c>
    </row>
    <row r="186" spans="1:5" x14ac:dyDescent="0.3">
      <c r="A186" s="94">
        <v>2022</v>
      </c>
      <c r="B186" s="94">
        <v>4</v>
      </c>
      <c r="C186" s="94" t="s">
        <v>197</v>
      </c>
      <c r="D186" s="94" t="s">
        <v>201</v>
      </c>
      <c r="E186" s="94">
        <v>80935.98</v>
      </c>
    </row>
    <row r="187" spans="1:5" x14ac:dyDescent="0.3">
      <c r="A187" s="94">
        <v>2022</v>
      </c>
      <c r="B187" s="94">
        <v>4</v>
      </c>
      <c r="C187" s="94" t="s">
        <v>196</v>
      </c>
      <c r="D187" s="94" t="s">
        <v>201</v>
      </c>
      <c r="E187" s="94">
        <v>144681.37</v>
      </c>
    </row>
    <row r="188" spans="1:5" x14ac:dyDescent="0.3">
      <c r="A188" s="94">
        <v>2022</v>
      </c>
      <c r="B188" s="94">
        <v>4</v>
      </c>
      <c r="C188" s="94" t="s">
        <v>198</v>
      </c>
      <c r="D188" s="94" t="s">
        <v>201</v>
      </c>
      <c r="E188" s="94">
        <v>51346.25</v>
      </c>
    </row>
    <row r="189" spans="1:5" x14ac:dyDescent="0.3">
      <c r="A189" s="94">
        <v>2022</v>
      </c>
      <c r="B189" s="94">
        <v>4</v>
      </c>
      <c r="C189" s="94" t="s">
        <v>75</v>
      </c>
      <c r="D189" s="94" t="s">
        <v>201</v>
      </c>
      <c r="E189" s="94">
        <v>21764.57</v>
      </c>
    </row>
    <row r="190" spans="1:5" x14ac:dyDescent="0.3">
      <c r="A190" s="94">
        <v>2022</v>
      </c>
      <c r="B190" s="94">
        <v>4</v>
      </c>
      <c r="C190" s="94" t="s">
        <v>196</v>
      </c>
      <c r="D190" s="94" t="s">
        <v>630</v>
      </c>
      <c r="E190" s="94">
        <v>9953</v>
      </c>
    </row>
    <row r="191" spans="1:5" x14ac:dyDescent="0.3">
      <c r="A191" s="94">
        <v>2022</v>
      </c>
      <c r="B191" s="94">
        <v>3</v>
      </c>
      <c r="C191" s="94" t="s">
        <v>75</v>
      </c>
      <c r="D191" s="94" t="s">
        <v>70</v>
      </c>
      <c r="E191" s="94">
        <v>26546.23</v>
      </c>
    </row>
    <row r="192" spans="1:5" x14ac:dyDescent="0.3">
      <c r="A192" s="94">
        <v>2022</v>
      </c>
      <c r="B192" s="94">
        <v>3</v>
      </c>
      <c r="C192" s="94" t="s">
        <v>196</v>
      </c>
      <c r="D192" s="94" t="s">
        <v>70</v>
      </c>
      <c r="E192" s="94">
        <v>1615.56</v>
      </c>
    </row>
    <row r="193" spans="1:5" x14ac:dyDescent="0.3">
      <c r="A193" s="94">
        <v>2022</v>
      </c>
      <c r="B193" s="94">
        <v>4</v>
      </c>
      <c r="C193" s="94" t="s">
        <v>196</v>
      </c>
      <c r="D193" s="94" t="s">
        <v>69</v>
      </c>
      <c r="E193" s="94">
        <v>79208.930000000008</v>
      </c>
    </row>
    <row r="194" spans="1:5" x14ac:dyDescent="0.3">
      <c r="A194" s="94">
        <v>2022</v>
      </c>
      <c r="B194" s="94">
        <v>4</v>
      </c>
      <c r="C194" s="94" t="s">
        <v>196</v>
      </c>
      <c r="D194" s="94" t="s">
        <v>200</v>
      </c>
      <c r="E194" s="94">
        <v>20691.449999999997</v>
      </c>
    </row>
    <row r="195" spans="1:5" x14ac:dyDescent="0.3">
      <c r="A195" s="94">
        <v>2022</v>
      </c>
      <c r="B195" s="94">
        <v>4</v>
      </c>
      <c r="C195" s="94" t="s">
        <v>198</v>
      </c>
      <c r="D195" s="94" t="s">
        <v>200</v>
      </c>
      <c r="E195" s="94">
        <v>14265.47</v>
      </c>
    </row>
    <row r="196" spans="1:5" x14ac:dyDescent="0.3">
      <c r="A196" s="94">
        <v>2022</v>
      </c>
      <c r="B196" s="94">
        <v>4</v>
      </c>
      <c r="C196" s="94" t="s">
        <v>198</v>
      </c>
      <c r="D196" s="94" t="s">
        <v>71</v>
      </c>
      <c r="E196" s="94">
        <v>52681.469999999994</v>
      </c>
    </row>
    <row r="197" spans="1:5" x14ac:dyDescent="0.3">
      <c r="A197" s="94">
        <v>2022</v>
      </c>
      <c r="B197" s="94">
        <v>4</v>
      </c>
      <c r="C197" s="94" t="s">
        <v>75</v>
      </c>
      <c r="D197" s="94" t="s">
        <v>71</v>
      </c>
      <c r="E197" s="94">
        <v>14095.57</v>
      </c>
    </row>
    <row r="198" spans="1:5" x14ac:dyDescent="0.3">
      <c r="A198" s="94">
        <v>2022</v>
      </c>
      <c r="B198" s="94">
        <v>4</v>
      </c>
      <c r="C198" s="94" t="s">
        <v>197</v>
      </c>
      <c r="D198" s="94" t="s">
        <v>71</v>
      </c>
      <c r="E198" s="94">
        <v>20262.350000000002</v>
      </c>
    </row>
    <row r="199" spans="1:5" x14ac:dyDescent="0.3">
      <c r="A199" s="94">
        <v>2022</v>
      </c>
      <c r="B199" s="94">
        <v>4</v>
      </c>
      <c r="C199" s="94" t="s">
        <v>197</v>
      </c>
      <c r="D199" s="94" t="s">
        <v>72</v>
      </c>
      <c r="E199" s="94">
        <v>46065</v>
      </c>
    </row>
    <row r="200" spans="1:5" x14ac:dyDescent="0.3">
      <c r="A200" s="94">
        <v>2022</v>
      </c>
      <c r="B200" s="94">
        <v>4</v>
      </c>
      <c r="C200" s="94" t="s">
        <v>198</v>
      </c>
      <c r="D200" s="94" t="s">
        <v>69</v>
      </c>
      <c r="E200" s="94">
        <v>73285.509999999995</v>
      </c>
    </row>
    <row r="201" spans="1:5" x14ac:dyDescent="0.3">
      <c r="A201" s="94">
        <v>2022</v>
      </c>
      <c r="B201" s="94">
        <v>4</v>
      </c>
      <c r="C201" s="94" t="s">
        <v>197</v>
      </c>
      <c r="D201" s="94" t="s">
        <v>69</v>
      </c>
      <c r="E201" s="94">
        <v>48428.229999999996</v>
      </c>
    </row>
    <row r="202" spans="1:5" x14ac:dyDescent="0.3">
      <c r="A202" s="94">
        <v>2022</v>
      </c>
      <c r="B202" s="94">
        <v>4</v>
      </c>
      <c r="C202" s="94" t="s">
        <v>197</v>
      </c>
      <c r="D202" s="94" t="s">
        <v>388</v>
      </c>
      <c r="E202" s="94">
        <v>6387.6799999999994</v>
      </c>
    </row>
    <row r="203" spans="1:5" x14ac:dyDescent="0.3">
      <c r="A203" s="94">
        <v>2022</v>
      </c>
      <c r="B203" s="94">
        <v>4</v>
      </c>
      <c r="C203" s="94" t="s">
        <v>198</v>
      </c>
      <c r="D203" s="94" t="s">
        <v>388</v>
      </c>
      <c r="E203" s="94">
        <v>16481.949999999997</v>
      </c>
    </row>
    <row r="204" spans="1:5" x14ac:dyDescent="0.3">
      <c r="A204" s="94">
        <v>2022</v>
      </c>
      <c r="B204" s="94">
        <v>4</v>
      </c>
      <c r="C204" s="94" t="s">
        <v>198</v>
      </c>
      <c r="D204" s="94" t="s">
        <v>388</v>
      </c>
      <c r="E204" s="94">
        <v>2558.9700000000003</v>
      </c>
    </row>
    <row r="205" spans="1:5" x14ac:dyDescent="0.3">
      <c r="A205" s="94">
        <v>2022</v>
      </c>
      <c r="B205" s="94">
        <v>4</v>
      </c>
      <c r="C205" s="94" t="s">
        <v>196</v>
      </c>
      <c r="D205" s="94" t="s">
        <v>388</v>
      </c>
      <c r="E205" s="94">
        <v>6671.47</v>
      </c>
    </row>
    <row r="206" spans="1:5" x14ac:dyDescent="0.3">
      <c r="A206" s="94">
        <v>2022</v>
      </c>
      <c r="B206" s="94">
        <v>4</v>
      </c>
      <c r="C206" s="94" t="s">
        <v>197</v>
      </c>
      <c r="D206" s="94" t="s">
        <v>388</v>
      </c>
      <c r="E206" s="94">
        <v>3355.8999999999996</v>
      </c>
    </row>
    <row r="207" spans="1:5" x14ac:dyDescent="0.3">
      <c r="A207" s="94">
        <v>2022</v>
      </c>
      <c r="B207" s="94">
        <v>4</v>
      </c>
      <c r="C207" s="94" t="s">
        <v>197</v>
      </c>
      <c r="D207" s="94" t="s">
        <v>630</v>
      </c>
      <c r="E207" s="94">
        <v>12155.72</v>
      </c>
    </row>
    <row r="208" spans="1:5" x14ac:dyDescent="0.3">
      <c r="A208" s="94">
        <v>2022</v>
      </c>
      <c r="B208" s="94">
        <v>4</v>
      </c>
      <c r="C208" s="94" t="s">
        <v>196</v>
      </c>
      <c r="D208" s="94" t="s">
        <v>70</v>
      </c>
      <c r="E208" s="94">
        <v>1199.1199999999999</v>
      </c>
    </row>
    <row r="209" spans="1:5" x14ac:dyDescent="0.3">
      <c r="A209" s="94">
        <v>2022</v>
      </c>
      <c r="B209" s="94">
        <v>4</v>
      </c>
      <c r="C209" s="94" t="s">
        <v>198</v>
      </c>
      <c r="D209" s="94" t="s">
        <v>629</v>
      </c>
      <c r="E209" s="94">
        <v>5914</v>
      </c>
    </row>
    <row r="210" spans="1:5" x14ac:dyDescent="0.3">
      <c r="A210" s="94">
        <v>2022</v>
      </c>
      <c r="B210" s="94">
        <v>4</v>
      </c>
      <c r="C210" s="94" t="s">
        <v>196</v>
      </c>
      <c r="D210" s="94" t="s">
        <v>629</v>
      </c>
      <c r="E210" s="94">
        <v>9435</v>
      </c>
    </row>
    <row r="211" spans="1:5" x14ac:dyDescent="0.3">
      <c r="A211" s="94">
        <v>2023</v>
      </c>
      <c r="B211" s="94">
        <v>1</v>
      </c>
      <c r="C211" s="94" t="s">
        <v>196</v>
      </c>
      <c r="D211" s="94" t="s">
        <v>630</v>
      </c>
      <c r="E211" s="94">
        <v>6960.6</v>
      </c>
    </row>
    <row r="212" spans="1:5" x14ac:dyDescent="0.3">
      <c r="A212" s="94">
        <v>2023</v>
      </c>
      <c r="B212" s="94">
        <v>1</v>
      </c>
      <c r="C212" s="94" t="s">
        <v>198</v>
      </c>
      <c r="D212" s="94" t="s">
        <v>630</v>
      </c>
      <c r="E212" s="94">
        <v>4772.4000000000005</v>
      </c>
    </row>
    <row r="213" spans="1:5" x14ac:dyDescent="0.3">
      <c r="A213" s="94">
        <v>2023</v>
      </c>
      <c r="B213" s="94">
        <v>1</v>
      </c>
      <c r="C213" s="94" t="s">
        <v>196</v>
      </c>
      <c r="D213" s="94" t="s">
        <v>71</v>
      </c>
      <c r="E213" s="94">
        <v>18773.41</v>
      </c>
    </row>
    <row r="214" spans="1:5" x14ac:dyDescent="0.3">
      <c r="A214" s="94">
        <v>2022</v>
      </c>
      <c r="B214" s="94">
        <v>4</v>
      </c>
      <c r="C214" s="94" t="s">
        <v>75</v>
      </c>
      <c r="D214" s="94" t="s">
        <v>70</v>
      </c>
      <c r="E214" s="94">
        <v>5568.01</v>
      </c>
    </row>
    <row r="215" spans="1:5" x14ac:dyDescent="0.3">
      <c r="A215" s="94">
        <v>2022</v>
      </c>
      <c r="B215" s="94">
        <v>4</v>
      </c>
      <c r="C215" s="94" t="s">
        <v>197</v>
      </c>
      <c r="D215" s="94" t="s">
        <v>200</v>
      </c>
      <c r="E215" s="94">
        <v>10116.73</v>
      </c>
    </row>
    <row r="216" spans="1:5" x14ac:dyDescent="0.3">
      <c r="A216" s="94">
        <v>2022</v>
      </c>
      <c r="B216" s="94">
        <v>4</v>
      </c>
      <c r="C216" s="94" t="s">
        <v>75</v>
      </c>
      <c r="D216" s="94" t="s">
        <v>200</v>
      </c>
      <c r="E216" s="94">
        <v>6921.87</v>
      </c>
    </row>
    <row r="217" spans="1:5" x14ac:dyDescent="0.3">
      <c r="A217" s="94">
        <v>2023</v>
      </c>
      <c r="B217" s="94">
        <v>1</v>
      </c>
      <c r="C217" s="94" t="s">
        <v>196</v>
      </c>
      <c r="D217" s="94" t="s">
        <v>72</v>
      </c>
      <c r="E217" s="94">
        <v>191835.18000000002</v>
      </c>
    </row>
    <row r="218" spans="1:5" x14ac:dyDescent="0.3">
      <c r="A218" s="94">
        <v>2023</v>
      </c>
      <c r="B218" s="94">
        <v>1</v>
      </c>
      <c r="C218" s="94" t="s">
        <v>196</v>
      </c>
      <c r="D218" s="94" t="s">
        <v>629</v>
      </c>
      <c r="E218" s="94">
        <v>13091</v>
      </c>
    </row>
    <row r="219" spans="1:5" x14ac:dyDescent="0.3">
      <c r="A219" s="94">
        <v>2023</v>
      </c>
      <c r="B219" s="94">
        <v>1</v>
      </c>
      <c r="C219" s="94" t="s">
        <v>198</v>
      </c>
      <c r="D219" s="94" t="s">
        <v>629</v>
      </c>
      <c r="E219" s="94">
        <v>4747.04</v>
      </c>
    </row>
    <row r="220" spans="1:5" x14ac:dyDescent="0.3">
      <c r="A220" s="94">
        <v>2023</v>
      </c>
      <c r="B220" s="94">
        <v>1</v>
      </c>
      <c r="C220" s="94" t="s">
        <v>75</v>
      </c>
      <c r="D220" s="94" t="s">
        <v>629</v>
      </c>
      <c r="E220" s="94">
        <v>6144</v>
      </c>
    </row>
    <row r="221" spans="1:5" x14ac:dyDescent="0.3">
      <c r="A221" s="94">
        <v>2022</v>
      </c>
      <c r="B221" s="94">
        <v>4</v>
      </c>
      <c r="C221" s="94" t="s">
        <v>197</v>
      </c>
      <c r="D221" s="94" t="s">
        <v>629</v>
      </c>
      <c r="E221" s="94">
        <v>792</v>
      </c>
    </row>
    <row r="222" spans="1:5" x14ac:dyDescent="0.3">
      <c r="A222" s="94">
        <v>2023</v>
      </c>
      <c r="B222" s="94">
        <v>1</v>
      </c>
      <c r="C222" s="94" t="s">
        <v>197</v>
      </c>
      <c r="D222" s="94" t="s">
        <v>629</v>
      </c>
      <c r="E222" s="94">
        <v>5888</v>
      </c>
    </row>
    <row r="223" spans="1:5" x14ac:dyDescent="0.3">
      <c r="A223" s="94">
        <v>2023</v>
      </c>
      <c r="B223" s="94">
        <v>1</v>
      </c>
      <c r="C223" s="94" t="s">
        <v>75</v>
      </c>
      <c r="D223" s="94" t="s">
        <v>630</v>
      </c>
      <c r="E223" s="94">
        <v>1524.2800000000002</v>
      </c>
    </row>
    <row r="224" spans="1:5" x14ac:dyDescent="0.3">
      <c r="A224" s="94">
        <v>2023</v>
      </c>
      <c r="B224" s="94">
        <v>1</v>
      </c>
      <c r="C224" s="94" t="s">
        <v>197</v>
      </c>
      <c r="D224" s="94" t="s">
        <v>630</v>
      </c>
      <c r="E224" s="94">
        <v>4468.0300000000007</v>
      </c>
    </row>
    <row r="225" spans="1:5" x14ac:dyDescent="0.3">
      <c r="A225" s="94">
        <v>2023</v>
      </c>
      <c r="B225" s="94">
        <v>1</v>
      </c>
      <c r="C225" s="94" t="s">
        <v>196</v>
      </c>
      <c r="D225" s="94" t="s">
        <v>388</v>
      </c>
      <c r="E225" s="94">
        <v>14458.63</v>
      </c>
    </row>
    <row r="226" spans="1:5" x14ac:dyDescent="0.3">
      <c r="A226" s="94">
        <v>2023</v>
      </c>
      <c r="B226" s="94">
        <v>1</v>
      </c>
      <c r="C226" s="94" t="s">
        <v>197</v>
      </c>
      <c r="D226" s="94" t="s">
        <v>71</v>
      </c>
      <c r="E226" s="94">
        <v>31042.400000000009</v>
      </c>
    </row>
    <row r="227" spans="1:5" x14ac:dyDescent="0.3">
      <c r="A227" s="94">
        <v>2023</v>
      </c>
      <c r="B227" s="94">
        <v>1</v>
      </c>
      <c r="C227" s="94" t="s">
        <v>198</v>
      </c>
      <c r="D227" s="94" t="s">
        <v>71</v>
      </c>
      <c r="E227" s="94">
        <v>14510.090000000002</v>
      </c>
    </row>
    <row r="228" spans="1:5" x14ac:dyDescent="0.3">
      <c r="A228" s="94">
        <v>2023</v>
      </c>
      <c r="B228" s="94">
        <v>1</v>
      </c>
      <c r="C228" s="94" t="s">
        <v>75</v>
      </c>
      <c r="D228" s="94" t="s">
        <v>71</v>
      </c>
      <c r="E228" s="94">
        <v>13934.35</v>
      </c>
    </row>
    <row r="229" spans="1:5" x14ac:dyDescent="0.3">
      <c r="A229" s="94">
        <v>2023</v>
      </c>
      <c r="B229" s="94">
        <v>1</v>
      </c>
      <c r="C229" s="94" t="s">
        <v>198</v>
      </c>
      <c r="D229" s="94" t="s">
        <v>72</v>
      </c>
      <c r="E229" s="94">
        <v>12356.599999999999</v>
      </c>
    </row>
    <row r="230" spans="1:5" x14ac:dyDescent="0.3">
      <c r="A230" s="94">
        <v>2023</v>
      </c>
      <c r="B230" s="94">
        <v>1</v>
      </c>
      <c r="C230" s="94" t="s">
        <v>75</v>
      </c>
      <c r="D230" s="94" t="s">
        <v>72</v>
      </c>
      <c r="E230" s="94">
        <v>4508.6000000000004</v>
      </c>
    </row>
    <row r="231" spans="1:5" x14ac:dyDescent="0.3">
      <c r="A231" s="94">
        <v>2023</v>
      </c>
      <c r="B231" s="94">
        <v>1</v>
      </c>
      <c r="C231" s="94" t="s">
        <v>197</v>
      </c>
      <c r="D231" s="94" t="s">
        <v>72</v>
      </c>
      <c r="E231" s="94">
        <v>1780.4</v>
      </c>
    </row>
    <row r="232" spans="1:5" x14ac:dyDescent="0.3">
      <c r="A232" s="94">
        <v>2023</v>
      </c>
      <c r="B232" s="94">
        <v>1</v>
      </c>
      <c r="C232" s="94" t="s">
        <v>196</v>
      </c>
      <c r="D232" s="94" t="s">
        <v>201</v>
      </c>
      <c r="E232" s="94">
        <v>156430.63999999998</v>
      </c>
    </row>
    <row r="233" spans="1:5" x14ac:dyDescent="0.3">
      <c r="A233" s="94">
        <v>2023</v>
      </c>
      <c r="B233" s="94">
        <v>1</v>
      </c>
      <c r="C233" s="94" t="s">
        <v>197</v>
      </c>
      <c r="D233" s="94" t="s">
        <v>201</v>
      </c>
      <c r="E233" s="94">
        <v>81982.39</v>
      </c>
    </row>
    <row r="234" spans="1:5" x14ac:dyDescent="0.3">
      <c r="A234" s="94">
        <v>2023</v>
      </c>
      <c r="B234" s="94">
        <v>1</v>
      </c>
      <c r="C234" s="94" t="s">
        <v>198</v>
      </c>
      <c r="D234" s="94" t="s">
        <v>201</v>
      </c>
      <c r="E234" s="94">
        <v>14623.380000000001</v>
      </c>
    </row>
    <row r="235" spans="1:5" x14ac:dyDescent="0.3">
      <c r="A235" s="94">
        <v>2023</v>
      </c>
      <c r="B235" s="94">
        <v>1</v>
      </c>
      <c r="C235" s="94" t="s">
        <v>75</v>
      </c>
      <c r="D235" s="94" t="s">
        <v>201</v>
      </c>
      <c r="E235" s="94">
        <v>28796.67</v>
      </c>
    </row>
    <row r="236" spans="1:5" x14ac:dyDescent="0.3">
      <c r="A236" s="94">
        <v>2023</v>
      </c>
      <c r="B236" s="94">
        <v>1</v>
      </c>
      <c r="C236" s="94" t="s">
        <v>198</v>
      </c>
      <c r="D236" s="94" t="s">
        <v>388</v>
      </c>
      <c r="E236" s="94">
        <v>5969.41</v>
      </c>
    </row>
    <row r="237" spans="1:5" x14ac:dyDescent="0.3">
      <c r="A237" s="94">
        <v>2023</v>
      </c>
      <c r="B237" s="94">
        <v>1</v>
      </c>
      <c r="C237" s="94" t="s">
        <v>198</v>
      </c>
      <c r="D237" s="94" t="s">
        <v>388</v>
      </c>
      <c r="E237" s="94">
        <v>38526.629999999997</v>
      </c>
    </row>
    <row r="238" spans="1:5" x14ac:dyDescent="0.3">
      <c r="A238" s="94">
        <v>2023</v>
      </c>
      <c r="B238" s="94">
        <v>1</v>
      </c>
      <c r="C238" s="94" t="s">
        <v>196</v>
      </c>
      <c r="D238" s="94" t="s">
        <v>388</v>
      </c>
      <c r="E238" s="94">
        <v>8912.98</v>
      </c>
    </row>
    <row r="239" spans="1:5" x14ac:dyDescent="0.3">
      <c r="A239" s="94">
        <v>2023</v>
      </c>
      <c r="B239" s="94">
        <v>1</v>
      </c>
      <c r="C239" s="94" t="s">
        <v>198</v>
      </c>
      <c r="D239" s="94" t="s">
        <v>69</v>
      </c>
      <c r="E239" s="94">
        <v>113353.83999999998</v>
      </c>
    </row>
    <row r="240" spans="1:5" x14ac:dyDescent="0.3">
      <c r="A240" s="94">
        <v>2023</v>
      </c>
      <c r="B240" s="94">
        <v>1</v>
      </c>
      <c r="C240" s="94" t="s">
        <v>196</v>
      </c>
      <c r="D240" s="94" t="s">
        <v>69</v>
      </c>
      <c r="E240" s="94">
        <v>81831.49000000002</v>
      </c>
    </row>
    <row r="241" spans="1:5" x14ac:dyDescent="0.3">
      <c r="A241" s="94">
        <v>2023</v>
      </c>
      <c r="B241" s="94">
        <v>1</v>
      </c>
      <c r="C241" s="94" t="s">
        <v>197</v>
      </c>
      <c r="D241" s="94" t="s">
        <v>69</v>
      </c>
      <c r="E241" s="94">
        <v>37984.29</v>
      </c>
    </row>
    <row r="242" spans="1:5" x14ac:dyDescent="0.3">
      <c r="A242" s="94">
        <v>2023</v>
      </c>
      <c r="B242" s="94">
        <v>1</v>
      </c>
      <c r="C242" s="94" t="s">
        <v>197</v>
      </c>
      <c r="D242" s="94" t="s">
        <v>388</v>
      </c>
      <c r="E242" s="94">
        <v>15538.34</v>
      </c>
    </row>
    <row r="243" spans="1:5" x14ac:dyDescent="0.3">
      <c r="A243" s="94">
        <v>2023</v>
      </c>
      <c r="B243" s="94">
        <v>1</v>
      </c>
      <c r="C243" s="94" t="s">
        <v>197</v>
      </c>
      <c r="D243" s="94" t="s">
        <v>388</v>
      </c>
      <c r="E243" s="94">
        <v>9782.26</v>
      </c>
    </row>
    <row r="244" spans="1:5" x14ac:dyDescent="0.3">
      <c r="A244" s="94">
        <v>2023</v>
      </c>
      <c r="B244" s="94">
        <v>2</v>
      </c>
      <c r="C244" s="94" t="s">
        <v>198</v>
      </c>
      <c r="D244" s="94" t="s">
        <v>69</v>
      </c>
      <c r="E244" s="94">
        <v>56394.419999999991</v>
      </c>
    </row>
    <row r="245" spans="1:5" x14ac:dyDescent="0.3">
      <c r="A245" s="94">
        <v>2023</v>
      </c>
      <c r="B245" s="94">
        <v>2</v>
      </c>
      <c r="C245" s="94" t="s">
        <v>196</v>
      </c>
      <c r="D245" s="94" t="s">
        <v>200</v>
      </c>
      <c r="E245" s="94">
        <v>4980.24</v>
      </c>
    </row>
    <row r="246" spans="1:5" x14ac:dyDescent="0.3">
      <c r="A246" s="94">
        <v>2023</v>
      </c>
      <c r="B246" s="94">
        <v>1</v>
      </c>
      <c r="C246" s="94" t="s">
        <v>198</v>
      </c>
      <c r="D246" s="94" t="s">
        <v>200</v>
      </c>
      <c r="E246" s="94">
        <v>3514.9</v>
      </c>
    </row>
    <row r="247" spans="1:5" x14ac:dyDescent="0.3">
      <c r="A247" s="94">
        <v>2023</v>
      </c>
      <c r="B247" s="94">
        <v>2</v>
      </c>
      <c r="C247" s="94" t="s">
        <v>196</v>
      </c>
      <c r="D247" s="94" t="s">
        <v>388</v>
      </c>
      <c r="E247" s="94">
        <v>37781.579999999994</v>
      </c>
    </row>
    <row r="248" spans="1:5" x14ac:dyDescent="0.3">
      <c r="A248" s="94">
        <v>2023</v>
      </c>
      <c r="B248" s="94">
        <v>2</v>
      </c>
      <c r="C248" s="94" t="s">
        <v>196</v>
      </c>
      <c r="D248" s="94" t="s">
        <v>629</v>
      </c>
      <c r="E248" s="94">
        <v>7712</v>
      </c>
    </row>
    <row r="249" spans="1:5" x14ac:dyDescent="0.3">
      <c r="A249" s="94">
        <v>2023</v>
      </c>
      <c r="B249" s="94">
        <v>2</v>
      </c>
      <c r="C249" s="94" t="s">
        <v>75</v>
      </c>
      <c r="D249" s="94" t="s">
        <v>629</v>
      </c>
      <c r="E249" s="94">
        <v>13089</v>
      </c>
    </row>
    <row r="250" spans="1:5" x14ac:dyDescent="0.3">
      <c r="A250" s="94">
        <v>2023</v>
      </c>
      <c r="B250" s="94">
        <v>1</v>
      </c>
      <c r="C250" s="94" t="s">
        <v>196</v>
      </c>
      <c r="D250" s="94" t="s">
        <v>200</v>
      </c>
      <c r="E250" s="94">
        <v>20705.010000000002</v>
      </c>
    </row>
    <row r="251" spans="1:5" x14ac:dyDescent="0.3">
      <c r="A251" s="94">
        <v>2023</v>
      </c>
      <c r="B251" s="94">
        <v>1</v>
      </c>
      <c r="C251" s="94" t="s">
        <v>75</v>
      </c>
      <c r="D251" s="94" t="s">
        <v>70</v>
      </c>
      <c r="E251" s="94">
        <v>3435.84</v>
      </c>
    </row>
    <row r="252" spans="1:5" x14ac:dyDescent="0.3">
      <c r="A252" s="94">
        <v>2023</v>
      </c>
      <c r="B252" s="94">
        <v>1</v>
      </c>
      <c r="C252" s="94" t="s">
        <v>196</v>
      </c>
      <c r="D252" s="94" t="s">
        <v>70</v>
      </c>
      <c r="E252" s="94">
        <v>89314.11</v>
      </c>
    </row>
    <row r="253" spans="1:5" x14ac:dyDescent="0.3">
      <c r="A253" s="94">
        <v>2023</v>
      </c>
      <c r="B253" s="94">
        <v>1</v>
      </c>
      <c r="C253" s="94" t="s">
        <v>197</v>
      </c>
      <c r="D253" s="94" t="s">
        <v>70</v>
      </c>
      <c r="E253" s="94">
        <v>2258.12</v>
      </c>
    </row>
    <row r="254" spans="1:5" x14ac:dyDescent="0.3">
      <c r="A254" s="94">
        <v>2023</v>
      </c>
      <c r="B254" s="94">
        <v>2</v>
      </c>
      <c r="C254" s="94" t="s">
        <v>196</v>
      </c>
      <c r="D254" s="94" t="s">
        <v>201</v>
      </c>
      <c r="E254" s="94">
        <v>82029.149999999994</v>
      </c>
    </row>
    <row r="255" spans="1:5" x14ac:dyDescent="0.3">
      <c r="A255" s="94">
        <v>2023</v>
      </c>
      <c r="B255" s="94">
        <v>2</v>
      </c>
      <c r="C255" s="94" t="s">
        <v>197</v>
      </c>
      <c r="D255" s="94" t="s">
        <v>201</v>
      </c>
      <c r="E255" s="94">
        <v>109410.29000000002</v>
      </c>
    </row>
    <row r="256" spans="1:5" x14ac:dyDescent="0.3">
      <c r="A256" s="94">
        <v>2023</v>
      </c>
      <c r="B256" s="94">
        <v>2</v>
      </c>
      <c r="C256" s="94" t="s">
        <v>75</v>
      </c>
      <c r="D256" s="94" t="s">
        <v>201</v>
      </c>
      <c r="E256" s="94">
        <v>33773.370000000003</v>
      </c>
    </row>
    <row r="257" spans="1:5" x14ac:dyDescent="0.3">
      <c r="A257" s="94">
        <v>2023</v>
      </c>
      <c r="B257" s="94">
        <v>2</v>
      </c>
      <c r="C257" s="94" t="s">
        <v>198</v>
      </c>
      <c r="D257" s="94" t="s">
        <v>201</v>
      </c>
      <c r="E257" s="94">
        <v>30105.85</v>
      </c>
    </row>
    <row r="258" spans="1:5" x14ac:dyDescent="0.3">
      <c r="A258" s="94">
        <v>2023</v>
      </c>
      <c r="B258" s="94">
        <v>2</v>
      </c>
      <c r="C258" s="94" t="s">
        <v>196</v>
      </c>
      <c r="D258" s="94" t="s">
        <v>72</v>
      </c>
      <c r="E258" s="94">
        <v>114019.05999999998</v>
      </c>
    </row>
    <row r="259" spans="1:5" x14ac:dyDescent="0.3">
      <c r="A259" s="94">
        <v>2023</v>
      </c>
      <c r="B259" s="94">
        <v>2</v>
      </c>
      <c r="C259" s="94" t="s">
        <v>197</v>
      </c>
      <c r="D259" s="94" t="s">
        <v>72</v>
      </c>
      <c r="E259" s="94">
        <v>27305.85</v>
      </c>
    </row>
    <row r="260" spans="1:5" x14ac:dyDescent="0.3">
      <c r="A260" s="94">
        <v>2023</v>
      </c>
      <c r="B260" s="94">
        <v>2</v>
      </c>
      <c r="C260" s="94" t="s">
        <v>75</v>
      </c>
      <c r="D260" s="94" t="s">
        <v>630</v>
      </c>
      <c r="E260" s="94">
        <v>3245.6000000000004</v>
      </c>
    </row>
    <row r="261" spans="1:5" x14ac:dyDescent="0.3">
      <c r="A261" s="94">
        <v>2023</v>
      </c>
      <c r="B261" s="94">
        <v>2</v>
      </c>
      <c r="C261" s="94" t="s">
        <v>196</v>
      </c>
      <c r="D261" s="94" t="s">
        <v>71</v>
      </c>
      <c r="E261" s="94">
        <v>12707.31</v>
      </c>
    </row>
    <row r="262" spans="1:5" x14ac:dyDescent="0.3">
      <c r="A262" s="94">
        <v>2023</v>
      </c>
      <c r="B262" s="94">
        <v>2</v>
      </c>
      <c r="C262" s="94" t="s">
        <v>197</v>
      </c>
      <c r="D262" s="94" t="s">
        <v>69</v>
      </c>
      <c r="E262" s="94">
        <v>58243.77</v>
      </c>
    </row>
    <row r="263" spans="1:5" x14ac:dyDescent="0.3">
      <c r="A263" s="94">
        <v>2023</v>
      </c>
      <c r="B263" s="94">
        <v>2</v>
      </c>
      <c r="C263" s="94" t="s">
        <v>196</v>
      </c>
      <c r="D263" s="94" t="s">
        <v>69</v>
      </c>
      <c r="E263" s="94">
        <v>123044.59000000001</v>
      </c>
    </row>
    <row r="264" spans="1:5" x14ac:dyDescent="0.3">
      <c r="A264" s="94">
        <v>2023</v>
      </c>
      <c r="B264" s="94">
        <v>2</v>
      </c>
      <c r="C264" s="94" t="s">
        <v>198</v>
      </c>
      <c r="D264" s="94" t="s">
        <v>388</v>
      </c>
      <c r="E264" s="94">
        <v>14131.63</v>
      </c>
    </row>
    <row r="265" spans="1:5" x14ac:dyDescent="0.3">
      <c r="A265" s="94">
        <v>2023</v>
      </c>
      <c r="B265" s="94">
        <v>2</v>
      </c>
      <c r="C265" s="94" t="s">
        <v>197</v>
      </c>
      <c r="D265" s="94" t="s">
        <v>71</v>
      </c>
      <c r="E265" s="94">
        <v>32508.459999999995</v>
      </c>
    </row>
    <row r="266" spans="1:5" x14ac:dyDescent="0.3">
      <c r="A266" s="94">
        <v>2023</v>
      </c>
      <c r="B266" s="94">
        <v>2</v>
      </c>
      <c r="C266" s="94" t="s">
        <v>196</v>
      </c>
      <c r="D266" s="94" t="s">
        <v>388</v>
      </c>
      <c r="E266" s="94">
        <v>10403.16</v>
      </c>
    </row>
    <row r="267" spans="1:5" x14ac:dyDescent="0.3">
      <c r="A267" s="94">
        <v>2023</v>
      </c>
      <c r="B267" s="94">
        <v>2</v>
      </c>
      <c r="C267" s="94" t="s">
        <v>198</v>
      </c>
      <c r="D267" s="94" t="s">
        <v>71</v>
      </c>
      <c r="E267" s="94">
        <v>6798.7799999999988</v>
      </c>
    </row>
    <row r="268" spans="1:5" x14ac:dyDescent="0.3">
      <c r="A268" s="94">
        <v>2023</v>
      </c>
      <c r="B268" s="94">
        <v>2</v>
      </c>
      <c r="C268" s="94" t="s">
        <v>75</v>
      </c>
      <c r="D268" s="94" t="s">
        <v>71</v>
      </c>
      <c r="E268" s="94">
        <v>10290.58</v>
      </c>
    </row>
    <row r="269" spans="1:5" x14ac:dyDescent="0.3">
      <c r="A269" s="94">
        <v>2023</v>
      </c>
      <c r="B269" s="94">
        <v>2</v>
      </c>
      <c r="C269" s="94" t="s">
        <v>75</v>
      </c>
      <c r="D269" s="94" t="s">
        <v>72</v>
      </c>
      <c r="E269" s="94">
        <v>11447.8</v>
      </c>
    </row>
    <row r="270" spans="1:5" x14ac:dyDescent="0.3">
      <c r="A270" s="94">
        <v>2023</v>
      </c>
      <c r="B270" s="94">
        <v>2</v>
      </c>
      <c r="C270" s="94" t="s">
        <v>198</v>
      </c>
      <c r="D270" s="94" t="s">
        <v>630</v>
      </c>
      <c r="E270" s="94">
        <v>1080</v>
      </c>
    </row>
    <row r="271" spans="1:5" x14ac:dyDescent="0.3">
      <c r="A271" s="94">
        <v>2023</v>
      </c>
      <c r="B271" s="94">
        <v>2</v>
      </c>
      <c r="C271" s="94" t="s">
        <v>198</v>
      </c>
      <c r="D271" s="94" t="s">
        <v>72</v>
      </c>
      <c r="E271" s="94">
        <v>18965.04</v>
      </c>
    </row>
    <row r="272" spans="1:5" x14ac:dyDescent="0.3">
      <c r="A272" s="94">
        <v>2023</v>
      </c>
      <c r="B272" s="94">
        <v>2</v>
      </c>
      <c r="C272" s="94" t="s">
        <v>197</v>
      </c>
      <c r="D272" s="94" t="s">
        <v>388</v>
      </c>
      <c r="E272" s="94">
        <v>6407.68</v>
      </c>
    </row>
    <row r="273" spans="1:5" x14ac:dyDescent="0.3">
      <c r="A273" s="94">
        <v>2023</v>
      </c>
      <c r="B273" s="94">
        <v>2</v>
      </c>
      <c r="C273" s="94" t="s">
        <v>197</v>
      </c>
      <c r="D273" s="94" t="s">
        <v>388</v>
      </c>
      <c r="E273" s="94">
        <v>9409.1899999999987</v>
      </c>
    </row>
    <row r="274" spans="1:5" x14ac:dyDescent="0.3">
      <c r="A274" s="94">
        <v>2023</v>
      </c>
      <c r="B274" s="94">
        <v>2</v>
      </c>
      <c r="C274" s="94" t="s">
        <v>198</v>
      </c>
      <c r="D274" s="94" t="s">
        <v>200</v>
      </c>
      <c r="E274" s="94">
        <v>4124.74</v>
      </c>
    </row>
    <row r="275" spans="1:5" x14ac:dyDescent="0.3">
      <c r="A275" s="94">
        <v>2023</v>
      </c>
      <c r="B275" s="94">
        <v>3</v>
      </c>
      <c r="C275" s="94" t="s">
        <v>196</v>
      </c>
      <c r="D275" s="94" t="s">
        <v>72</v>
      </c>
      <c r="E275" s="94">
        <v>296795.30000000005</v>
      </c>
    </row>
    <row r="276" spans="1:5" x14ac:dyDescent="0.3">
      <c r="A276" s="94">
        <v>2023</v>
      </c>
      <c r="B276" s="94">
        <v>2</v>
      </c>
      <c r="C276" s="94" t="s">
        <v>197</v>
      </c>
      <c r="D276" s="94" t="s">
        <v>200</v>
      </c>
      <c r="E276" s="94">
        <v>4764.82</v>
      </c>
    </row>
    <row r="277" spans="1:5" x14ac:dyDescent="0.3">
      <c r="A277" s="94">
        <v>2023</v>
      </c>
      <c r="B277" s="94">
        <v>2</v>
      </c>
      <c r="C277" s="94" t="s">
        <v>75</v>
      </c>
      <c r="D277" s="94" t="s">
        <v>200</v>
      </c>
      <c r="E277" s="94">
        <v>13287.65</v>
      </c>
    </row>
    <row r="278" spans="1:5" x14ac:dyDescent="0.3">
      <c r="A278" s="94">
        <v>2023</v>
      </c>
      <c r="B278" s="94">
        <v>3</v>
      </c>
      <c r="C278" s="94" t="s">
        <v>75</v>
      </c>
      <c r="D278" s="94" t="s">
        <v>72</v>
      </c>
      <c r="E278" s="94">
        <v>8528.6</v>
      </c>
    </row>
    <row r="279" spans="1:5" x14ac:dyDescent="0.3">
      <c r="A279" s="94">
        <v>2023</v>
      </c>
      <c r="B279" s="94">
        <v>3</v>
      </c>
      <c r="C279" s="94" t="s">
        <v>75</v>
      </c>
      <c r="D279" s="94" t="s">
        <v>630</v>
      </c>
      <c r="E279" s="94">
        <v>6778.8</v>
      </c>
    </row>
    <row r="280" spans="1:5" x14ac:dyDescent="0.3">
      <c r="A280" s="94">
        <v>2023</v>
      </c>
      <c r="B280" s="94">
        <v>2</v>
      </c>
      <c r="C280" s="94" t="s">
        <v>196</v>
      </c>
      <c r="D280" s="94" t="s">
        <v>70</v>
      </c>
      <c r="E280" s="94">
        <v>2457.7200000000003</v>
      </c>
    </row>
    <row r="281" spans="1:5" x14ac:dyDescent="0.3">
      <c r="A281" s="94">
        <v>2023</v>
      </c>
      <c r="B281" s="94">
        <v>2</v>
      </c>
      <c r="C281" s="94" t="s">
        <v>197</v>
      </c>
      <c r="D281" s="94" t="s">
        <v>70</v>
      </c>
      <c r="E281" s="94">
        <v>1303.24</v>
      </c>
    </row>
    <row r="282" spans="1:5" x14ac:dyDescent="0.3">
      <c r="A282" s="94">
        <v>2023</v>
      </c>
      <c r="B282" s="94">
        <v>2</v>
      </c>
      <c r="C282" s="94" t="s">
        <v>75</v>
      </c>
      <c r="D282" s="94" t="s">
        <v>70</v>
      </c>
      <c r="E282" s="94">
        <v>16189.349999999999</v>
      </c>
    </row>
    <row r="283" spans="1:5" x14ac:dyDescent="0.3">
      <c r="A283" s="94">
        <v>2023</v>
      </c>
      <c r="B283" s="94">
        <v>3</v>
      </c>
      <c r="C283" s="94" t="s">
        <v>196</v>
      </c>
      <c r="D283" s="94" t="s">
        <v>388</v>
      </c>
      <c r="E283" s="94">
        <v>64078.39</v>
      </c>
    </row>
    <row r="284" spans="1:5" x14ac:dyDescent="0.3">
      <c r="A284" s="94">
        <v>2023</v>
      </c>
      <c r="B284" s="94">
        <v>3</v>
      </c>
      <c r="C284" s="94" t="s">
        <v>197</v>
      </c>
      <c r="D284" s="94" t="s">
        <v>388</v>
      </c>
      <c r="E284" s="94">
        <v>7800.37</v>
      </c>
    </row>
    <row r="285" spans="1:5" x14ac:dyDescent="0.3">
      <c r="A285" s="94">
        <v>2023</v>
      </c>
      <c r="B285" s="94">
        <v>3</v>
      </c>
      <c r="C285" s="94" t="s">
        <v>198</v>
      </c>
      <c r="D285" s="94" t="s">
        <v>388</v>
      </c>
      <c r="E285" s="94">
        <v>16148.93</v>
      </c>
    </row>
    <row r="286" spans="1:5" x14ac:dyDescent="0.3">
      <c r="A286" s="94">
        <v>2023</v>
      </c>
      <c r="B286" s="94">
        <v>2</v>
      </c>
      <c r="C286" s="94" t="s">
        <v>197</v>
      </c>
      <c r="D286" s="94" t="s">
        <v>629</v>
      </c>
      <c r="E286" s="94">
        <v>34868</v>
      </c>
    </row>
    <row r="287" spans="1:5" x14ac:dyDescent="0.3">
      <c r="A287" s="94">
        <v>2023</v>
      </c>
      <c r="B287" s="94">
        <v>3</v>
      </c>
      <c r="C287" s="94" t="s">
        <v>196</v>
      </c>
      <c r="D287" s="94" t="s">
        <v>201</v>
      </c>
      <c r="E287" s="94">
        <v>100858.91000000002</v>
      </c>
    </row>
    <row r="288" spans="1:5" x14ac:dyDescent="0.3">
      <c r="A288" s="94">
        <v>2023</v>
      </c>
      <c r="B288" s="94">
        <v>3</v>
      </c>
      <c r="C288" s="94" t="s">
        <v>197</v>
      </c>
      <c r="D288" s="94" t="s">
        <v>72</v>
      </c>
      <c r="E288" s="94">
        <v>42586.329999999994</v>
      </c>
    </row>
    <row r="289" spans="1:5" x14ac:dyDescent="0.3">
      <c r="A289" s="94">
        <v>2023</v>
      </c>
      <c r="B289" s="94">
        <v>3</v>
      </c>
      <c r="C289" s="94" t="s">
        <v>196</v>
      </c>
      <c r="D289" s="94" t="s">
        <v>69</v>
      </c>
      <c r="E289" s="94">
        <v>54885.18</v>
      </c>
    </row>
    <row r="290" spans="1:5" x14ac:dyDescent="0.3">
      <c r="A290" s="94">
        <v>2023</v>
      </c>
      <c r="B290" s="94">
        <v>3</v>
      </c>
      <c r="C290" s="94" t="s">
        <v>197</v>
      </c>
      <c r="D290" s="94" t="s">
        <v>201</v>
      </c>
      <c r="E290" s="94">
        <v>91771.900000000023</v>
      </c>
    </row>
    <row r="291" spans="1:5" x14ac:dyDescent="0.3">
      <c r="A291" s="94">
        <v>2023</v>
      </c>
      <c r="B291" s="94">
        <v>3</v>
      </c>
      <c r="C291" s="94" t="s">
        <v>75</v>
      </c>
      <c r="D291" s="94" t="s">
        <v>201</v>
      </c>
      <c r="E291" s="94">
        <v>6360.7</v>
      </c>
    </row>
    <row r="292" spans="1:5" x14ac:dyDescent="0.3">
      <c r="A292" s="94">
        <v>2023</v>
      </c>
      <c r="B292" s="94">
        <v>3</v>
      </c>
      <c r="C292" s="94" t="s">
        <v>198</v>
      </c>
      <c r="D292" s="94" t="s">
        <v>201</v>
      </c>
      <c r="E292" s="94">
        <v>44320.160000000003</v>
      </c>
    </row>
    <row r="293" spans="1:5" x14ac:dyDescent="0.3">
      <c r="A293" s="94">
        <v>2023</v>
      </c>
      <c r="B293" s="94">
        <v>3</v>
      </c>
      <c r="C293" s="94" t="s">
        <v>197</v>
      </c>
      <c r="D293" s="94" t="s">
        <v>71</v>
      </c>
      <c r="E293" s="94">
        <v>4844.21</v>
      </c>
    </row>
    <row r="294" spans="1:5" x14ac:dyDescent="0.3">
      <c r="A294" s="94">
        <v>2023</v>
      </c>
      <c r="B294" s="94">
        <v>3</v>
      </c>
      <c r="C294" s="94" t="s">
        <v>75</v>
      </c>
      <c r="D294" s="94" t="s">
        <v>71</v>
      </c>
      <c r="E294" s="94">
        <v>600.52</v>
      </c>
    </row>
    <row r="295" spans="1:5" x14ac:dyDescent="0.3">
      <c r="A295" s="94">
        <v>2023</v>
      </c>
      <c r="B295" s="94">
        <v>3</v>
      </c>
      <c r="C295" s="94" t="s">
        <v>196</v>
      </c>
      <c r="D295" s="94" t="s">
        <v>71</v>
      </c>
      <c r="E295" s="94">
        <v>1715.46</v>
      </c>
    </row>
    <row r="296" spans="1:5" x14ac:dyDescent="0.3">
      <c r="A296" s="94">
        <v>2023</v>
      </c>
      <c r="B296" s="94">
        <v>3</v>
      </c>
      <c r="C296" s="94" t="s">
        <v>198</v>
      </c>
      <c r="D296" s="94" t="s">
        <v>71</v>
      </c>
      <c r="E296" s="94">
        <v>2845</v>
      </c>
    </row>
    <row r="297" spans="1:5" x14ac:dyDescent="0.3">
      <c r="A297" s="94">
        <v>2023</v>
      </c>
      <c r="B297" s="94">
        <v>3</v>
      </c>
      <c r="C297" s="94" t="s">
        <v>196</v>
      </c>
      <c r="D297" s="94" t="s">
        <v>629</v>
      </c>
      <c r="E297" s="94">
        <v>10951</v>
      </c>
    </row>
    <row r="298" spans="1:5" x14ac:dyDescent="0.3">
      <c r="A298" s="94">
        <v>2023</v>
      </c>
      <c r="B298" s="94">
        <v>3</v>
      </c>
      <c r="C298" s="94" t="s">
        <v>198</v>
      </c>
      <c r="D298" s="94" t="s">
        <v>69</v>
      </c>
      <c r="E298" s="94">
        <v>89238.34000000004</v>
      </c>
    </row>
    <row r="299" spans="1:5" x14ac:dyDescent="0.3">
      <c r="A299" s="94">
        <v>2023</v>
      </c>
      <c r="B299" s="94">
        <v>3</v>
      </c>
      <c r="C299" s="94" t="s">
        <v>197</v>
      </c>
      <c r="D299" s="94" t="s">
        <v>69</v>
      </c>
      <c r="E299" s="94">
        <v>39655.400000000009</v>
      </c>
    </row>
    <row r="300" spans="1:5" x14ac:dyDescent="0.3">
      <c r="A300" s="94">
        <v>2023</v>
      </c>
      <c r="B300" s="94">
        <v>3</v>
      </c>
      <c r="C300" s="94" t="s">
        <v>198</v>
      </c>
      <c r="D300" s="94" t="s">
        <v>72</v>
      </c>
      <c r="E300" s="94">
        <v>8276.4</v>
      </c>
    </row>
    <row r="301" spans="1:5" x14ac:dyDescent="0.3">
      <c r="A301" s="94">
        <v>2023</v>
      </c>
      <c r="B301" s="94">
        <v>3</v>
      </c>
      <c r="C301" s="94" t="s">
        <v>198</v>
      </c>
      <c r="D301" s="94" t="s">
        <v>388</v>
      </c>
      <c r="E301" s="94">
        <v>27506.030000000002</v>
      </c>
    </row>
    <row r="302" spans="1:5" x14ac:dyDescent="0.3">
      <c r="A302" s="94">
        <v>2023</v>
      </c>
      <c r="B302" s="94">
        <v>3</v>
      </c>
      <c r="C302" s="94" t="s">
        <v>196</v>
      </c>
      <c r="D302" s="94" t="s">
        <v>388</v>
      </c>
      <c r="E302" s="94">
        <v>11020.18</v>
      </c>
    </row>
    <row r="303" spans="1:5" x14ac:dyDescent="0.3">
      <c r="A303" s="94">
        <v>2023</v>
      </c>
      <c r="B303" s="94">
        <v>3</v>
      </c>
      <c r="C303" s="94" t="s">
        <v>197</v>
      </c>
      <c r="D303" s="94" t="s">
        <v>388</v>
      </c>
      <c r="E303" s="94">
        <v>573.4</v>
      </c>
    </row>
    <row r="304" spans="1:5" x14ac:dyDescent="0.3">
      <c r="A304" s="94">
        <v>2023</v>
      </c>
      <c r="B304" s="94">
        <v>4</v>
      </c>
      <c r="C304" s="94" t="s">
        <v>198</v>
      </c>
      <c r="D304" s="94" t="s">
        <v>72</v>
      </c>
      <c r="E304" s="94">
        <v>150544.66</v>
      </c>
    </row>
    <row r="305" spans="1:5" x14ac:dyDescent="0.3">
      <c r="A305" s="94">
        <v>2023</v>
      </c>
      <c r="B305" s="94">
        <v>4</v>
      </c>
      <c r="C305" s="94" t="s">
        <v>196</v>
      </c>
      <c r="D305" s="94" t="s">
        <v>72</v>
      </c>
      <c r="E305" s="94">
        <v>92868.329999999987</v>
      </c>
    </row>
    <row r="306" spans="1:5" x14ac:dyDescent="0.3">
      <c r="A306" s="94">
        <v>2023</v>
      </c>
      <c r="B306" s="94">
        <v>4</v>
      </c>
      <c r="C306" s="94" t="s">
        <v>196</v>
      </c>
      <c r="D306" s="94" t="s">
        <v>70</v>
      </c>
      <c r="E306" s="94">
        <v>2764.44</v>
      </c>
    </row>
    <row r="307" spans="1:5" x14ac:dyDescent="0.3">
      <c r="A307" s="94">
        <v>2023</v>
      </c>
      <c r="B307" s="94">
        <v>4</v>
      </c>
      <c r="C307" s="94" t="s">
        <v>197</v>
      </c>
      <c r="D307" s="94" t="s">
        <v>201</v>
      </c>
      <c r="E307" s="94">
        <v>27796.860000000004</v>
      </c>
    </row>
    <row r="308" spans="1:5" x14ac:dyDescent="0.3">
      <c r="A308" s="94">
        <v>2023</v>
      </c>
      <c r="B308" s="94">
        <v>4</v>
      </c>
      <c r="C308" s="94" t="s">
        <v>198</v>
      </c>
      <c r="D308" s="94" t="s">
        <v>201</v>
      </c>
      <c r="E308" s="94">
        <v>4320.5300000000007</v>
      </c>
    </row>
    <row r="309" spans="1:5" x14ac:dyDescent="0.3">
      <c r="A309" s="94">
        <v>2023</v>
      </c>
      <c r="B309" s="94">
        <v>4</v>
      </c>
      <c r="C309" s="94" t="s">
        <v>196</v>
      </c>
      <c r="D309" s="94" t="s">
        <v>201</v>
      </c>
      <c r="E309" s="94">
        <v>23635.129999999997</v>
      </c>
    </row>
    <row r="310" spans="1:5" x14ac:dyDescent="0.3">
      <c r="A310" s="94">
        <v>2023</v>
      </c>
      <c r="B310" s="94">
        <v>3</v>
      </c>
      <c r="C310" s="94" t="s">
        <v>196</v>
      </c>
      <c r="D310" s="94" t="s">
        <v>200</v>
      </c>
      <c r="E310" s="94">
        <v>7919.43</v>
      </c>
    </row>
    <row r="311" spans="1:5" x14ac:dyDescent="0.3">
      <c r="A311" s="94">
        <v>2023</v>
      </c>
      <c r="B311" s="94">
        <v>3</v>
      </c>
      <c r="C311" s="94" t="s">
        <v>197</v>
      </c>
      <c r="D311" s="94" t="s">
        <v>200</v>
      </c>
      <c r="E311" s="94">
        <v>8191.1399999999994</v>
      </c>
    </row>
    <row r="312" spans="1:5" x14ac:dyDescent="0.3">
      <c r="A312" s="94">
        <v>2023</v>
      </c>
      <c r="B312" s="94">
        <v>4</v>
      </c>
      <c r="C312" s="94" t="s">
        <v>198</v>
      </c>
      <c r="D312" s="94" t="s">
        <v>69</v>
      </c>
      <c r="E312" s="94">
        <v>29402.16</v>
      </c>
    </row>
    <row r="313" spans="1:5" x14ac:dyDescent="0.3">
      <c r="A313" s="94">
        <v>2023</v>
      </c>
      <c r="B313" s="94">
        <v>4</v>
      </c>
      <c r="C313" s="94" t="s">
        <v>197</v>
      </c>
      <c r="D313" s="94" t="s">
        <v>69</v>
      </c>
      <c r="E313" s="94">
        <v>139</v>
      </c>
    </row>
    <row r="314" spans="1:5" x14ac:dyDescent="0.3">
      <c r="A314" s="94">
        <v>2023</v>
      </c>
      <c r="B314" s="94">
        <v>4</v>
      </c>
      <c r="C314" s="94" t="s">
        <v>196</v>
      </c>
      <c r="D314" s="94" t="s">
        <v>69</v>
      </c>
      <c r="E314" s="94">
        <v>6553.5</v>
      </c>
    </row>
    <row r="315" spans="1:5" x14ac:dyDescent="0.3">
      <c r="A315" s="94">
        <v>2023</v>
      </c>
      <c r="B315" s="94">
        <v>4</v>
      </c>
      <c r="C315" s="94" t="s">
        <v>196</v>
      </c>
      <c r="D315" s="94" t="s">
        <v>388</v>
      </c>
      <c r="E315" s="94">
        <v>1111</v>
      </c>
    </row>
    <row r="316" spans="1:5" x14ac:dyDescent="0.3">
      <c r="A316" s="94">
        <v>2023</v>
      </c>
      <c r="B316" s="94">
        <v>4</v>
      </c>
      <c r="C316" s="94" t="s">
        <v>196</v>
      </c>
      <c r="D316" s="94" t="s">
        <v>388</v>
      </c>
      <c r="E316" s="94">
        <v>85.5</v>
      </c>
    </row>
    <row r="317" spans="1:5" x14ac:dyDescent="0.3">
      <c r="A317" s="94">
        <v>2023</v>
      </c>
      <c r="B317" s="94">
        <v>3</v>
      </c>
      <c r="C317" s="94" t="s">
        <v>196</v>
      </c>
      <c r="D317" s="94" t="s">
        <v>70</v>
      </c>
      <c r="E317" s="94">
        <v>4926</v>
      </c>
    </row>
    <row r="318" spans="1:5" x14ac:dyDescent="0.3">
      <c r="A318" s="94">
        <v>2023</v>
      </c>
      <c r="B318" s="94">
        <v>3</v>
      </c>
      <c r="C318" s="94" t="s">
        <v>75</v>
      </c>
      <c r="D318" s="94" t="s">
        <v>70</v>
      </c>
      <c r="E318" s="94">
        <v>233</v>
      </c>
    </row>
    <row r="319" spans="1:5" x14ac:dyDescent="0.3">
      <c r="A319" s="94">
        <v>2023</v>
      </c>
      <c r="B319" s="94">
        <v>3</v>
      </c>
      <c r="C319" s="94" t="s">
        <v>197</v>
      </c>
      <c r="D319" s="94" t="s">
        <v>630</v>
      </c>
      <c r="E319" s="94">
        <v>3313.8</v>
      </c>
    </row>
    <row r="320" spans="1:5" x14ac:dyDescent="0.3">
      <c r="A320" s="94">
        <v>2023</v>
      </c>
      <c r="B320" s="94">
        <v>3</v>
      </c>
      <c r="C320" s="94" t="s">
        <v>198</v>
      </c>
      <c r="D320" s="94" t="s">
        <v>200</v>
      </c>
      <c r="E320" s="94">
        <v>221.44</v>
      </c>
    </row>
    <row r="321" spans="1:5" x14ac:dyDescent="0.3">
      <c r="A321" s="94">
        <v>2023</v>
      </c>
      <c r="B321" s="94">
        <v>4</v>
      </c>
      <c r="C321" s="94" t="s">
        <v>75</v>
      </c>
      <c r="D321" s="94" t="s">
        <v>201</v>
      </c>
      <c r="E321" s="94">
        <v>4174.8999999999996</v>
      </c>
    </row>
    <row r="322" spans="1:5" x14ac:dyDescent="0.3">
      <c r="A322" s="94">
        <v>2023</v>
      </c>
      <c r="B322" s="94">
        <v>4</v>
      </c>
      <c r="C322" s="94" t="s">
        <v>75</v>
      </c>
      <c r="D322" s="94" t="s">
        <v>629</v>
      </c>
      <c r="E322" s="94">
        <v>440.5</v>
      </c>
    </row>
  </sheetData>
  <autoFilter ref="A2:E225" xr:uid="{A575699E-8D29-4D45-94C2-2E6CD73CF27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42</vt:i4>
      </vt:variant>
    </vt:vector>
  </HeadingPairs>
  <TitlesOfParts>
    <vt:vector size="47" baseType="lpstr">
      <vt:lpstr>Home</vt:lpstr>
      <vt:lpstr>Calcul Variable</vt:lpstr>
      <vt:lpstr>Graphique Agence</vt:lpstr>
      <vt:lpstr>Graphique Négoce</vt:lpstr>
      <vt:lpstr>Graphique Global</vt:lpstr>
      <vt:lpstr>Anne_N</vt:lpstr>
      <vt:lpstr>CellYear</vt:lpstr>
      <vt:lpstr>ParamAcces</vt:lpstr>
      <vt:lpstr>'TDB Agence'!PlageRapp1</vt:lpstr>
      <vt:lpstr>'TDB Negoce'!PlageRapp1</vt:lpstr>
      <vt:lpstr>'TDB Negoce'!PlageRapp2</vt:lpstr>
      <vt:lpstr>RecapAgence</vt:lpstr>
      <vt:lpstr>RecapAgenceFrance</vt:lpstr>
      <vt:lpstr>'TDB Negoce'!RecapNegoce</vt:lpstr>
      <vt:lpstr>Rng_Marge_Agence</vt:lpstr>
      <vt:lpstr>Rng_Marge_Negoce</vt:lpstr>
      <vt:lpstr>RngAcces</vt:lpstr>
      <vt:lpstr>'TDB Agence'!RngAnne1</vt:lpstr>
      <vt:lpstr>'TDB Negoce'!RngAnne1</vt:lpstr>
      <vt:lpstr>'TDB Agence'!RngAnne2</vt:lpstr>
      <vt:lpstr>'TDB Negoce'!RngAnne2</vt:lpstr>
      <vt:lpstr>RngAnneAgence</vt:lpstr>
      <vt:lpstr>RngAnneGlobal</vt:lpstr>
      <vt:lpstr>RngAnneNegoce</vt:lpstr>
      <vt:lpstr>RngBDD</vt:lpstr>
      <vt:lpstr>RngCA_Negoce</vt:lpstr>
      <vt:lpstr>RngCA_Region_Agence</vt:lpstr>
      <vt:lpstr>RngCnx</vt:lpstr>
      <vt:lpstr>'Facturation Agence'!RngFormat</vt:lpstr>
      <vt:lpstr>'Facturation Negoce'!RngFormat</vt:lpstr>
      <vt:lpstr>RngFormulasRecap</vt:lpstr>
      <vt:lpstr>'TDB Negoce'!RngFormulNegoce</vt:lpstr>
      <vt:lpstr>rngLstMessages</vt:lpstr>
      <vt:lpstr>RngMarque</vt:lpstr>
      <vt:lpstr>RngMdp</vt:lpstr>
      <vt:lpstr>RngMotif</vt:lpstr>
      <vt:lpstr>RngMV_Negoce</vt:lpstr>
      <vt:lpstr>RngParam</vt:lpstr>
      <vt:lpstr>RngParamGr</vt:lpstr>
      <vt:lpstr>RngRegion</vt:lpstr>
      <vt:lpstr>RngSessionEncours</vt:lpstr>
      <vt:lpstr>RngSheet</vt:lpstr>
      <vt:lpstr>'TDB Agence'!Taux_de_marge_global1</vt:lpstr>
      <vt:lpstr>'TDB Negoce'!Taux_de_marge_global1</vt:lpstr>
      <vt:lpstr>Taux_de_marge_global2</vt:lpstr>
      <vt:lpstr>'Graphique Agence'!Zone_d_impression</vt:lpstr>
      <vt:lpstr>'Graphique Négoce'!Zone_d_impression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Bilel</dc:creator>
  <cp:lastModifiedBy>Bilel Belloumi</cp:lastModifiedBy>
  <cp:lastPrinted>2023-02-13T15:25:14Z</cp:lastPrinted>
  <dcterms:created xsi:type="dcterms:W3CDTF">2015-06-05T18:19:34Z</dcterms:created>
  <dcterms:modified xsi:type="dcterms:W3CDTF">2024-05-03T22:15:07Z</dcterms:modified>
</cp:coreProperties>
</file>